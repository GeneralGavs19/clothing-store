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еестр продаж" sheetId="1" r:id="rId4"/>
    <sheet name="📦 Новый завоз" sheetId="2" r:id="rId5"/>
    <sheet name="По номенклатуре" sheetId="3" r:id="rId6"/>
    <sheet name="По категориям" sheetId="4" r:id="rId7"/>
    <sheet name="Динамика по дням" sheetId="5" r:id="rId8"/>
    <sheet name="Журнал чеков" sheetId="6" r:id="rId9"/>
    <sheet name="Кассиры" sheetId="7" r:id="rId10"/>
    <sheet name="Справка об учете" sheetId="8" r:id="rId11"/>
  </sheets>
  <definedNames>
    <definedName name="_xlnm._FilterDatabase" localSheetId="0" hidden="1">'Реестр продаж'!$A$7:$AC$1548</definedName>
    <definedName name="_xlnm._FilterDatabase" localSheetId="1" hidden="1">'📦 Новый завоз'!$A$34:$L$84</definedName>
    <definedName name="_xlnm._FilterDatabase" localSheetId="2" hidden="1">'По номенклатуре'!$A$7:$R$188</definedName>
    <definedName name="_xlnm._FilterDatabase" localSheetId="3" hidden="1">'По категориям'!$A$7:$O$25</definedName>
    <definedName name="_xlnm._FilterDatabase" localSheetId="4" hidden="1">'Динамика по дням'!$A$7:$O$64</definedName>
    <definedName name="_xlnm._FilterDatabase" localSheetId="5" hidden="1">'Журнал чеков'!$A$7:$T$1548</definedName>
    <definedName name="_xlnm._FilterDatabase" localSheetId="6" hidden="1">'Кассиры'!$A$7:$L$9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<sst xmlns="http://schemas.openxmlformats.org/spreadsheetml/2006/main" uniqueCount="2278">
  <si>
    <t>РЕГИСТР НАКОПЛЕНИЯ: ПРОДАЖИ (ОПЕРАЦИОННЫЙ ЖУРНАЛ)</t>
  </si>
  <si>
    <t>Детальный попозиционный реестр завершенных продаж с колонкой партии/завоза и динамическим пересчетом итогов · Период: За весь период работы магазина · Сформирован: 31.10.2026 03:40</t>
  </si>
  <si>
    <t>№ п/п</t>
  </si>
  <si>
    <t>Документ (№ чека)</t>
  </si>
  <si>
    <t>Дата и время</t>
  </si>
  <si>
    <t>Период (Месяц)</t>
  </si>
  <si>
    <t>Тип операции</t>
  </si>
  <si>
    <t>Партия / Завоз</t>
  </si>
  <si>
    <t>Категория</t>
  </si>
  <si>
    <t>Вид изделия</t>
  </si>
  <si>
    <t>Номенклатура (Товар)</t>
  </si>
  <si>
    <t>Размер (Характеристика)</t>
  </si>
  <si>
    <t>Артикул (SKU)</t>
  </si>
  <si>
    <t>Цвет</t>
  </si>
  <si>
    <t>Кол-во, шт.</t>
  </si>
  <si>
    <t>Базовая цена ед., ₸</t>
  </si>
  <si>
    <t>Скидка ед., ₸</t>
  </si>
  <si>
    <t>Скидка, %</t>
  </si>
  <si>
    <t>Цена продажи ед., ₸</t>
  </si>
  <si>
    <t>Базовая сумма, ₸</t>
  </si>
  <si>
    <t>Сумма скидки, ₸</t>
  </si>
  <si>
    <t>Сумма выручки, ₸</t>
  </si>
  <si>
    <t>Себестоимость ед., ₸</t>
  </si>
  <si>
    <t>Себестоимость общ., ₸</t>
  </si>
  <si>
    <t>Валовая прибыль, ₸</t>
  </si>
  <si>
    <t>Рентабельность, %</t>
  </si>
  <si>
    <t>Кассир (Ответственный)</t>
  </si>
  <si>
    <t>Статус документа</t>
  </si>
  <si>
    <t>Статус заказа</t>
  </si>
  <si>
    <t>Срок исполнения</t>
  </si>
  <si>
    <t>Примечание кассира</t>
  </si>
  <si>
    <t>№93</t>
  </si>
  <si>
    <t>26.10.2026 14:53</t>
  </si>
  <si>
    <t>2026-10</t>
  </si>
  <si>
    <t>В наличии</t>
  </si>
  <si>
    <t>Обычная</t>
  </si>
  <si>
    <t>Старшие классы</t>
  </si>
  <si>
    <t>Поло</t>
  </si>
  <si>
    <t>Поло к/р</t>
  </si>
  <si>
    <t>POLO-KR-158-1</t>
  </si>
  <si>
    <t>Синий</t>
  </si>
  <si>
    <t>Админ</t>
  </si>
  <si>
    <t>Оформлен</t>
  </si>
  <si>
    <t>Выдан сразу</t>
  </si>
  <si>
    <t>—</t>
  </si>
  <si>
    <t>№72</t>
  </si>
  <si>
    <t>26.10.2026 14:32</t>
  </si>
  <si>
    <t>Худи</t>
  </si>
  <si>
    <t>худи</t>
  </si>
  <si>
    <t>XUDI-158</t>
  </si>
  <si>
    <t>№69</t>
  </si>
  <si>
    <t>26.10.2026 14:28</t>
  </si>
  <si>
    <t>Начальные классы</t>
  </si>
  <si>
    <t>Футболка</t>
  </si>
  <si>
    <t>FUTBOLKA-170-1</t>
  </si>
  <si>
    <t>Голубой</t>
  </si>
  <si>
    <t>№54</t>
  </si>
  <si>
    <t>25.10.2026 00:29</t>
  </si>
  <si>
    <t>Шорты</t>
  </si>
  <si>
    <t>SORTY-164</t>
  </si>
  <si>
    <t>Store Admin</t>
  </si>
  <si>
    <t>№53</t>
  </si>
  <si>
    <t>25.10.2026 00:28</t>
  </si>
  <si>
    <t>FUTBOLKA-164</t>
  </si>
  <si>
    <t>№52</t>
  </si>
  <si>
    <t>Брюки</t>
  </si>
  <si>
    <t>Брюки спортивные</t>
  </si>
  <si>
    <t>BRIUKI-SPORTIVNYE-164</t>
  </si>
  <si>
    <t>№51</t>
  </si>
  <si>
    <t>25.10.2026 00:27</t>
  </si>
  <si>
    <t>📦 Под заказ</t>
  </si>
  <si>
    <t>Бомбер</t>
  </si>
  <si>
    <t>BOMBER-164</t>
  </si>
  <si>
    <t>Новый</t>
  </si>
  <si>
    <t>№50</t>
  </si>
  <si>
    <t>Поло д/р</t>
  </si>
  <si>
    <t>POLO-DR-164</t>
  </si>
  <si>
    <t>№49</t>
  </si>
  <si>
    <t>25.10.2026 00:26</t>
  </si>
  <si>
    <t>POLO-KR-164</t>
  </si>
  <si>
    <t>№48</t>
  </si>
  <si>
    <t>SORTY-116</t>
  </si>
  <si>
    <t>№47</t>
  </si>
  <si>
    <t>25.10.2026 00:25</t>
  </si>
  <si>
    <t>FUTBOLKA-122</t>
  </si>
  <si>
    <t>№46</t>
  </si>
  <si>
    <t>BRIUKI-SPORTIVNYE-116</t>
  </si>
  <si>
    <t>№45</t>
  </si>
  <si>
    <t>25.10.2026 00:18</t>
  </si>
  <si>
    <t>BOMBER-116</t>
  </si>
  <si>
    <t>№44</t>
  </si>
  <si>
    <t>POLO-DR-116</t>
  </si>
  <si>
    <t>№43</t>
  </si>
  <si>
    <t>25.10.2026 00:17</t>
  </si>
  <si>
    <t>POLO-KR-116</t>
  </si>
  <si>
    <t>№42</t>
  </si>
  <si>
    <t>Футболка спортивная</t>
  </si>
  <si>
    <t>FUTBOLKA-SPORTIVNAIA-122</t>
  </si>
  <si>
    <t>голубой</t>
  </si>
  <si>
    <t>№41</t>
  </si>
  <si>
    <t>25.10.2026 00:16</t>
  </si>
  <si>
    <t>BOMBER-122</t>
  </si>
  <si>
    <t>№40</t>
  </si>
  <si>
    <t>25.10.2026 00:15</t>
  </si>
  <si>
    <t>POLO-DR-122</t>
  </si>
  <si>
    <t>№39</t>
  </si>
  <si>
    <t>25.10.2026 00:14</t>
  </si>
  <si>
    <t>POLO-KR-122</t>
  </si>
  <si>
    <t>№38</t>
  </si>
  <si>
    <t>25.10.2026 00:13</t>
  </si>
  <si>
    <t>BOMBER-158</t>
  </si>
  <si>
    <t>№37</t>
  </si>
  <si>
    <t>BOMBER-128</t>
  </si>
  <si>
    <t>№36</t>
  </si>
  <si>
    <t>25.10.2026 00:12</t>
  </si>
  <si>
    <t>SORTY-122</t>
  </si>
  <si>
    <t>№35</t>
  </si>
  <si>
    <t>25.10.2026 00:11</t>
  </si>
  <si>
    <t>BRIUKI-SPORTIVNYE-128</t>
  </si>
  <si>
    <t>№34</t>
  </si>
  <si>
    <t>25.10.2026 00:10</t>
  </si>
  <si>
    <t>№28</t>
  </si>
  <si>
    <t>24.10.2026 19:08</t>
  </si>
  <si>
    <t>№27</t>
  </si>
  <si>
    <t>FUTBOLKA-158-1</t>
  </si>
  <si>
    <t>№26</t>
  </si>
  <si>
    <t>24.10.2026 19:07</t>
  </si>
  <si>
    <t>FUTBOLKA-158</t>
  </si>
  <si>
    <t>№25</t>
  </si>
  <si>
    <t>24.10.2026 19:06</t>
  </si>
  <si>
    <t>SORTY-158</t>
  </si>
  <si>
    <t>№24</t>
  </si>
  <si>
    <t>POLO-KR-158</t>
  </si>
  <si>
    <t>№23</t>
  </si>
  <si>
    <t>24.10.2026 19:05</t>
  </si>
  <si>
    <t>Без категории</t>
  </si>
  <si>
    <t>XUDI-128</t>
  </si>
  <si>
    <t>№22</t>
  </si>
  <si>
    <t>24.10.2026 19:04</t>
  </si>
  <si>
    <t>№21</t>
  </si>
  <si>
    <t>№1578</t>
  </si>
  <si>
    <t>08.10.2026 12:00</t>
  </si>
  <si>
    <t>XUDI-146-1</t>
  </si>
  <si>
    <t>№1577</t>
  </si>
  <si>
    <t>📦 Новый завоз</t>
  </si>
  <si>
    <t>POLO-KR-170</t>
  </si>
  <si>
    <t>Новый завоз</t>
  </si>
  <si>
    <t>№1576</t>
  </si>
  <si>
    <t>№1575</t>
  </si>
  <si>
    <t>POLO-DR-134</t>
  </si>
  <si>
    <t>№1574</t>
  </si>
  <si>
    <t>Брюки.спорт</t>
  </si>
  <si>
    <t>BRIUKISPORT-170</t>
  </si>
  <si>
    <t>№1573</t>
  </si>
  <si>
    <t>POLO-KR-152</t>
  </si>
  <si>
    <t>№1572</t>
  </si>
  <si>
    <t>Полузамок</t>
  </si>
  <si>
    <t>POLUZAMOK-134</t>
  </si>
  <si>
    <t>№1571</t>
  </si>
  <si>
    <t>POLO-KR-128</t>
  </si>
  <si>
    <t>№1570</t>
  </si>
  <si>
    <t>Шапки</t>
  </si>
  <si>
    <t>Шапка</t>
  </si>
  <si>
    <t>SAPKA-128-5</t>
  </si>
  <si>
    <t>№1569</t>
  </si>
  <si>
    <t>Полузамок мерч</t>
  </si>
  <si>
    <t>POLUZAMOK-MERC-122</t>
  </si>
  <si>
    <t>№1568</t>
  </si>
  <si>
    <t>BRIUKISPORT-128</t>
  </si>
  <si>
    <t>№1567</t>
  </si>
  <si>
    <t>BRIUKISPORT-146</t>
  </si>
  <si>
    <t>№1566</t>
  </si>
  <si>
    <t>BRIUKISPORT-188</t>
  </si>
  <si>
    <t>№1565</t>
  </si>
  <si>
    <t>№1564</t>
  </si>
  <si>
    <t>Олимпийка мерч</t>
  </si>
  <si>
    <t>OLIMPIIKA-MERC-134</t>
  </si>
  <si>
    <t>№1563</t>
  </si>
  <si>
    <t>FUTBOLKA-134</t>
  </si>
  <si>
    <t>№1562</t>
  </si>
  <si>
    <t>POLO-KR-134-1</t>
  </si>
  <si>
    <t>№1561</t>
  </si>
  <si>
    <t>BOMBER-170</t>
  </si>
  <si>
    <t>№1560</t>
  </si>
  <si>
    <t>XUDI-170</t>
  </si>
  <si>
    <t>№1559</t>
  </si>
  <si>
    <t>XUDI-128-1</t>
  </si>
  <si>
    <t>№1558</t>
  </si>
  <si>
    <t>POLO-DR-128</t>
  </si>
  <si>
    <t>№1557</t>
  </si>
  <si>
    <t>POLO-DR-164-1</t>
  </si>
  <si>
    <t>№1556</t>
  </si>
  <si>
    <t>№1555</t>
  </si>
  <si>
    <t>№1554</t>
  </si>
  <si>
    <t>SAPKA-128-4</t>
  </si>
  <si>
    <t>№1553</t>
  </si>
  <si>
    <t>№1552</t>
  </si>
  <si>
    <t>№1551</t>
  </si>
  <si>
    <t>BRIUKISPORT-152-1</t>
  </si>
  <si>
    <t>№1550</t>
  </si>
  <si>
    <t>27.09.2026 12:00</t>
  </si>
  <si>
    <t>2026-09</t>
  </si>
  <si>
    <t>№1549</t>
  </si>
  <si>
    <t>№1548</t>
  </si>
  <si>
    <t>SAPKA-128-3</t>
  </si>
  <si>
    <t>№1547</t>
  </si>
  <si>
    <t>BOMBER-176</t>
  </si>
  <si>
    <t>№1546</t>
  </si>
  <si>
    <t>№1545</t>
  </si>
  <si>
    <t>№1544</t>
  </si>
  <si>
    <t>BOMBER-152</t>
  </si>
  <si>
    <t>№1542</t>
  </si>
  <si>
    <t>BOMBER-134</t>
  </si>
  <si>
    <t>№1541</t>
  </si>
  <si>
    <t>№1540</t>
  </si>
  <si>
    <t>SORTY-170</t>
  </si>
  <si>
    <t>№1539</t>
  </si>
  <si>
    <t>№1538</t>
  </si>
  <si>
    <t>№1537</t>
  </si>
  <si>
    <t>№1536</t>
  </si>
  <si>
    <t>BRIUKISPORT-158</t>
  </si>
  <si>
    <t>№1535</t>
  </si>
  <si>
    <t>№1534</t>
  </si>
  <si>
    <t>№1533</t>
  </si>
  <si>
    <t>BRIUKISPORT-140</t>
  </si>
  <si>
    <t>№1532</t>
  </si>
  <si>
    <t>POLO-KR-140</t>
  </si>
  <si>
    <t>№1531</t>
  </si>
  <si>
    <t>BOMBER-140-1</t>
  </si>
  <si>
    <t>№1530</t>
  </si>
  <si>
    <t>№1529</t>
  </si>
  <si>
    <t>BRIUKISPORT-110</t>
  </si>
  <si>
    <t>№1528</t>
  </si>
  <si>
    <t>FUTBOLKA-110</t>
  </si>
  <si>
    <t>№1527</t>
  </si>
  <si>
    <t>№1526</t>
  </si>
  <si>
    <t>BRIUKISPORT-176</t>
  </si>
  <si>
    <t>№1525</t>
  </si>
  <si>
    <t>№1524</t>
  </si>
  <si>
    <t>№1523</t>
  </si>
  <si>
    <t>Брюки палаццо</t>
  </si>
  <si>
    <t>BRIUKI-PALACCO-146</t>
  </si>
  <si>
    <t>№1522</t>
  </si>
  <si>
    <t>№1521</t>
  </si>
  <si>
    <t>BRIUKISPORT-122</t>
  </si>
  <si>
    <t>№1520</t>
  </si>
  <si>
    <t>№1519</t>
  </si>
  <si>
    <t>№1518</t>
  </si>
  <si>
    <t>№1517</t>
  </si>
  <si>
    <t>BRIUKISPORT-134</t>
  </si>
  <si>
    <t>№1516</t>
  </si>
  <si>
    <t>№1515</t>
  </si>
  <si>
    <t>№1514</t>
  </si>
  <si>
    <t>№1513</t>
  </si>
  <si>
    <t>BRIUKISPORT-152</t>
  </si>
  <si>
    <t>№1512</t>
  </si>
  <si>
    <t>№1511</t>
  </si>
  <si>
    <t>FUTBOLKA-146</t>
  </si>
  <si>
    <t>№1510</t>
  </si>
  <si>
    <t>№1509</t>
  </si>
  <si>
    <t>POLO-KR-146</t>
  </si>
  <si>
    <t>№1508</t>
  </si>
  <si>
    <t>№1507</t>
  </si>
  <si>
    <t>BOMBER-158-1</t>
  </si>
  <si>
    <t>№1506</t>
  </si>
  <si>
    <t>POLO-DR-152-1</t>
  </si>
  <si>
    <t>№1505</t>
  </si>
  <si>
    <t>BOMBER-146</t>
  </si>
  <si>
    <t>№1503</t>
  </si>
  <si>
    <t>№1502</t>
  </si>
  <si>
    <t>№1501</t>
  </si>
  <si>
    <t>№1500</t>
  </si>
  <si>
    <t>№1499</t>
  </si>
  <si>
    <t>№1498</t>
  </si>
  <si>
    <t>№1497</t>
  </si>
  <si>
    <t>№1496</t>
  </si>
  <si>
    <t>№1495</t>
  </si>
  <si>
    <t>№1494</t>
  </si>
  <si>
    <t>Новый  завоз</t>
  </si>
  <si>
    <t>№1493</t>
  </si>
  <si>
    <t>SAPKA-128-2</t>
  </si>
  <si>
    <t>№1492</t>
  </si>
  <si>
    <t>FUTBOLKA-140</t>
  </si>
  <si>
    <t>№1491</t>
  </si>
  <si>
    <t>SORTY-134</t>
  </si>
  <si>
    <t>№1490</t>
  </si>
  <si>
    <t>Бомбер мерч</t>
  </si>
  <si>
    <t>BOMBER-MERC-140</t>
  </si>
  <si>
    <t>№1489</t>
  </si>
  <si>
    <t>№1488</t>
  </si>
  <si>
    <t>№1487</t>
  </si>
  <si>
    <t>№1486</t>
  </si>
  <si>
    <t>№1485</t>
  </si>
  <si>
    <t>№1484</t>
  </si>
  <si>
    <t>POLO-DR-158</t>
  </si>
  <si>
    <t>№1483</t>
  </si>
  <si>
    <t>№1482</t>
  </si>
  <si>
    <t>SAPKA-128-1</t>
  </si>
  <si>
    <t>№1481</t>
  </si>
  <si>
    <t>№1480</t>
  </si>
  <si>
    <t>№1479</t>
  </si>
  <si>
    <t>№1478</t>
  </si>
  <si>
    <t>№1477</t>
  </si>
  <si>
    <t>26.09.2026 12:00</t>
  </si>
  <si>
    <t>№1476</t>
  </si>
  <si>
    <t>FUTBOLKA-152-1</t>
  </si>
  <si>
    <t>№1475</t>
  </si>
  <si>
    <t>№1474</t>
  </si>
  <si>
    <t>№1473</t>
  </si>
  <si>
    <t>№1472</t>
  </si>
  <si>
    <t>№1471</t>
  </si>
  <si>
    <t>24.09.2026 12:00</t>
  </si>
  <si>
    <t>№1470</t>
  </si>
  <si>
    <t>№1469</t>
  </si>
  <si>
    <t>SORTY-152-1</t>
  </si>
  <si>
    <t>№1467</t>
  </si>
  <si>
    <t>SAPKA-128</t>
  </si>
  <si>
    <t>№1466</t>
  </si>
  <si>
    <t>№1465</t>
  </si>
  <si>
    <t>№1464</t>
  </si>
  <si>
    <t>№1463</t>
  </si>
  <si>
    <t>XUDI-164</t>
  </si>
  <si>
    <t>№1462</t>
  </si>
  <si>
    <t>№1461</t>
  </si>
  <si>
    <t>FUTBOLKA-182</t>
  </si>
  <si>
    <t>№1460</t>
  </si>
  <si>
    <t>№1459</t>
  </si>
  <si>
    <t>FUTBOLKA-146-2</t>
  </si>
  <si>
    <t>№1458</t>
  </si>
  <si>
    <t>№1457</t>
  </si>
  <si>
    <t>№1456</t>
  </si>
  <si>
    <t>23.09.2026 12:00</t>
  </si>
  <si>
    <t>SORTY-152</t>
  </si>
  <si>
    <t>№1455</t>
  </si>
  <si>
    <t>№1454</t>
  </si>
  <si>
    <t>SAPKA-110</t>
  </si>
  <si>
    <t>№1453</t>
  </si>
  <si>
    <t>№1452</t>
  </si>
  <si>
    <t>POLO-KR-182</t>
  </si>
  <si>
    <t>№1451</t>
  </si>
  <si>
    <t>№1450</t>
  </si>
  <si>
    <t>№1449</t>
  </si>
  <si>
    <t>№1448</t>
  </si>
  <si>
    <t>POLO-DR-146</t>
  </si>
  <si>
    <t>№1447</t>
  </si>
  <si>
    <t>№1446</t>
  </si>
  <si>
    <t>№1445</t>
  </si>
  <si>
    <t>№1444</t>
  </si>
  <si>
    <t>XUDI-152-1</t>
  </si>
  <si>
    <t>№1443</t>
  </si>
  <si>
    <t>№1442</t>
  </si>
  <si>
    <t>№1441</t>
  </si>
  <si>
    <t>22.09.2026 12:00</t>
  </si>
  <si>
    <t>BOMBER-152-1</t>
  </si>
  <si>
    <t>№1440</t>
  </si>
  <si>
    <t>POLO-KR-176</t>
  </si>
  <si>
    <t>№1439</t>
  </si>
  <si>
    <t>POLO-DR-182</t>
  </si>
  <si>
    <t>№1438</t>
  </si>
  <si>
    <t>№1437</t>
  </si>
  <si>
    <t>№1436</t>
  </si>
  <si>
    <t>SAPKA-0-2</t>
  </si>
  <si>
    <t>№1435</t>
  </si>
  <si>
    <t>№1434</t>
  </si>
  <si>
    <t>№1433</t>
  </si>
  <si>
    <t>№1432</t>
  </si>
  <si>
    <t>№1431</t>
  </si>
  <si>
    <t>№1430</t>
  </si>
  <si>
    <t>BRIUKISPORT-164</t>
  </si>
  <si>
    <t>№1429</t>
  </si>
  <si>
    <t>№1428</t>
  </si>
  <si>
    <t>POLO-KR-188</t>
  </si>
  <si>
    <t>№1427</t>
  </si>
  <si>
    <t>№1426</t>
  </si>
  <si>
    <t>№1425</t>
  </si>
  <si>
    <t>21.09.2026 12:00</t>
  </si>
  <si>
    <t>№1424</t>
  </si>
  <si>
    <t>№1423</t>
  </si>
  <si>
    <t>№1422</t>
  </si>
  <si>
    <t>XUDI-134</t>
  </si>
  <si>
    <t>№1421</t>
  </si>
  <si>
    <t>№1420</t>
  </si>
  <si>
    <t>№1419</t>
  </si>
  <si>
    <t>№1418</t>
  </si>
  <si>
    <t>20.09.2026 12:00</t>
  </si>
  <si>
    <t>BOMBER-146-1</t>
  </si>
  <si>
    <t>№1417</t>
  </si>
  <si>
    <t>№1416</t>
  </si>
  <si>
    <t>№1415</t>
  </si>
  <si>
    <t>SAPKA-0-3</t>
  </si>
  <si>
    <t>№1414</t>
  </si>
  <si>
    <t>№1413</t>
  </si>
  <si>
    <t>№1412</t>
  </si>
  <si>
    <t>FUTBOLKA-128</t>
  </si>
  <si>
    <t>№1411</t>
  </si>
  <si>
    <t>№1410</t>
  </si>
  <si>
    <t>№1409</t>
  </si>
  <si>
    <t>№1408</t>
  </si>
  <si>
    <t>№1407</t>
  </si>
  <si>
    <t>№1406</t>
  </si>
  <si>
    <t>№1405</t>
  </si>
  <si>
    <t>19.09.2026 12:00</t>
  </si>
  <si>
    <t>№1404</t>
  </si>
  <si>
    <t>№1403</t>
  </si>
  <si>
    <t>№1402</t>
  </si>
  <si>
    <t>FUTBOLKA-152</t>
  </si>
  <si>
    <t>№1401</t>
  </si>
  <si>
    <t>FUTBOLKA-164-1</t>
  </si>
  <si>
    <t>№1400</t>
  </si>
  <si>
    <t>№1399</t>
  </si>
  <si>
    <t>POLO-KR-164-1</t>
  </si>
  <si>
    <t>№1398</t>
  </si>
  <si>
    <t>SORTY-164-1</t>
  </si>
  <si>
    <t>№1397</t>
  </si>
  <si>
    <t>XUDI-152</t>
  </si>
  <si>
    <t>№1396</t>
  </si>
  <si>
    <t>№1395</t>
  </si>
  <si>
    <t>XUDI-140</t>
  </si>
  <si>
    <t>№1394</t>
  </si>
  <si>
    <t>№1393</t>
  </si>
  <si>
    <t>№1392</t>
  </si>
  <si>
    <t>FUTBOLKA-176</t>
  </si>
  <si>
    <t>№1391</t>
  </si>
  <si>
    <t>POLO-DR-176</t>
  </si>
  <si>
    <t>№1390</t>
  </si>
  <si>
    <t>BOMBER-182</t>
  </si>
  <si>
    <t>№1389</t>
  </si>
  <si>
    <t>XUDI-176</t>
  </si>
  <si>
    <t>№1388</t>
  </si>
  <si>
    <t>18.09.2026 12:00</t>
  </si>
  <si>
    <t>№1387</t>
  </si>
  <si>
    <t>17.09.2026 12:00</t>
  </si>
  <si>
    <t>№1386</t>
  </si>
  <si>
    <t>№1385</t>
  </si>
  <si>
    <t>Свитшот</t>
  </si>
  <si>
    <t>SVITSOT-152</t>
  </si>
  <si>
    <t>№1384</t>
  </si>
  <si>
    <t>BRIUKISPORT-158-1</t>
  </si>
  <si>
    <t>№1383</t>
  </si>
  <si>
    <t>№1382</t>
  </si>
  <si>
    <t>№1381</t>
  </si>
  <si>
    <t>№1380</t>
  </si>
  <si>
    <t>№1379</t>
  </si>
  <si>
    <t>16.09.2026 12:00</t>
  </si>
  <si>
    <t>XUDI-158-1</t>
  </si>
  <si>
    <t>№1378</t>
  </si>
  <si>
    <t>№1377</t>
  </si>
  <si>
    <t>Свитшот Мерч</t>
  </si>
  <si>
    <t>SVITSOT-MERC-140-1</t>
  </si>
  <si>
    <t>Новый завоз мерч</t>
  </si>
  <si>
    <t>№1376</t>
  </si>
  <si>
    <t>№1375</t>
  </si>
  <si>
    <t>№1374</t>
  </si>
  <si>
    <t>№1373</t>
  </si>
  <si>
    <t>№1372</t>
  </si>
  <si>
    <t>№1371</t>
  </si>
  <si>
    <t>№1370</t>
  </si>
  <si>
    <t>№1369</t>
  </si>
  <si>
    <t>№1368</t>
  </si>
  <si>
    <t>№1367</t>
  </si>
  <si>
    <t>15.09.2026 12:00</t>
  </si>
  <si>
    <t>№1366</t>
  </si>
  <si>
    <t>№1365</t>
  </si>
  <si>
    <t>№1364</t>
  </si>
  <si>
    <t>№1363</t>
  </si>
  <si>
    <t>№1362</t>
  </si>
  <si>
    <t>№1361</t>
  </si>
  <si>
    <t>FUTBOLKA-116</t>
  </si>
  <si>
    <t>№1360</t>
  </si>
  <si>
    <t>№1359</t>
  </si>
  <si>
    <t>№1358</t>
  </si>
  <si>
    <t>SAPKA-0-1</t>
  </si>
  <si>
    <t>№1357</t>
  </si>
  <si>
    <t>№1356</t>
  </si>
  <si>
    <t>№1355</t>
  </si>
  <si>
    <t>14.09.2026 12:00</t>
  </si>
  <si>
    <t>SAPKA-0</t>
  </si>
  <si>
    <t>№1354</t>
  </si>
  <si>
    <t>№1353</t>
  </si>
  <si>
    <t>XUDI-122</t>
  </si>
  <si>
    <t>№1352</t>
  </si>
  <si>
    <t>№1351</t>
  </si>
  <si>
    <t>№1350</t>
  </si>
  <si>
    <t>№1349</t>
  </si>
  <si>
    <t>№1348</t>
  </si>
  <si>
    <t>№1347</t>
  </si>
  <si>
    <t>№1346</t>
  </si>
  <si>
    <t>№1345</t>
  </si>
  <si>
    <t>№1344</t>
  </si>
  <si>
    <t>№1343</t>
  </si>
  <si>
    <t>13.09.2026 12:00</t>
  </si>
  <si>
    <t>№1342</t>
  </si>
  <si>
    <t>№1341</t>
  </si>
  <si>
    <t>№1340</t>
  </si>
  <si>
    <t>№1339</t>
  </si>
  <si>
    <t>BOMBER-134-1</t>
  </si>
  <si>
    <t>№1338</t>
  </si>
  <si>
    <t>№1337</t>
  </si>
  <si>
    <t>№1336</t>
  </si>
  <si>
    <t>12.09.2026 12:00</t>
  </si>
  <si>
    <t>№1335</t>
  </si>
  <si>
    <t>№1334</t>
  </si>
  <si>
    <t>№1333</t>
  </si>
  <si>
    <t>№1332</t>
  </si>
  <si>
    <t>№1331</t>
  </si>
  <si>
    <t>№1330</t>
  </si>
  <si>
    <t>№1329</t>
  </si>
  <si>
    <t>№1328</t>
  </si>
  <si>
    <t>№1327</t>
  </si>
  <si>
    <t>№1326</t>
  </si>
  <si>
    <t>№1325</t>
  </si>
  <si>
    <t>№1324</t>
  </si>
  <si>
    <t>11.09.2026 12:00</t>
  </si>
  <si>
    <t>№1323</t>
  </si>
  <si>
    <t>№1322</t>
  </si>
  <si>
    <t>XUDI-188</t>
  </si>
  <si>
    <t>№1321</t>
  </si>
  <si>
    <t>№1320</t>
  </si>
  <si>
    <t>09.09.2026 12:00</t>
  </si>
  <si>
    <t>№1319</t>
  </si>
  <si>
    <t>08.09.2026 12:00</t>
  </si>
  <si>
    <t>№1318</t>
  </si>
  <si>
    <t>№1317</t>
  </si>
  <si>
    <t>№1316</t>
  </si>
  <si>
    <t>№1315</t>
  </si>
  <si>
    <t>07.09.2026 12:00</t>
  </si>
  <si>
    <t>№1314</t>
  </si>
  <si>
    <t>№1313</t>
  </si>
  <si>
    <t>№1312</t>
  </si>
  <si>
    <t>№1311</t>
  </si>
  <si>
    <t>№1310</t>
  </si>
  <si>
    <t>POLO-KR-146-1</t>
  </si>
  <si>
    <t>№1309</t>
  </si>
  <si>
    <t>06.09.2026 12:00</t>
  </si>
  <si>
    <t>№1308</t>
  </si>
  <si>
    <t>№1307</t>
  </si>
  <si>
    <t>POLO-DR-158-1</t>
  </si>
  <si>
    <t>№1306</t>
  </si>
  <si>
    <t>№1305</t>
  </si>
  <si>
    <t>№1304</t>
  </si>
  <si>
    <t>№1303</t>
  </si>
  <si>
    <t>№1302</t>
  </si>
  <si>
    <t>№1301</t>
  </si>
  <si>
    <t>№1300</t>
  </si>
  <si>
    <t>05.09.2026 12:00</t>
  </si>
  <si>
    <t>№1299</t>
  </si>
  <si>
    <t>№1298</t>
  </si>
  <si>
    <t>№1297</t>
  </si>
  <si>
    <t>№1296</t>
  </si>
  <si>
    <t>№1295</t>
  </si>
  <si>
    <t>№1294</t>
  </si>
  <si>
    <t>04.09.2026 12:00</t>
  </si>
  <si>
    <t>№1293</t>
  </si>
  <si>
    <t>№1292</t>
  </si>
  <si>
    <t>№1291</t>
  </si>
  <si>
    <t>№1290</t>
  </si>
  <si>
    <t>№1289</t>
  </si>
  <si>
    <t>№1288</t>
  </si>
  <si>
    <t>№1287</t>
  </si>
  <si>
    <t>№1286</t>
  </si>
  <si>
    <t>№1285</t>
  </si>
  <si>
    <t>XUDI-194</t>
  </si>
  <si>
    <t>№1284</t>
  </si>
  <si>
    <t>03.09.2026 12:00</t>
  </si>
  <si>
    <t>№1283</t>
  </si>
  <si>
    <t>№1282</t>
  </si>
  <si>
    <t>№1281</t>
  </si>
  <si>
    <t>№1280</t>
  </si>
  <si>
    <t>№1279</t>
  </si>
  <si>
    <t>№1278</t>
  </si>
  <si>
    <t>Шапка мерч</t>
  </si>
  <si>
    <t>SAPKA-MERC-0</t>
  </si>
  <si>
    <t>№1277</t>
  </si>
  <si>
    <t>POLO-DR-140</t>
  </si>
  <si>
    <t>№1276</t>
  </si>
  <si>
    <t>№1275</t>
  </si>
  <si>
    <t>№1274</t>
  </si>
  <si>
    <t>№1273</t>
  </si>
  <si>
    <t>№1272</t>
  </si>
  <si>
    <t>№1271</t>
  </si>
  <si>
    <t>SORTY-128</t>
  </si>
  <si>
    <t>№1270</t>
  </si>
  <si>
    <t>№1269</t>
  </si>
  <si>
    <t>№1268</t>
  </si>
  <si>
    <t>№1267</t>
  </si>
  <si>
    <t>№1266</t>
  </si>
  <si>
    <t>№1265</t>
  </si>
  <si>
    <t>№1264</t>
  </si>
  <si>
    <t>№1263</t>
  </si>
  <si>
    <t>№1262</t>
  </si>
  <si>
    <t>№1261</t>
  </si>
  <si>
    <t>№1260</t>
  </si>
  <si>
    <t>№1259</t>
  </si>
  <si>
    <t>№1258</t>
  </si>
  <si>
    <t>№1257</t>
  </si>
  <si>
    <t>02.09.2026 12:00</t>
  </si>
  <si>
    <t>№1256</t>
  </si>
  <si>
    <t>XUDI-116</t>
  </si>
  <si>
    <t>№1255</t>
  </si>
  <si>
    <t>№1254</t>
  </si>
  <si>
    <t>SORTY-140</t>
  </si>
  <si>
    <t>№1253</t>
  </si>
  <si>
    <t>Свитшот мерч</t>
  </si>
  <si>
    <t>SVITSOT-MERC-140</t>
  </si>
  <si>
    <t>№1252</t>
  </si>
  <si>
    <t>№1251</t>
  </si>
  <si>
    <t>№1250</t>
  </si>
  <si>
    <t>№1249</t>
  </si>
  <si>
    <t>POLO-DR-152</t>
  </si>
  <si>
    <t>№1248</t>
  </si>
  <si>
    <t>№1247</t>
  </si>
  <si>
    <t>Шапка KIS</t>
  </si>
  <si>
    <t>SAPKA-KIS-0</t>
  </si>
  <si>
    <t>№1246</t>
  </si>
  <si>
    <t>№1245</t>
  </si>
  <si>
    <t>№1244</t>
  </si>
  <si>
    <t>№1243</t>
  </si>
  <si>
    <t>№1242</t>
  </si>
  <si>
    <t>№1241</t>
  </si>
  <si>
    <t>№1240</t>
  </si>
  <si>
    <t>№1239</t>
  </si>
  <si>
    <t>№1238</t>
  </si>
  <si>
    <t>№1237</t>
  </si>
  <si>
    <t>№1236</t>
  </si>
  <si>
    <t>№1235</t>
  </si>
  <si>
    <t>№1234</t>
  </si>
  <si>
    <t>№1233</t>
  </si>
  <si>
    <t>№1232</t>
  </si>
  <si>
    <t>№1231</t>
  </si>
  <si>
    <t>№1230</t>
  </si>
  <si>
    <t>№1229</t>
  </si>
  <si>
    <t>№1228</t>
  </si>
  <si>
    <t>№1227</t>
  </si>
  <si>
    <t>01.09.2026 12:00</t>
  </si>
  <si>
    <t>№1226</t>
  </si>
  <si>
    <t>POLO-DR-146-1</t>
  </si>
  <si>
    <t>№1225</t>
  </si>
  <si>
    <t>№1224</t>
  </si>
  <si>
    <t>№1223</t>
  </si>
  <si>
    <t>№1222</t>
  </si>
  <si>
    <t>№1221</t>
  </si>
  <si>
    <t>№1220</t>
  </si>
  <si>
    <t>№1219</t>
  </si>
  <si>
    <t>№1218</t>
  </si>
  <si>
    <t>№1217</t>
  </si>
  <si>
    <t>POLO-KR-170-1</t>
  </si>
  <si>
    <t>№1216</t>
  </si>
  <si>
    <t>№1215</t>
  </si>
  <si>
    <t>POLO-DR-170-1</t>
  </si>
  <si>
    <t>№1214</t>
  </si>
  <si>
    <t>№1213</t>
  </si>
  <si>
    <t>POLO-DR-170</t>
  </si>
  <si>
    <t>№1212</t>
  </si>
  <si>
    <t>№1211</t>
  </si>
  <si>
    <t>31.08.2026 12:00</t>
  </si>
  <si>
    <t>2026-08</t>
  </si>
  <si>
    <t>№1210</t>
  </si>
  <si>
    <t>№1209</t>
  </si>
  <si>
    <t>SORTY-182</t>
  </si>
  <si>
    <t>№1208</t>
  </si>
  <si>
    <t>№1207</t>
  </si>
  <si>
    <t>№1206</t>
  </si>
  <si>
    <t>№1204</t>
  </si>
  <si>
    <t>29.08.2026 12:00</t>
  </si>
  <si>
    <t>№1203</t>
  </si>
  <si>
    <t>№1202</t>
  </si>
  <si>
    <t>№1201</t>
  </si>
  <si>
    <t>№1200</t>
  </si>
  <si>
    <t>SORTY-176</t>
  </si>
  <si>
    <t>№1199</t>
  </si>
  <si>
    <t>FUTBOLKA-182-1</t>
  </si>
  <si>
    <t>№1198</t>
  </si>
  <si>
    <t>№1197</t>
  </si>
  <si>
    <t>№1196</t>
  </si>
  <si>
    <t>№1195</t>
  </si>
  <si>
    <t>№1194</t>
  </si>
  <si>
    <t>№1193</t>
  </si>
  <si>
    <t>№1192</t>
  </si>
  <si>
    <t>№1191</t>
  </si>
  <si>
    <t>№1190</t>
  </si>
  <si>
    <t>№1189</t>
  </si>
  <si>
    <t>28.08.2026 12:00</t>
  </si>
  <si>
    <t>№1188</t>
  </si>
  <si>
    <t>FUTBOLKA-140-1</t>
  </si>
  <si>
    <t>№1187</t>
  </si>
  <si>
    <t>№1186</t>
  </si>
  <si>
    <t>№1185</t>
  </si>
  <si>
    <t>№1184</t>
  </si>
  <si>
    <t>POLO-KR-110-1</t>
  </si>
  <si>
    <t>№1183</t>
  </si>
  <si>
    <t>№1182</t>
  </si>
  <si>
    <t>№1181</t>
  </si>
  <si>
    <t>№1180</t>
  </si>
  <si>
    <t>№1179</t>
  </si>
  <si>
    <t>№1178</t>
  </si>
  <si>
    <t>№1177</t>
  </si>
  <si>
    <t>№1176</t>
  </si>
  <si>
    <t>№1175</t>
  </si>
  <si>
    <t>POLO-KR-176-1</t>
  </si>
  <si>
    <t>№1174</t>
  </si>
  <si>
    <t>№1173</t>
  </si>
  <si>
    <t>26.08.2026 12:00</t>
  </si>
  <si>
    <t>SORTY-170-1</t>
  </si>
  <si>
    <t>№1172</t>
  </si>
  <si>
    <t>POLO-KR-182-1</t>
  </si>
  <si>
    <t>№1171</t>
  </si>
  <si>
    <t>№1170</t>
  </si>
  <si>
    <t>№1169</t>
  </si>
  <si>
    <t>№1168</t>
  </si>
  <si>
    <t>№1167</t>
  </si>
  <si>
    <t>XUDI-146</t>
  </si>
  <si>
    <t>№1166</t>
  </si>
  <si>
    <t>№1165</t>
  </si>
  <si>
    <t>POLO-DR-140-1</t>
  </si>
  <si>
    <t>№1164</t>
  </si>
  <si>
    <t>№1163</t>
  </si>
  <si>
    <t>№1162</t>
  </si>
  <si>
    <t>№1161</t>
  </si>
  <si>
    <t>№1160</t>
  </si>
  <si>
    <t>№1159</t>
  </si>
  <si>
    <t>№1158</t>
  </si>
  <si>
    <t>№1157</t>
  </si>
  <si>
    <t>№1156</t>
  </si>
  <si>
    <t>POLO-DR-128-1</t>
  </si>
  <si>
    <t>№1155</t>
  </si>
  <si>
    <t>POLO-KR-134</t>
  </si>
  <si>
    <t>№1154</t>
  </si>
  <si>
    <t>FUTBOLKA-128-1</t>
  </si>
  <si>
    <t>№1153</t>
  </si>
  <si>
    <t>POLO-KR-152-1</t>
  </si>
  <si>
    <t>№1152</t>
  </si>
  <si>
    <t>№1151</t>
  </si>
  <si>
    <t>№1150</t>
  </si>
  <si>
    <t>№1149</t>
  </si>
  <si>
    <t>№1148</t>
  </si>
  <si>
    <t>№1147</t>
  </si>
  <si>
    <t>№1146</t>
  </si>
  <si>
    <t>FUTBOLKA-194</t>
  </si>
  <si>
    <t>№1145</t>
  </si>
  <si>
    <t>№1144</t>
  </si>
  <si>
    <t>№1143</t>
  </si>
  <si>
    <t>№1142</t>
  </si>
  <si>
    <t>BRIUKISPORT-182</t>
  </si>
  <si>
    <t>№1141</t>
  </si>
  <si>
    <t>№1140</t>
  </si>
  <si>
    <t>Халык</t>
  </si>
  <si>
    <t>халык</t>
  </si>
  <si>
    <t>№1139</t>
  </si>
  <si>
    <t>25.08.2026 12:00</t>
  </si>
  <si>
    <t>№1138</t>
  </si>
  <si>
    <t>№1137</t>
  </si>
  <si>
    <t>№1136</t>
  </si>
  <si>
    <t>№1135</t>
  </si>
  <si>
    <t>№1134</t>
  </si>
  <si>
    <t>№1133</t>
  </si>
  <si>
    <t>SORTY-146</t>
  </si>
  <si>
    <t>№1132</t>
  </si>
  <si>
    <t>№1131</t>
  </si>
  <si>
    <t>№1130</t>
  </si>
  <si>
    <t>№1129</t>
  </si>
  <si>
    <t>№1128</t>
  </si>
  <si>
    <t>№1127</t>
  </si>
  <si>
    <t>№1125</t>
  </si>
  <si>
    <t>24.08.2026 12:00</t>
  </si>
  <si>
    <t>№1124</t>
  </si>
  <si>
    <t>№1123</t>
  </si>
  <si>
    <t>№1122</t>
  </si>
  <si>
    <t>№1121</t>
  </si>
  <si>
    <t>№1120</t>
  </si>
  <si>
    <t>№1119</t>
  </si>
  <si>
    <t>№1118</t>
  </si>
  <si>
    <t>№1117</t>
  </si>
  <si>
    <t>BOMBER-110</t>
  </si>
  <si>
    <t>№1116</t>
  </si>
  <si>
    <t>XUDI-110</t>
  </si>
  <si>
    <t>№1115</t>
  </si>
  <si>
    <t>POLO-DR-110</t>
  </si>
  <si>
    <t>№1114</t>
  </si>
  <si>
    <t>№1113</t>
  </si>
  <si>
    <t>№1112</t>
  </si>
  <si>
    <t>№1111</t>
  </si>
  <si>
    <t>№1110</t>
  </si>
  <si>
    <t>№1109</t>
  </si>
  <si>
    <t>№1108</t>
  </si>
  <si>
    <t>№1107</t>
  </si>
  <si>
    <t>№1106</t>
  </si>
  <si>
    <t>№1105</t>
  </si>
  <si>
    <t>№1104</t>
  </si>
  <si>
    <t>№1103</t>
  </si>
  <si>
    <t>№1102</t>
  </si>
  <si>
    <t>№1101</t>
  </si>
  <si>
    <t>XUDI-170-1</t>
  </si>
  <si>
    <t>№1100</t>
  </si>
  <si>
    <t>BRIUKISPORT-176-1</t>
  </si>
  <si>
    <t>№1099</t>
  </si>
  <si>
    <t>SORTY-158-1</t>
  </si>
  <si>
    <t>№1098</t>
  </si>
  <si>
    <t>№1097</t>
  </si>
  <si>
    <t>№1096</t>
  </si>
  <si>
    <t>№1095</t>
  </si>
  <si>
    <t>№1094</t>
  </si>
  <si>
    <t>№1093</t>
  </si>
  <si>
    <t>№1092</t>
  </si>
  <si>
    <t>22.08.2026 12:00</t>
  </si>
  <si>
    <t>№1091</t>
  </si>
  <si>
    <t>№1090</t>
  </si>
  <si>
    <t>№1089</t>
  </si>
  <si>
    <t>№1088</t>
  </si>
  <si>
    <t>№1087</t>
  </si>
  <si>
    <t>№1086</t>
  </si>
  <si>
    <t>№1085</t>
  </si>
  <si>
    <t>XUDI-182</t>
  </si>
  <si>
    <t>№1084</t>
  </si>
  <si>
    <t>№1083</t>
  </si>
  <si>
    <t>№1082</t>
  </si>
  <si>
    <t>№1081</t>
  </si>
  <si>
    <t>№1080</t>
  </si>
  <si>
    <t>№1079</t>
  </si>
  <si>
    <t>№1078</t>
  </si>
  <si>
    <t>№1077</t>
  </si>
  <si>
    <t>№1076</t>
  </si>
  <si>
    <t>№1075</t>
  </si>
  <si>
    <t>№1074</t>
  </si>
  <si>
    <t>№1073</t>
  </si>
  <si>
    <t>№1072</t>
  </si>
  <si>
    <t>№1071</t>
  </si>
  <si>
    <t>№1070</t>
  </si>
  <si>
    <t>№1069</t>
  </si>
  <si>
    <t>№1068</t>
  </si>
  <si>
    <t>№1067</t>
  </si>
  <si>
    <t>№1066</t>
  </si>
  <si>
    <t>№1065</t>
  </si>
  <si>
    <t>21.08.2026 12:00</t>
  </si>
  <si>
    <t>№1064</t>
  </si>
  <si>
    <t>№1063</t>
  </si>
  <si>
    <t>№1062</t>
  </si>
  <si>
    <t>№1061</t>
  </si>
  <si>
    <t>№1060</t>
  </si>
  <si>
    <t>№1059</t>
  </si>
  <si>
    <t>№1058</t>
  </si>
  <si>
    <t>№1057</t>
  </si>
  <si>
    <t>№1056</t>
  </si>
  <si>
    <t>№1055</t>
  </si>
  <si>
    <t>№1054</t>
  </si>
  <si>
    <t>№1053</t>
  </si>
  <si>
    <t>№1052</t>
  </si>
  <si>
    <t>№1051</t>
  </si>
  <si>
    <t>17.08.2026 12:00</t>
  </si>
  <si>
    <t>№1050</t>
  </si>
  <si>
    <t>№1049</t>
  </si>
  <si>
    <t>№1048</t>
  </si>
  <si>
    <t>№1047</t>
  </si>
  <si>
    <t>SORTY-146-1</t>
  </si>
  <si>
    <t>№1046</t>
  </si>
  <si>
    <t>№1045</t>
  </si>
  <si>
    <t>№1044</t>
  </si>
  <si>
    <t>№1043</t>
  </si>
  <si>
    <t>№1042</t>
  </si>
  <si>
    <t>№1041</t>
  </si>
  <si>
    <t>№1040</t>
  </si>
  <si>
    <t>№1039</t>
  </si>
  <si>
    <t>№1038</t>
  </si>
  <si>
    <t>№1037</t>
  </si>
  <si>
    <t>№1036</t>
  </si>
  <si>
    <t>№1035</t>
  </si>
  <si>
    <t>№1034</t>
  </si>
  <si>
    <t>№1033</t>
  </si>
  <si>
    <t>№1032</t>
  </si>
  <si>
    <t>№1031</t>
  </si>
  <si>
    <t>№1030</t>
  </si>
  <si>
    <t>№1029</t>
  </si>
  <si>
    <t>№1028</t>
  </si>
  <si>
    <t>№1027</t>
  </si>
  <si>
    <t>№1026</t>
  </si>
  <si>
    <t>№1025</t>
  </si>
  <si>
    <t>№1024</t>
  </si>
  <si>
    <t>№1023</t>
  </si>
  <si>
    <t>№1022</t>
  </si>
  <si>
    <t>№1021</t>
  </si>
  <si>
    <t>№1020</t>
  </si>
  <si>
    <t>№1019</t>
  </si>
  <si>
    <t>№1018</t>
  </si>
  <si>
    <t>№1017</t>
  </si>
  <si>
    <t>№1016</t>
  </si>
  <si>
    <t>№1015</t>
  </si>
  <si>
    <t>№1014</t>
  </si>
  <si>
    <t>№1013</t>
  </si>
  <si>
    <t>№1012</t>
  </si>
  <si>
    <t>№1011</t>
  </si>
  <si>
    <t>№1010</t>
  </si>
  <si>
    <t>№1009</t>
  </si>
  <si>
    <t>№1008</t>
  </si>
  <si>
    <t>№1007</t>
  </si>
  <si>
    <t>№1006</t>
  </si>
  <si>
    <t>№1005</t>
  </si>
  <si>
    <t>№1004</t>
  </si>
  <si>
    <t>№1003</t>
  </si>
  <si>
    <t>№1002</t>
  </si>
  <si>
    <t>№1001</t>
  </si>
  <si>
    <t>№1000</t>
  </si>
  <si>
    <t>№999</t>
  </si>
  <si>
    <t>№998</t>
  </si>
  <si>
    <t>№997</t>
  </si>
  <si>
    <t>№996</t>
  </si>
  <si>
    <t>№995</t>
  </si>
  <si>
    <t>№994</t>
  </si>
  <si>
    <t>POLO-DR-188</t>
  </si>
  <si>
    <t>№993</t>
  </si>
  <si>
    <t>№992</t>
  </si>
  <si>
    <t>№991</t>
  </si>
  <si>
    <t>№990</t>
  </si>
  <si>
    <t>№989</t>
  </si>
  <si>
    <t>№988</t>
  </si>
  <si>
    <t>FUTBOLKA-188</t>
  </si>
  <si>
    <t>№987</t>
  </si>
  <si>
    <t>№986</t>
  </si>
  <si>
    <t>№985</t>
  </si>
  <si>
    <t>№984</t>
  </si>
  <si>
    <t>№983</t>
  </si>
  <si>
    <t>№982</t>
  </si>
  <si>
    <t>№981</t>
  </si>
  <si>
    <t>BOMBER-188</t>
  </si>
  <si>
    <t>№980</t>
  </si>
  <si>
    <t>№979</t>
  </si>
  <si>
    <t>№978</t>
  </si>
  <si>
    <t>№977</t>
  </si>
  <si>
    <t>№976</t>
  </si>
  <si>
    <t>№975</t>
  </si>
  <si>
    <t>№974</t>
  </si>
  <si>
    <t>№973</t>
  </si>
  <si>
    <t>№972</t>
  </si>
  <si>
    <t>№971</t>
  </si>
  <si>
    <t>№970</t>
  </si>
  <si>
    <t>№969</t>
  </si>
  <si>
    <t>№968</t>
  </si>
  <si>
    <t>№967</t>
  </si>
  <si>
    <t>№966</t>
  </si>
  <si>
    <t>№965</t>
  </si>
  <si>
    <t>№964</t>
  </si>
  <si>
    <t>№963</t>
  </si>
  <si>
    <t>№962</t>
  </si>
  <si>
    <t>№961</t>
  </si>
  <si>
    <t>№960</t>
  </si>
  <si>
    <t>№959</t>
  </si>
  <si>
    <t>№958</t>
  </si>
  <si>
    <t>№957</t>
  </si>
  <si>
    <t>№956</t>
  </si>
  <si>
    <t>№955</t>
  </si>
  <si>
    <t>№954</t>
  </si>
  <si>
    <t>№953</t>
  </si>
  <si>
    <t>№952</t>
  </si>
  <si>
    <t>№951</t>
  </si>
  <si>
    <t>№950</t>
  </si>
  <si>
    <t>№949</t>
  </si>
  <si>
    <t>№948</t>
  </si>
  <si>
    <t>№947</t>
  </si>
  <si>
    <t>№946</t>
  </si>
  <si>
    <t>15.08.2026 12:00</t>
  </si>
  <si>
    <t>№945</t>
  </si>
  <si>
    <t>№944</t>
  </si>
  <si>
    <t>№943</t>
  </si>
  <si>
    <t>SORTY-110</t>
  </si>
  <si>
    <t>№942</t>
  </si>
  <si>
    <t>№941</t>
  </si>
  <si>
    <t>№940</t>
  </si>
  <si>
    <t>№939</t>
  </si>
  <si>
    <t>№938</t>
  </si>
  <si>
    <t>№937</t>
  </si>
  <si>
    <t>№936</t>
  </si>
  <si>
    <t>№935</t>
  </si>
  <si>
    <t>№934</t>
  </si>
  <si>
    <t>№933</t>
  </si>
  <si>
    <t>№932</t>
  </si>
  <si>
    <t>№931</t>
  </si>
  <si>
    <t>№930</t>
  </si>
  <si>
    <t>№929</t>
  </si>
  <si>
    <t>№928</t>
  </si>
  <si>
    <t>№927</t>
  </si>
  <si>
    <t>№926</t>
  </si>
  <si>
    <t>№925</t>
  </si>
  <si>
    <t>№924</t>
  </si>
  <si>
    <t>№923</t>
  </si>
  <si>
    <t>№922</t>
  </si>
  <si>
    <t>№921</t>
  </si>
  <si>
    <t>№920</t>
  </si>
  <si>
    <t>№919</t>
  </si>
  <si>
    <t>№918</t>
  </si>
  <si>
    <t>№917</t>
  </si>
  <si>
    <t>№916</t>
  </si>
  <si>
    <t>№915</t>
  </si>
  <si>
    <t>№914</t>
  </si>
  <si>
    <t>№913</t>
  </si>
  <si>
    <t>№912</t>
  </si>
  <si>
    <t>№911</t>
  </si>
  <si>
    <t>№910</t>
  </si>
  <si>
    <t>№909</t>
  </si>
  <si>
    <t>№908</t>
  </si>
  <si>
    <t>№907</t>
  </si>
  <si>
    <t>№906</t>
  </si>
  <si>
    <t>№905</t>
  </si>
  <si>
    <t>№904</t>
  </si>
  <si>
    <t>№903</t>
  </si>
  <si>
    <t>№902</t>
  </si>
  <si>
    <t>№901</t>
  </si>
  <si>
    <t>№900</t>
  </si>
  <si>
    <t>№899</t>
  </si>
  <si>
    <t>BOMBER-170-1</t>
  </si>
  <si>
    <t>№898</t>
  </si>
  <si>
    <t>№897</t>
  </si>
  <si>
    <t>№896</t>
  </si>
  <si>
    <t>№895</t>
  </si>
  <si>
    <t>№894</t>
  </si>
  <si>
    <t>№893</t>
  </si>
  <si>
    <t>№892</t>
  </si>
  <si>
    <t>№891</t>
  </si>
  <si>
    <t>№890</t>
  </si>
  <si>
    <t>№889</t>
  </si>
  <si>
    <t>№888</t>
  </si>
  <si>
    <t>№887</t>
  </si>
  <si>
    <t>№886</t>
  </si>
  <si>
    <t>№885</t>
  </si>
  <si>
    <t>№884</t>
  </si>
  <si>
    <t>№883</t>
  </si>
  <si>
    <t>№882</t>
  </si>
  <si>
    <t>Скидка</t>
  </si>
  <si>
    <t>скидка преподавателю 15%</t>
  </si>
  <si>
    <t>№881</t>
  </si>
  <si>
    <t>№880</t>
  </si>
  <si>
    <t>FUTBOLKA-176-1</t>
  </si>
  <si>
    <t>№879</t>
  </si>
  <si>
    <t>№878</t>
  </si>
  <si>
    <t>№877</t>
  </si>
  <si>
    <t>№876</t>
  </si>
  <si>
    <t>POLO-KR-194</t>
  </si>
  <si>
    <t>№875</t>
  </si>
  <si>
    <t>№874</t>
  </si>
  <si>
    <t>BOMBER-194</t>
  </si>
  <si>
    <t>№873</t>
  </si>
  <si>
    <t>№872</t>
  </si>
  <si>
    <t>№871</t>
  </si>
  <si>
    <t>№870</t>
  </si>
  <si>
    <t>№869</t>
  </si>
  <si>
    <t>№868</t>
  </si>
  <si>
    <t>№867</t>
  </si>
  <si>
    <t>№866</t>
  </si>
  <si>
    <t>№865</t>
  </si>
  <si>
    <t>№864</t>
  </si>
  <si>
    <t>№863</t>
  </si>
  <si>
    <t>№862</t>
  </si>
  <si>
    <t>№861</t>
  </si>
  <si>
    <t>№860</t>
  </si>
  <si>
    <t>№859</t>
  </si>
  <si>
    <t>№858</t>
  </si>
  <si>
    <t>№857</t>
  </si>
  <si>
    <t>№856</t>
  </si>
  <si>
    <t>№855</t>
  </si>
  <si>
    <t>№854</t>
  </si>
  <si>
    <t>№853</t>
  </si>
  <si>
    <t>№852</t>
  </si>
  <si>
    <t>№851</t>
  </si>
  <si>
    <t>№850</t>
  </si>
  <si>
    <t>№849</t>
  </si>
  <si>
    <t>№848</t>
  </si>
  <si>
    <t>№847</t>
  </si>
  <si>
    <t>№846</t>
  </si>
  <si>
    <t>№845</t>
  </si>
  <si>
    <t>№844</t>
  </si>
  <si>
    <t>№843</t>
  </si>
  <si>
    <t>№842</t>
  </si>
  <si>
    <t>№841</t>
  </si>
  <si>
    <t>№840</t>
  </si>
  <si>
    <t>№839</t>
  </si>
  <si>
    <t>№838</t>
  </si>
  <si>
    <t>№837</t>
  </si>
  <si>
    <t>№836</t>
  </si>
  <si>
    <t>№835</t>
  </si>
  <si>
    <t>№834</t>
  </si>
  <si>
    <t>№833</t>
  </si>
  <si>
    <t>№832</t>
  </si>
  <si>
    <t>№831</t>
  </si>
  <si>
    <t>№830</t>
  </si>
  <si>
    <t>№829</t>
  </si>
  <si>
    <t>№828</t>
  </si>
  <si>
    <t>№827</t>
  </si>
  <si>
    <t>№826</t>
  </si>
  <si>
    <t>14.08.2026 12:00</t>
  </si>
  <si>
    <t>№825</t>
  </si>
  <si>
    <t>№824</t>
  </si>
  <si>
    <t>№823</t>
  </si>
  <si>
    <t>№822</t>
  </si>
  <si>
    <t>№821</t>
  </si>
  <si>
    <t>№820</t>
  </si>
  <si>
    <t>№819</t>
  </si>
  <si>
    <t>№818</t>
  </si>
  <si>
    <t>№817</t>
  </si>
  <si>
    <t>№816</t>
  </si>
  <si>
    <t>№815</t>
  </si>
  <si>
    <t>№814</t>
  </si>
  <si>
    <t>№813</t>
  </si>
  <si>
    <t>№812</t>
  </si>
  <si>
    <t>№811</t>
  </si>
  <si>
    <t>№810</t>
  </si>
  <si>
    <t>№809</t>
  </si>
  <si>
    <t>№806</t>
  </si>
  <si>
    <t>№805</t>
  </si>
  <si>
    <t>№804</t>
  </si>
  <si>
    <t>№803</t>
  </si>
  <si>
    <t>№802</t>
  </si>
  <si>
    <t>№801</t>
  </si>
  <si>
    <t>№800</t>
  </si>
  <si>
    <t>№799</t>
  </si>
  <si>
    <t>№798</t>
  </si>
  <si>
    <t>№797</t>
  </si>
  <si>
    <t>№796</t>
  </si>
  <si>
    <t>№795</t>
  </si>
  <si>
    <t>№794</t>
  </si>
  <si>
    <t>№793</t>
  </si>
  <si>
    <t>№792</t>
  </si>
  <si>
    <t>№791</t>
  </si>
  <si>
    <t>№790</t>
  </si>
  <si>
    <t>№789</t>
  </si>
  <si>
    <t>№788</t>
  </si>
  <si>
    <t>№787</t>
  </si>
  <si>
    <t>№786</t>
  </si>
  <si>
    <t>№785</t>
  </si>
  <si>
    <t>№784</t>
  </si>
  <si>
    <t>№783</t>
  </si>
  <si>
    <t>№782</t>
  </si>
  <si>
    <t>№781</t>
  </si>
  <si>
    <t>№780</t>
  </si>
  <si>
    <t>№779</t>
  </si>
  <si>
    <t>№778</t>
  </si>
  <si>
    <t>№777</t>
  </si>
  <si>
    <t>№776</t>
  </si>
  <si>
    <t>№775</t>
  </si>
  <si>
    <t>№774</t>
  </si>
  <si>
    <t>№773</t>
  </si>
  <si>
    <t>№772</t>
  </si>
  <si>
    <t>№771</t>
  </si>
  <si>
    <t>№770</t>
  </si>
  <si>
    <t>№769</t>
  </si>
  <si>
    <t>№768</t>
  </si>
  <si>
    <t>FUTBOLKA-170</t>
  </si>
  <si>
    <t>№767</t>
  </si>
  <si>
    <t>№766</t>
  </si>
  <si>
    <t>№765</t>
  </si>
  <si>
    <t>№764</t>
  </si>
  <si>
    <t>№763</t>
  </si>
  <si>
    <t>№762</t>
  </si>
  <si>
    <t>№761</t>
  </si>
  <si>
    <t>№760</t>
  </si>
  <si>
    <t>№759</t>
  </si>
  <si>
    <t>№758</t>
  </si>
  <si>
    <t>№757</t>
  </si>
  <si>
    <t>№756</t>
  </si>
  <si>
    <t>№755</t>
  </si>
  <si>
    <t>№754</t>
  </si>
  <si>
    <t>№753</t>
  </si>
  <si>
    <t>№752</t>
  </si>
  <si>
    <t>№751</t>
  </si>
  <si>
    <t>№750</t>
  </si>
  <si>
    <t>№749</t>
  </si>
  <si>
    <t>№748</t>
  </si>
  <si>
    <t>№747</t>
  </si>
  <si>
    <t>№746</t>
  </si>
  <si>
    <t>№745</t>
  </si>
  <si>
    <t>№744</t>
  </si>
  <si>
    <t>№743</t>
  </si>
  <si>
    <t>№742</t>
  </si>
  <si>
    <t>№741</t>
  </si>
  <si>
    <t>№740</t>
  </si>
  <si>
    <t>№739</t>
  </si>
  <si>
    <t>№738</t>
  </si>
  <si>
    <t>№737</t>
  </si>
  <si>
    <t>№736</t>
  </si>
  <si>
    <t>№735</t>
  </si>
  <si>
    <t>№734</t>
  </si>
  <si>
    <t>№733</t>
  </si>
  <si>
    <t>№732</t>
  </si>
  <si>
    <t>№731</t>
  </si>
  <si>
    <t>№730</t>
  </si>
  <si>
    <t>SORTY-194</t>
  </si>
  <si>
    <t>№729</t>
  </si>
  <si>
    <t>№728</t>
  </si>
  <si>
    <t>№727</t>
  </si>
  <si>
    <t>POLO-DR-194</t>
  </si>
  <si>
    <t>№726</t>
  </si>
  <si>
    <t>№725</t>
  </si>
  <si>
    <t>№724</t>
  </si>
  <si>
    <t>№723</t>
  </si>
  <si>
    <t>№722</t>
  </si>
  <si>
    <t>№721</t>
  </si>
  <si>
    <t>№720</t>
  </si>
  <si>
    <t>№719</t>
  </si>
  <si>
    <t>№718</t>
  </si>
  <si>
    <t>№717</t>
  </si>
  <si>
    <t>№716</t>
  </si>
  <si>
    <t>№715</t>
  </si>
  <si>
    <t>№714</t>
  </si>
  <si>
    <t>№713</t>
  </si>
  <si>
    <t>№712</t>
  </si>
  <si>
    <t>№711</t>
  </si>
  <si>
    <t>№710</t>
  </si>
  <si>
    <t>№709</t>
  </si>
  <si>
    <t>№708</t>
  </si>
  <si>
    <t>№707</t>
  </si>
  <si>
    <t>№706</t>
  </si>
  <si>
    <t>№705</t>
  </si>
  <si>
    <t>№704</t>
  </si>
  <si>
    <t>№703</t>
  </si>
  <si>
    <t>№702</t>
  </si>
  <si>
    <t>№701</t>
  </si>
  <si>
    <t>№700</t>
  </si>
  <si>
    <t>№699</t>
  </si>
  <si>
    <t>№698</t>
  </si>
  <si>
    <t>№697</t>
  </si>
  <si>
    <t>№696</t>
  </si>
  <si>
    <t>№695</t>
  </si>
  <si>
    <t>№694</t>
  </si>
  <si>
    <t>№693</t>
  </si>
  <si>
    <t>№692</t>
  </si>
  <si>
    <t>№691</t>
  </si>
  <si>
    <t>№690</t>
  </si>
  <si>
    <t>№689</t>
  </si>
  <si>
    <t>№688</t>
  </si>
  <si>
    <t>№687</t>
  </si>
  <si>
    <t>№686</t>
  </si>
  <si>
    <t>№685</t>
  </si>
  <si>
    <t>№684</t>
  </si>
  <si>
    <t>№683</t>
  </si>
  <si>
    <t>№682</t>
  </si>
  <si>
    <t>№681</t>
  </si>
  <si>
    <t>№680</t>
  </si>
  <si>
    <t>№679</t>
  </si>
  <si>
    <t>№678</t>
  </si>
  <si>
    <t>№677</t>
  </si>
  <si>
    <t>№676</t>
  </si>
  <si>
    <t>№675</t>
  </si>
  <si>
    <t>В пошиве</t>
  </si>
  <si>
    <t>№674</t>
  </si>
  <si>
    <t>№673</t>
  </si>
  <si>
    <t>№672</t>
  </si>
  <si>
    <t>№671</t>
  </si>
  <si>
    <t>№670</t>
  </si>
  <si>
    <t>№669</t>
  </si>
  <si>
    <t>№668</t>
  </si>
  <si>
    <t>№667</t>
  </si>
  <si>
    <t>№666</t>
  </si>
  <si>
    <t>№665</t>
  </si>
  <si>
    <t>№664</t>
  </si>
  <si>
    <t>№663</t>
  </si>
  <si>
    <t>№662</t>
  </si>
  <si>
    <t>№661</t>
  </si>
  <si>
    <t>№660</t>
  </si>
  <si>
    <t>№659</t>
  </si>
  <si>
    <t>№658</t>
  </si>
  <si>
    <t>№657</t>
  </si>
  <si>
    <t>№656</t>
  </si>
  <si>
    <t>BRIUKISPORT-116</t>
  </si>
  <si>
    <t>№655</t>
  </si>
  <si>
    <t>№654</t>
  </si>
  <si>
    <t>№653</t>
  </si>
  <si>
    <t>№652</t>
  </si>
  <si>
    <t>№651</t>
  </si>
  <si>
    <t>№650</t>
  </si>
  <si>
    <t>№649</t>
  </si>
  <si>
    <t>№648</t>
  </si>
  <si>
    <t>№647</t>
  </si>
  <si>
    <t>№646</t>
  </si>
  <si>
    <t>№645</t>
  </si>
  <si>
    <t>№644</t>
  </si>
  <si>
    <t>№643</t>
  </si>
  <si>
    <t>№642</t>
  </si>
  <si>
    <t>№641</t>
  </si>
  <si>
    <t>№640</t>
  </si>
  <si>
    <t>№639</t>
  </si>
  <si>
    <t>№638</t>
  </si>
  <si>
    <t>№637</t>
  </si>
  <si>
    <t>№636</t>
  </si>
  <si>
    <t>№635</t>
  </si>
  <si>
    <t>№634</t>
  </si>
  <si>
    <t>№633</t>
  </si>
  <si>
    <t>№632</t>
  </si>
  <si>
    <t>№631</t>
  </si>
  <si>
    <t>№630</t>
  </si>
  <si>
    <t>№629</t>
  </si>
  <si>
    <t>№628</t>
  </si>
  <si>
    <t>№627</t>
  </si>
  <si>
    <t>№626</t>
  </si>
  <si>
    <t>№625</t>
  </si>
  <si>
    <t>№624</t>
  </si>
  <si>
    <t>№623</t>
  </si>
  <si>
    <t>13.08.2026 12:00</t>
  </si>
  <si>
    <t>№622</t>
  </si>
  <si>
    <t>№621</t>
  </si>
  <si>
    <t>№620</t>
  </si>
  <si>
    <t>№619</t>
  </si>
  <si>
    <t>№618</t>
  </si>
  <si>
    <t>№617</t>
  </si>
  <si>
    <t>№616</t>
  </si>
  <si>
    <t>№615</t>
  </si>
  <si>
    <t>POLO-KR-110</t>
  </si>
  <si>
    <t>№614</t>
  </si>
  <si>
    <t>№613</t>
  </si>
  <si>
    <t>№612</t>
  </si>
  <si>
    <t>№611</t>
  </si>
  <si>
    <t>№610</t>
  </si>
  <si>
    <t>№609</t>
  </si>
  <si>
    <t>№608</t>
  </si>
  <si>
    <t>№607</t>
  </si>
  <si>
    <t>№606</t>
  </si>
  <si>
    <t>№605</t>
  </si>
  <si>
    <t>№604</t>
  </si>
  <si>
    <t>№603</t>
  </si>
  <si>
    <t>№602</t>
  </si>
  <si>
    <t>№601</t>
  </si>
  <si>
    <t>№600</t>
  </si>
  <si>
    <t>№599</t>
  </si>
  <si>
    <t>№598</t>
  </si>
  <si>
    <t>№597</t>
  </si>
  <si>
    <t>№596</t>
  </si>
  <si>
    <t>№595</t>
  </si>
  <si>
    <t>№594</t>
  </si>
  <si>
    <t>№593</t>
  </si>
  <si>
    <t>№592</t>
  </si>
  <si>
    <t>№591</t>
  </si>
  <si>
    <t>№590</t>
  </si>
  <si>
    <t>№589</t>
  </si>
  <si>
    <t>№588</t>
  </si>
  <si>
    <t>№587</t>
  </si>
  <si>
    <t>№586</t>
  </si>
  <si>
    <t>№585</t>
  </si>
  <si>
    <t>№584</t>
  </si>
  <si>
    <t>№583</t>
  </si>
  <si>
    <t>№582</t>
  </si>
  <si>
    <t>№581</t>
  </si>
  <si>
    <t>№580</t>
  </si>
  <si>
    <t>№579</t>
  </si>
  <si>
    <t>№578</t>
  </si>
  <si>
    <t>12.08.2026 12:00</t>
  </si>
  <si>
    <t>№577</t>
  </si>
  <si>
    <t>№576</t>
  </si>
  <si>
    <t>№575</t>
  </si>
  <si>
    <t>№574</t>
  </si>
  <si>
    <t>№573</t>
  </si>
  <si>
    <t>№572</t>
  </si>
  <si>
    <t>№571</t>
  </si>
  <si>
    <t>№570</t>
  </si>
  <si>
    <t>№569</t>
  </si>
  <si>
    <t>№568</t>
  </si>
  <si>
    <t>№567</t>
  </si>
  <si>
    <t>№566</t>
  </si>
  <si>
    <t>№565</t>
  </si>
  <si>
    <t>№564</t>
  </si>
  <si>
    <t>№563</t>
  </si>
  <si>
    <t>№562</t>
  </si>
  <si>
    <t>№561</t>
  </si>
  <si>
    <t>№560</t>
  </si>
  <si>
    <t>№559</t>
  </si>
  <si>
    <t>№558</t>
  </si>
  <si>
    <t>№557</t>
  </si>
  <si>
    <t>№556</t>
  </si>
  <si>
    <t>№555</t>
  </si>
  <si>
    <t>№554</t>
  </si>
  <si>
    <t>№553</t>
  </si>
  <si>
    <t>№552</t>
  </si>
  <si>
    <t>№551</t>
  </si>
  <si>
    <t>№550</t>
  </si>
  <si>
    <t>№549</t>
  </si>
  <si>
    <t>№548</t>
  </si>
  <si>
    <t>№547</t>
  </si>
  <si>
    <t>11.08.2026 12:00</t>
  </si>
  <si>
    <t>№546</t>
  </si>
  <si>
    <t>№545</t>
  </si>
  <si>
    <t>№544</t>
  </si>
  <si>
    <t>№543</t>
  </si>
  <si>
    <t>№542</t>
  </si>
  <si>
    <t>№541</t>
  </si>
  <si>
    <t>№540</t>
  </si>
  <si>
    <t>№539</t>
  </si>
  <si>
    <t>№538</t>
  </si>
  <si>
    <t>№537</t>
  </si>
  <si>
    <t>№536</t>
  </si>
  <si>
    <t>№535</t>
  </si>
  <si>
    <t>№534</t>
  </si>
  <si>
    <t>№533</t>
  </si>
  <si>
    <t>№532</t>
  </si>
  <si>
    <t>№531</t>
  </si>
  <si>
    <t>№530</t>
  </si>
  <si>
    <t>№529</t>
  </si>
  <si>
    <t>№528</t>
  </si>
  <si>
    <t>№527</t>
  </si>
  <si>
    <t>№526</t>
  </si>
  <si>
    <t>№525</t>
  </si>
  <si>
    <t>№524</t>
  </si>
  <si>
    <t>№523</t>
  </si>
  <si>
    <t>№522</t>
  </si>
  <si>
    <t>№521</t>
  </si>
  <si>
    <t>№520</t>
  </si>
  <si>
    <t>№519</t>
  </si>
  <si>
    <t>№518</t>
  </si>
  <si>
    <t>№517</t>
  </si>
  <si>
    <t>№516</t>
  </si>
  <si>
    <t>№515</t>
  </si>
  <si>
    <t>№514</t>
  </si>
  <si>
    <t>№513</t>
  </si>
  <si>
    <t>№512</t>
  </si>
  <si>
    <t>№511</t>
  </si>
  <si>
    <t>№510</t>
  </si>
  <si>
    <t>№509</t>
  </si>
  <si>
    <t>№508</t>
  </si>
  <si>
    <t>№507</t>
  </si>
  <si>
    <t>№506</t>
  </si>
  <si>
    <t>№505</t>
  </si>
  <si>
    <t>№504</t>
  </si>
  <si>
    <t>№503</t>
  </si>
  <si>
    <t>№502</t>
  </si>
  <si>
    <t>№501</t>
  </si>
  <si>
    <t>№500</t>
  </si>
  <si>
    <t>№499</t>
  </si>
  <si>
    <t>№498</t>
  </si>
  <si>
    <t>№497</t>
  </si>
  <si>
    <t>№496</t>
  </si>
  <si>
    <t>№495</t>
  </si>
  <si>
    <t>№494</t>
  </si>
  <si>
    <t>№493</t>
  </si>
  <si>
    <t>№492</t>
  </si>
  <si>
    <t>№491</t>
  </si>
  <si>
    <t>№490</t>
  </si>
  <si>
    <t>№489</t>
  </si>
  <si>
    <t>№488</t>
  </si>
  <si>
    <t>№487</t>
  </si>
  <si>
    <t>№486</t>
  </si>
  <si>
    <t>№485</t>
  </si>
  <si>
    <t>№484</t>
  </si>
  <si>
    <t>№483</t>
  </si>
  <si>
    <t>шорты</t>
  </si>
  <si>
    <t>SORTY-134-1</t>
  </si>
  <si>
    <t>№482</t>
  </si>
  <si>
    <t>№481</t>
  </si>
  <si>
    <t>№480</t>
  </si>
  <si>
    <t>№479</t>
  </si>
  <si>
    <t>№478</t>
  </si>
  <si>
    <t>№477</t>
  </si>
  <si>
    <t>№476</t>
  </si>
  <si>
    <t>№475</t>
  </si>
  <si>
    <t>№474</t>
  </si>
  <si>
    <t>№473</t>
  </si>
  <si>
    <t>№472</t>
  </si>
  <si>
    <t>№471</t>
  </si>
  <si>
    <t>№470</t>
  </si>
  <si>
    <t>№469</t>
  </si>
  <si>
    <t>№468</t>
  </si>
  <si>
    <t>№467</t>
  </si>
  <si>
    <t>№466</t>
  </si>
  <si>
    <t>10.08.2026 12:00</t>
  </si>
  <si>
    <t>№465</t>
  </si>
  <si>
    <t>№464</t>
  </si>
  <si>
    <t>№463</t>
  </si>
  <si>
    <t>SORTY-110-1</t>
  </si>
  <si>
    <t>№462</t>
  </si>
  <si>
    <t>№461</t>
  </si>
  <si>
    <t>№460</t>
  </si>
  <si>
    <t>№459</t>
  </si>
  <si>
    <t>№458</t>
  </si>
  <si>
    <t>№457</t>
  </si>
  <si>
    <t>№456</t>
  </si>
  <si>
    <t>№455</t>
  </si>
  <si>
    <t>№454</t>
  </si>
  <si>
    <t>№453</t>
  </si>
  <si>
    <t>№452</t>
  </si>
  <si>
    <t>№451</t>
  </si>
  <si>
    <t>№450</t>
  </si>
  <si>
    <t>№449</t>
  </si>
  <si>
    <t>№448</t>
  </si>
  <si>
    <t>№447</t>
  </si>
  <si>
    <t>№446</t>
  </si>
  <si>
    <t>№445</t>
  </si>
  <si>
    <t>№444</t>
  </si>
  <si>
    <t>№443</t>
  </si>
  <si>
    <t>№442</t>
  </si>
  <si>
    <t>№441</t>
  </si>
  <si>
    <t>№440</t>
  </si>
  <si>
    <t>№439</t>
  </si>
  <si>
    <t>№438</t>
  </si>
  <si>
    <t>№437</t>
  </si>
  <si>
    <t>№436</t>
  </si>
  <si>
    <t>№435</t>
  </si>
  <si>
    <t>№434</t>
  </si>
  <si>
    <t>№433</t>
  </si>
  <si>
    <t>№432</t>
  </si>
  <si>
    <t>SORTY-140-1</t>
  </si>
  <si>
    <t>№431</t>
  </si>
  <si>
    <t>футболка</t>
  </si>
  <si>
    <t>FUTBOLKA-146-1</t>
  </si>
  <si>
    <t>№430</t>
  </si>
  <si>
    <t>№429</t>
  </si>
  <si>
    <t>№428</t>
  </si>
  <si>
    <t>№427</t>
  </si>
  <si>
    <t>№426</t>
  </si>
  <si>
    <t>№425</t>
  </si>
  <si>
    <t>№424</t>
  </si>
  <si>
    <t>№423</t>
  </si>
  <si>
    <t>№422</t>
  </si>
  <si>
    <t>№421</t>
  </si>
  <si>
    <t>№420</t>
  </si>
  <si>
    <t>№419</t>
  </si>
  <si>
    <t>№418</t>
  </si>
  <si>
    <t>№417</t>
  </si>
  <si>
    <t>№416</t>
  </si>
  <si>
    <t>№415</t>
  </si>
  <si>
    <t>№414</t>
  </si>
  <si>
    <t>№413</t>
  </si>
  <si>
    <t>№412</t>
  </si>
  <si>
    <t>№411</t>
  </si>
  <si>
    <t>№410</t>
  </si>
  <si>
    <t>№409</t>
  </si>
  <si>
    <t>№408</t>
  </si>
  <si>
    <t>№407</t>
  </si>
  <si>
    <t>№406</t>
  </si>
  <si>
    <t>№405</t>
  </si>
  <si>
    <t>09.08.2026 12:00</t>
  </si>
  <si>
    <t>№404</t>
  </si>
  <si>
    <t>№403</t>
  </si>
  <si>
    <t>№402</t>
  </si>
  <si>
    <t>№401</t>
  </si>
  <si>
    <t>№400</t>
  </si>
  <si>
    <t>№399</t>
  </si>
  <si>
    <t>№398</t>
  </si>
  <si>
    <t>№397</t>
  </si>
  <si>
    <t>№396</t>
  </si>
  <si>
    <t>№395</t>
  </si>
  <si>
    <t>№394</t>
  </si>
  <si>
    <t>№393</t>
  </si>
  <si>
    <t>№392</t>
  </si>
  <si>
    <t>№391</t>
  </si>
  <si>
    <t>№390</t>
  </si>
  <si>
    <t>№389</t>
  </si>
  <si>
    <t>08.08.2026 12:00</t>
  </si>
  <si>
    <t>№388</t>
  </si>
  <si>
    <t>№387</t>
  </si>
  <si>
    <t>№386</t>
  </si>
  <si>
    <t>№385</t>
  </si>
  <si>
    <t>№384</t>
  </si>
  <si>
    <t>№383</t>
  </si>
  <si>
    <t>№382</t>
  </si>
  <si>
    <t>№381</t>
  </si>
  <si>
    <t>№380</t>
  </si>
  <si>
    <t>№379</t>
  </si>
  <si>
    <t>№378</t>
  </si>
  <si>
    <t>BRIUKISPORT-164-1</t>
  </si>
  <si>
    <t>№377</t>
  </si>
  <si>
    <t>№376</t>
  </si>
  <si>
    <t>№375</t>
  </si>
  <si>
    <t>POLO-KR-116-1</t>
  </si>
  <si>
    <t>№374</t>
  </si>
  <si>
    <t>№373</t>
  </si>
  <si>
    <t>№372</t>
  </si>
  <si>
    <t>№371</t>
  </si>
  <si>
    <t>№370</t>
  </si>
  <si>
    <t>№369</t>
  </si>
  <si>
    <t>№368</t>
  </si>
  <si>
    <t>№367</t>
  </si>
  <si>
    <t>№366</t>
  </si>
  <si>
    <t>№365</t>
  </si>
  <si>
    <t>№364</t>
  </si>
  <si>
    <t>№363</t>
  </si>
  <si>
    <t>№362</t>
  </si>
  <si>
    <t>№361</t>
  </si>
  <si>
    <t>№360</t>
  </si>
  <si>
    <t>№359</t>
  </si>
  <si>
    <t>№358</t>
  </si>
  <si>
    <t>№357</t>
  </si>
  <si>
    <t>№356</t>
  </si>
  <si>
    <t>№355</t>
  </si>
  <si>
    <t>№354</t>
  </si>
  <si>
    <t>№353</t>
  </si>
  <si>
    <t>№352</t>
  </si>
  <si>
    <t>№351</t>
  </si>
  <si>
    <t>№350</t>
  </si>
  <si>
    <t>№349</t>
  </si>
  <si>
    <t>07.08.2026 12:00</t>
  </si>
  <si>
    <t>№348</t>
  </si>
  <si>
    <t>№347</t>
  </si>
  <si>
    <t>№346</t>
  </si>
  <si>
    <t>№345</t>
  </si>
  <si>
    <t>№344</t>
  </si>
  <si>
    <t>№343</t>
  </si>
  <si>
    <t>№342</t>
  </si>
  <si>
    <t>№341</t>
  </si>
  <si>
    <t>№340</t>
  </si>
  <si>
    <t>№339</t>
  </si>
  <si>
    <t>№338</t>
  </si>
  <si>
    <t>№337</t>
  </si>
  <si>
    <t>№336</t>
  </si>
  <si>
    <t>№335</t>
  </si>
  <si>
    <t>№334</t>
  </si>
  <si>
    <t>№333</t>
  </si>
  <si>
    <t>№332</t>
  </si>
  <si>
    <t>№331</t>
  </si>
  <si>
    <t>№330</t>
  </si>
  <si>
    <t>№329</t>
  </si>
  <si>
    <t>№328</t>
  </si>
  <si>
    <t>№327</t>
  </si>
  <si>
    <t>№326</t>
  </si>
  <si>
    <t>№325</t>
  </si>
  <si>
    <t>№324</t>
  </si>
  <si>
    <t>№323</t>
  </si>
  <si>
    <t>№322</t>
  </si>
  <si>
    <t>№321</t>
  </si>
  <si>
    <t>№320</t>
  </si>
  <si>
    <t>№319</t>
  </si>
  <si>
    <t>№318</t>
  </si>
  <si>
    <t>№317</t>
  </si>
  <si>
    <t>№316</t>
  </si>
  <si>
    <t>№315</t>
  </si>
  <si>
    <t>№314</t>
  </si>
  <si>
    <t>№313</t>
  </si>
  <si>
    <t>BOMBER-164-1</t>
  </si>
  <si>
    <t>№312</t>
  </si>
  <si>
    <t>№311</t>
  </si>
  <si>
    <t>№310</t>
  </si>
  <si>
    <t>№309</t>
  </si>
  <si>
    <t>№308</t>
  </si>
  <si>
    <t>№307</t>
  </si>
  <si>
    <t>№306</t>
  </si>
  <si>
    <t>№305</t>
  </si>
  <si>
    <t>№304</t>
  </si>
  <si>
    <t>№303</t>
  </si>
  <si>
    <t>№302</t>
  </si>
  <si>
    <t>06.08.2026 12:00</t>
  </si>
  <si>
    <t>№301</t>
  </si>
  <si>
    <t>№300</t>
  </si>
  <si>
    <t>№299</t>
  </si>
  <si>
    <t>№298</t>
  </si>
  <si>
    <t>№297</t>
  </si>
  <si>
    <t>№296</t>
  </si>
  <si>
    <t>№295</t>
  </si>
  <si>
    <t>№294</t>
  </si>
  <si>
    <t>№293</t>
  </si>
  <si>
    <t>№292</t>
  </si>
  <si>
    <t>№291</t>
  </si>
  <si>
    <t>№290</t>
  </si>
  <si>
    <t>№289</t>
  </si>
  <si>
    <t>№288</t>
  </si>
  <si>
    <t>№287</t>
  </si>
  <si>
    <t>№286</t>
  </si>
  <si>
    <t>№285</t>
  </si>
  <si>
    <t>№284</t>
  </si>
  <si>
    <t>№283</t>
  </si>
  <si>
    <t>№282</t>
  </si>
  <si>
    <t>№281</t>
  </si>
  <si>
    <t>№280</t>
  </si>
  <si>
    <t>№279</t>
  </si>
  <si>
    <t>№278</t>
  </si>
  <si>
    <t>№277</t>
  </si>
  <si>
    <t>№276</t>
  </si>
  <si>
    <t>BRIUKISPORT-128-1</t>
  </si>
  <si>
    <t>№275</t>
  </si>
  <si>
    <t>№274</t>
  </si>
  <si>
    <t>№273</t>
  </si>
  <si>
    <t>№272</t>
  </si>
  <si>
    <t>POLO-DR-134-1</t>
  </si>
  <si>
    <t>№271</t>
  </si>
  <si>
    <t>№270</t>
  </si>
  <si>
    <t>№269</t>
  </si>
  <si>
    <t>№268</t>
  </si>
  <si>
    <t>№267</t>
  </si>
  <si>
    <t>№266</t>
  </si>
  <si>
    <t>FUTBOLKA-152-2</t>
  </si>
  <si>
    <t>№265</t>
  </si>
  <si>
    <t>№264</t>
  </si>
  <si>
    <t>№263</t>
  </si>
  <si>
    <t>№262</t>
  </si>
  <si>
    <t>№261</t>
  </si>
  <si>
    <t>№260</t>
  </si>
  <si>
    <t>№259</t>
  </si>
  <si>
    <t>№258</t>
  </si>
  <si>
    <t>№257</t>
  </si>
  <si>
    <t>№256</t>
  </si>
  <si>
    <t>№255</t>
  </si>
  <si>
    <t>№254</t>
  </si>
  <si>
    <t>№253</t>
  </si>
  <si>
    <t>05.08.2026 12:00</t>
  </si>
  <si>
    <t>№252</t>
  </si>
  <si>
    <t>№251</t>
  </si>
  <si>
    <t>№250</t>
  </si>
  <si>
    <t>№249</t>
  </si>
  <si>
    <t>№248</t>
  </si>
  <si>
    <t>№247</t>
  </si>
  <si>
    <t>№246</t>
  </si>
  <si>
    <t>№245</t>
  </si>
  <si>
    <t>№244</t>
  </si>
  <si>
    <t>№243</t>
  </si>
  <si>
    <t>№242</t>
  </si>
  <si>
    <t>№241</t>
  </si>
  <si>
    <t>№240</t>
  </si>
  <si>
    <t>№239</t>
  </si>
  <si>
    <t>№238</t>
  </si>
  <si>
    <t>№237</t>
  </si>
  <si>
    <t>№236</t>
  </si>
  <si>
    <t>№235</t>
  </si>
  <si>
    <t>№234</t>
  </si>
  <si>
    <t>№233</t>
  </si>
  <si>
    <t>№232</t>
  </si>
  <si>
    <t>№231</t>
  </si>
  <si>
    <t>№230</t>
  </si>
  <si>
    <t>№229</t>
  </si>
  <si>
    <t>№228</t>
  </si>
  <si>
    <t>№227</t>
  </si>
  <si>
    <t>№226</t>
  </si>
  <si>
    <t>№225</t>
  </si>
  <si>
    <t>№224</t>
  </si>
  <si>
    <t>№223</t>
  </si>
  <si>
    <t>№222</t>
  </si>
  <si>
    <t>№221</t>
  </si>
  <si>
    <t>№220</t>
  </si>
  <si>
    <t>№219</t>
  </si>
  <si>
    <t>№218</t>
  </si>
  <si>
    <t>№217</t>
  </si>
  <si>
    <t>№216</t>
  </si>
  <si>
    <t>№215</t>
  </si>
  <si>
    <t>№214</t>
  </si>
  <si>
    <t>04.08.2026 12:00</t>
  </si>
  <si>
    <t>№213</t>
  </si>
  <si>
    <t>№212</t>
  </si>
  <si>
    <t>№211</t>
  </si>
  <si>
    <t>№210</t>
  </si>
  <si>
    <t>№209</t>
  </si>
  <si>
    <t>№208</t>
  </si>
  <si>
    <t>№207</t>
  </si>
  <si>
    <t>XUDI-140-1</t>
  </si>
  <si>
    <t>№206</t>
  </si>
  <si>
    <t>№205</t>
  </si>
  <si>
    <t>№204</t>
  </si>
  <si>
    <t>№203</t>
  </si>
  <si>
    <t>№202</t>
  </si>
  <si>
    <t>№201</t>
  </si>
  <si>
    <t>№193</t>
  </si>
  <si>
    <t>№200</t>
  </si>
  <si>
    <t>03.08.2026 12:00</t>
  </si>
  <si>
    <t>№199</t>
  </si>
  <si>
    <t>ijhns</t>
  </si>
  <si>
    <t>IJHNS-134</t>
  </si>
  <si>
    <t>№198</t>
  </si>
  <si>
    <t>№197</t>
  </si>
  <si>
    <t>№196</t>
  </si>
  <si>
    <t>№195</t>
  </si>
  <si>
    <t>№194</t>
  </si>
  <si>
    <t>№192</t>
  </si>
  <si>
    <t>№191</t>
  </si>
  <si>
    <t>№190</t>
  </si>
  <si>
    <t>№189</t>
  </si>
  <si>
    <t>№188</t>
  </si>
  <si>
    <t>№187</t>
  </si>
  <si>
    <t>№186</t>
  </si>
  <si>
    <t>№185</t>
  </si>
  <si>
    <t>№184</t>
  </si>
  <si>
    <t>№183</t>
  </si>
  <si>
    <t>№182</t>
  </si>
  <si>
    <t>№181</t>
  </si>
  <si>
    <t>№180</t>
  </si>
  <si>
    <t>№179</t>
  </si>
  <si>
    <t>№178</t>
  </si>
  <si>
    <t>№177</t>
  </si>
  <si>
    <t>№176</t>
  </si>
  <si>
    <t>№175</t>
  </si>
  <si>
    <t>№174</t>
  </si>
  <si>
    <t>№173</t>
  </si>
  <si>
    <t>02.08.2026 12:00</t>
  </si>
  <si>
    <t>№172</t>
  </si>
  <si>
    <t>№171</t>
  </si>
  <si>
    <t>№170</t>
  </si>
  <si>
    <t>BRIUKISPORT-134-1</t>
  </si>
  <si>
    <t>№169</t>
  </si>
  <si>
    <t>№168</t>
  </si>
  <si>
    <t>№167</t>
  </si>
  <si>
    <t>01.08.2026 12:00</t>
  </si>
  <si>
    <t>№166</t>
  </si>
  <si>
    <t>№165</t>
  </si>
  <si>
    <t>№164</t>
  </si>
  <si>
    <t>№163</t>
  </si>
  <si>
    <t>№162</t>
  </si>
  <si>
    <t>№161</t>
  </si>
  <si>
    <t>№160</t>
  </si>
  <si>
    <t>№159</t>
  </si>
  <si>
    <t>№158</t>
  </si>
  <si>
    <t>№157</t>
  </si>
  <si>
    <t>№156</t>
  </si>
  <si>
    <t>POLO-KR-128-1</t>
  </si>
  <si>
    <t>№155</t>
  </si>
  <si>
    <t>№154</t>
  </si>
  <si>
    <t>№153</t>
  </si>
  <si>
    <t>№152</t>
  </si>
  <si>
    <t>№151</t>
  </si>
  <si>
    <t>№150</t>
  </si>
  <si>
    <t>№149</t>
  </si>
  <si>
    <t>№148</t>
  </si>
  <si>
    <t>№147</t>
  </si>
  <si>
    <t>№146</t>
  </si>
  <si>
    <t>№145</t>
  </si>
  <si>
    <t>№144</t>
  </si>
  <si>
    <t>№143</t>
  </si>
  <si>
    <t>№142</t>
  </si>
  <si>
    <t>№141</t>
  </si>
  <si>
    <t>№140</t>
  </si>
  <si>
    <t>№139</t>
  </si>
  <si>
    <t>№138</t>
  </si>
  <si>
    <t>№137</t>
  </si>
  <si>
    <t>№136</t>
  </si>
  <si>
    <t>№135</t>
  </si>
  <si>
    <t>№134</t>
  </si>
  <si>
    <t>№133</t>
  </si>
  <si>
    <t>№132</t>
  </si>
  <si>
    <t>№131</t>
  </si>
  <si>
    <t>№130</t>
  </si>
  <si>
    <t>№129</t>
  </si>
  <si>
    <t>№128</t>
  </si>
  <si>
    <t>№127</t>
  </si>
  <si>
    <t>№126</t>
  </si>
  <si>
    <t>№125</t>
  </si>
  <si>
    <t>№124</t>
  </si>
  <si>
    <t>№123</t>
  </si>
  <si>
    <t>№122</t>
  </si>
  <si>
    <t>№121</t>
  </si>
  <si>
    <t>№120</t>
  </si>
  <si>
    <t>№119</t>
  </si>
  <si>
    <t>№118</t>
  </si>
  <si>
    <t>30.07.2026 12:00</t>
  </si>
  <si>
    <t>2026-07</t>
  </si>
  <si>
    <t>№117</t>
  </si>
  <si>
    <t>№116</t>
  </si>
  <si>
    <t>№115</t>
  </si>
  <si>
    <t>№114</t>
  </si>
  <si>
    <t>№113</t>
  </si>
  <si>
    <t>№112</t>
  </si>
  <si>
    <t>№111</t>
  </si>
  <si>
    <t>№110</t>
  </si>
  <si>
    <t>№109</t>
  </si>
  <si>
    <t>BOMBER-140</t>
  </si>
  <si>
    <t>№108</t>
  </si>
  <si>
    <t>№107</t>
  </si>
  <si>
    <t>27.07.2026 12:00</t>
  </si>
  <si>
    <t>№106</t>
  </si>
  <si>
    <t>№105</t>
  </si>
  <si>
    <t>№104</t>
  </si>
  <si>
    <t>№103</t>
  </si>
  <si>
    <t>№102</t>
  </si>
  <si>
    <t>№101</t>
  </si>
  <si>
    <t>№100</t>
  </si>
  <si>
    <t>№98</t>
  </si>
  <si>
    <t>№97</t>
  </si>
  <si>
    <t>№96</t>
  </si>
  <si>
    <t>№95</t>
  </si>
  <si>
    <t>№94</t>
  </si>
  <si>
    <t>№92</t>
  </si>
  <si>
    <t>№91</t>
  </si>
  <si>
    <t>Штаны</t>
  </si>
  <si>
    <t>брюки спортивные</t>
  </si>
  <si>
    <t>BRIUKI-SPORTIVNYE-158</t>
  </si>
  <si>
    <t>№90</t>
  </si>
  <si>
    <t>№89</t>
  </si>
  <si>
    <t>щорты</t>
  </si>
  <si>
    <t>SHHORTY-146</t>
  </si>
  <si>
    <t>№88</t>
  </si>
  <si>
    <t>№87</t>
  </si>
  <si>
    <t>№86</t>
  </si>
  <si>
    <t>№85</t>
  </si>
  <si>
    <t>№84</t>
  </si>
  <si>
    <t>№83</t>
  </si>
  <si>
    <t>№82</t>
  </si>
  <si>
    <t>BRIUKI-SPORTIVNYE-128-1</t>
  </si>
  <si>
    <t>№81</t>
  </si>
  <si>
    <t>№80</t>
  </si>
  <si>
    <t>№79</t>
  </si>
  <si>
    <t>№78</t>
  </si>
  <si>
    <t>№77</t>
  </si>
  <si>
    <t>№76</t>
  </si>
  <si>
    <t>№75</t>
  </si>
  <si>
    <t>№74</t>
  </si>
  <si>
    <t>№73</t>
  </si>
  <si>
    <t>№71</t>
  </si>
  <si>
    <t>№70</t>
  </si>
  <si>
    <t>26.07.2026 12:00</t>
  </si>
  <si>
    <t>№68</t>
  </si>
  <si>
    <t>№67</t>
  </si>
  <si>
    <t>№66</t>
  </si>
  <si>
    <t>№65</t>
  </si>
  <si>
    <t>№64</t>
  </si>
  <si>
    <t>№62</t>
  </si>
  <si>
    <t>№61</t>
  </si>
  <si>
    <t>№60</t>
  </si>
  <si>
    <t>№59</t>
  </si>
  <si>
    <t>№63</t>
  </si>
  <si>
    <t>26.07.2018 12:00</t>
  </si>
  <si>
    <t>2018-07</t>
  </si>
  <si>
    <t>BRIUKI-SPORTIVNYE-170</t>
  </si>
  <si>
    <t>ИТОГО ПО ВЫБОРКЕ (ДИНАМИЧЕСКИЙ ПЕРЕСЧЕТ ПРИ ФИЛЬТРАЦИИ):</t>
  </si>
  <si>
    <t>ВСЕГО ПО РЕЕСТРУ:</t>
  </si>
  <si>
    <t>ОТЧЁТ ПО ПАРТИИ: «НОВЫЙ ЗАВОЗ» (ФАКТИЧЕСКИЕ ПРОДАЖИ)</t>
  </si>
  <si>
    <t>Аналитический срез проданных товаров из партии «Новый завоз» со сводом по размерам и детальным реестром · Период: За весь период работы магазина · Сформирован: 31.10.2026 03:40</t>
  </si>
  <si>
    <t>1. СВОДНАЯ ВЕДОМОСТЬ ПРОДАННЫХ ТОВАРОВ И РАЗМЕРОВ (ПАРТИЯ «НОВЫЙ ЗАВОЗ»)</t>
  </si>
  <si>
    <t>Продано, шт.</t>
  </si>
  <si>
    <t>Доля в выручке партии, %</t>
  </si>
  <si>
    <t>ИТОГО ПО ВЕДОМОСТИ ПАРТИИ:</t>
  </si>
  <si>
    <t>2. ПОПОЗИЦИОННЫЙ РЕЕСТР ПРОДАЖ ИЗ ПАРТИИ «НОВЫЙ ЗАВОЗ»</t>
  </si>
  <si>
    <t>Размер</t>
  </si>
  <si>
    <t>Цена продажи, ₸</t>
  </si>
  <si>
    <t>Сумма, ₸</t>
  </si>
  <si>
    <t>ВСЕГО ПО РЕЕСТРУ ПАРТИИ:</t>
  </si>
  <si>
    <t>ВЕДОМОСТЬ ПРОДАЖ ПО НОМЕНКЛАТУРЕ И ХАРАКТЕРИСТИКАМ (РАЗМЕРАМ И ЦВЕТАМ)</t>
  </si>
  <si>
    <t>Аналитический отчет по продажам детской одежды в разрезе товарных позиций, размерной сетки, цветов и партий · Период: За весь период работы магазина · Сформирован: 31.10.2026 03:40</t>
  </si>
  <si>
    <t>Продано всего, шт.</t>
  </si>
  <si>
    <t>✓ Из наличия, шт.</t>
  </si>
  <si>
    <t>📦 Под заказ, шт.</t>
  </si>
  <si>
    <t>📦 Новый завоз, шт.</t>
  </si>
  <si>
    <t>Скидки, ₸</t>
  </si>
  <si>
    <t>Выручка (Фактически), ₸</t>
  </si>
  <si>
    <t>Средняя цена шт., ₸</t>
  </si>
  <si>
    <t>Доля в выручке вида, %</t>
  </si>
  <si>
    <t>ИТОГО ПО ВЫБОРКЕ:</t>
  </si>
  <si>
    <t>100.0%</t>
  </si>
  <si>
    <t>ВСЕГО ПО НОМЕНКЛАТУРЕ:</t>
  </si>
  <si>
    <t>СВОДНАЯ ВЕДОМОСТЬ: ПРОДАЖИ ПО КАТЕГОРИЯМ И ВИДАМ ИЗДЕЛИЙ</t>
  </si>
  <si>
    <t>Укрупненный анализ товарных направлений с разделением на позиции «В наличии» и «Под заказ» · Период: За весь период работы магазина · Сформирован: 31.10.2026 03:40</t>
  </si>
  <si>
    <t>Выручка общая, ₸</t>
  </si>
  <si>
    <t>Выручка «В наличии», ₸</t>
  </si>
  <si>
    <t>Выручка «Под заказ», ₸</t>
  </si>
  <si>
    <t>Сумма скидок, ₸</t>
  </si>
  <si>
    <t>Себестоимость, ₸</t>
  </si>
  <si>
    <t>Доля в общей выручке, %</t>
  </si>
  <si>
    <t>ВСЕГО ПО ВСЕМ КАТЕГОРИЯМ:</t>
  </si>
  <si>
    <t>ОПЕРАТИВНЫЙ КАЛЕНДАРЬ: ДИНАМИКА ПРОДАЖ ПО ДНЯМ</t>
  </si>
  <si>
    <t>Хронологический анализ ежедневной выручки, потока чеков, среднего чека и распределения по типам · Период: За весь период работы магазина · Сформирован: 31.10.2026 03:40</t>
  </si>
  <si>
    <t>Дата</t>
  </si>
  <si>
    <t>День недели</t>
  </si>
  <si>
    <t>Кол-во чеков</t>
  </si>
  <si>
    <t>Продано вещей, шт.</t>
  </si>
  <si>
    <t>Выручка за день, ₸</t>
  </si>
  <si>
    <t>Выручка наличие, ₸</t>
  </si>
  <si>
    <t>Выручка под заказ, ₸</t>
  </si>
  <si>
    <t>Средний чек, ₸</t>
  </si>
  <si>
    <t>26.10.2026</t>
  </si>
  <si>
    <t>Понедельник</t>
  </si>
  <si>
    <t>25.10.2026</t>
  </si>
  <si>
    <t>Воскресенье</t>
  </si>
  <si>
    <t>24.10.2026</t>
  </si>
  <si>
    <t>Суббота</t>
  </si>
  <si>
    <t>08.10.2026</t>
  </si>
  <si>
    <t>Четверг</t>
  </si>
  <si>
    <t>27.09.2026</t>
  </si>
  <si>
    <t>26.09.2026</t>
  </si>
  <si>
    <t>24.09.2026</t>
  </si>
  <si>
    <t>23.09.2026</t>
  </si>
  <si>
    <t>Среда</t>
  </si>
  <si>
    <t>22.09.2026</t>
  </si>
  <si>
    <t>Вторник</t>
  </si>
  <si>
    <t>21.09.2026</t>
  </si>
  <si>
    <t>20.09.2026</t>
  </si>
  <si>
    <t>19.09.2026</t>
  </si>
  <si>
    <t>18.09.2026</t>
  </si>
  <si>
    <t>Пятница</t>
  </si>
  <si>
    <t>17.09.2026</t>
  </si>
  <si>
    <t>16.09.2026</t>
  </si>
  <si>
    <t>15.09.2026</t>
  </si>
  <si>
    <t>14.09.2026</t>
  </si>
  <si>
    <t>13.09.2026</t>
  </si>
  <si>
    <t>12.09.2026</t>
  </si>
  <si>
    <t>11.09.2026</t>
  </si>
  <si>
    <t>09.09.2026</t>
  </si>
  <si>
    <t>08.09.2026</t>
  </si>
  <si>
    <t>07.09.2026</t>
  </si>
  <si>
    <t>06.09.2026</t>
  </si>
  <si>
    <t>05.09.2026</t>
  </si>
  <si>
    <t>04.09.2026</t>
  </si>
  <si>
    <t>03.09.2026</t>
  </si>
  <si>
    <t>02.09.2026</t>
  </si>
  <si>
    <t>01.09.2026</t>
  </si>
  <si>
    <t>31.08.2026</t>
  </si>
  <si>
    <t>29.08.2026</t>
  </si>
  <si>
    <t>28.08.2026</t>
  </si>
  <si>
    <t>26.08.2026</t>
  </si>
  <si>
    <t>25.08.2026</t>
  </si>
  <si>
    <t>24.08.2026</t>
  </si>
  <si>
    <t>22.08.2026</t>
  </si>
  <si>
    <t>21.08.2026</t>
  </si>
  <si>
    <t>17.08.2026</t>
  </si>
  <si>
    <t>15.08.2026</t>
  </si>
  <si>
    <t>14.08.2026</t>
  </si>
  <si>
    <t>13.08.2026</t>
  </si>
  <si>
    <t>12.08.2026</t>
  </si>
  <si>
    <t>11.08.2026</t>
  </si>
  <si>
    <t>10.08.2026</t>
  </si>
  <si>
    <t>09.08.2026</t>
  </si>
  <si>
    <t>08.08.2026</t>
  </si>
  <si>
    <t>07.08.2026</t>
  </si>
  <si>
    <t>06.08.2026</t>
  </si>
  <si>
    <t>05.08.2026</t>
  </si>
  <si>
    <t>04.08.2026</t>
  </si>
  <si>
    <t>03.08.2026</t>
  </si>
  <si>
    <t>02.08.2026</t>
  </si>
  <si>
    <t>01.08.2026</t>
  </si>
  <si>
    <t>30.07.2026</t>
  </si>
  <si>
    <t>27.07.2026</t>
  </si>
  <si>
    <t>26.07.2026</t>
  </si>
  <si>
    <t>26.07.2018</t>
  </si>
  <si>
    <t>ИТОГО ПО ВЫБОРКЕ ДНЕЙ:</t>
  </si>
  <si>
    <t>ВСЕГО ЗА ПЕРИОД:</t>
  </si>
  <si>
    <t>ЖУРНАЛ ДОКУМЕНТОВ: ЧЕКИ ККМ И ЗАКАЗЫ ПОКУПАТЕЛЕЙ</t>
  </si>
  <si>
    <t>Реестр первичных торговых документов с колонкой партии/завоза (1 строка = 1 чек, без задвоения сумм) · Период: За весь период работы магазина · Сформирован: 31.10.2026 03:40</t>
  </si>
  <si>
    <t>Месяц</t>
  </si>
  <si>
    <t>Позиций в чеке</t>
  </si>
  <si>
    <t>Всего вещей, шт.</t>
  </si>
  <si>
    <t>Сумма без скидки, ₸</t>
  </si>
  <si>
    <t>Скидка по чеку, ₸</t>
  </si>
  <si>
    <t>Итого сумма (Выручка), ₸</t>
  </si>
  <si>
    <t>Себестоимость чека, ₸</t>
  </si>
  <si>
    <t>Прибыль чека, ₸</t>
  </si>
  <si>
    <t>Статус чека</t>
  </si>
  <si>
    <t>Краткий состав чека</t>
  </si>
  <si>
    <t>Поло к/р (158) × 1</t>
  </si>
  <si>
    <t>худи (158) × 1</t>
  </si>
  <si>
    <t>Футболка (170) × 1</t>
  </si>
  <si>
    <t>Шорты (164) × 1</t>
  </si>
  <si>
    <t>Футболка (164) × 1</t>
  </si>
  <si>
    <t>Брюки спортивные (164) × 1</t>
  </si>
  <si>
    <t>Бомбер (164) × 1</t>
  </si>
  <si>
    <t>Поло д/р (164) × 1</t>
  </si>
  <si>
    <t>Поло к/р (164) × 1</t>
  </si>
  <si>
    <t>Шорты (116) × 1</t>
  </si>
  <si>
    <t>Футболка (122) × 1</t>
  </si>
  <si>
    <t>Брюки спортивные (116) × 1</t>
  </si>
  <si>
    <t>Бомбер (116) × 1</t>
  </si>
  <si>
    <t>Поло д/р (116) × 1</t>
  </si>
  <si>
    <t>Поло к/р (116) × 1</t>
  </si>
  <si>
    <t>Футболка спортивная (122) × 1</t>
  </si>
  <si>
    <t>Бомбер (122) × 1</t>
  </si>
  <si>
    <t>Поло д/р (122) × 1</t>
  </si>
  <si>
    <t>Поло к/р (122) × 1</t>
  </si>
  <si>
    <t>Бомбер (158) × 1</t>
  </si>
  <si>
    <t>Бомбер (128) × 1</t>
  </si>
  <si>
    <t>Шорты (122) × 1</t>
  </si>
  <si>
    <t>Брюки спортивные (128) × 2</t>
  </si>
  <si>
    <t>Поло д/р (122) × 2</t>
  </si>
  <si>
    <t>Поло к/р (158) × 2</t>
  </si>
  <si>
    <t>Футболка (158) × 1</t>
  </si>
  <si>
    <t>Шорты (158) × 1</t>
  </si>
  <si>
    <t>Худи (128) × 1</t>
  </si>
  <si>
    <t>Поло к/р (122) × 2</t>
  </si>
  <si>
    <t>худи (146) × 1</t>
  </si>
  <si>
    <t>Поло к/р (170) × 2</t>
  </si>
  <si>
    <t>Поло д/р (134) × 1</t>
  </si>
  <si>
    <t>Брюки.спорт (170) × 1</t>
  </si>
  <si>
    <t>Поло к/р (152) × 1</t>
  </si>
  <si>
    <t>Полузамок (134) × 1</t>
  </si>
  <si>
    <t>Поло к/р (128) × 1</t>
  </si>
  <si>
    <t>Шапка (128) × 1</t>
  </si>
  <si>
    <t>Полузамок мерч (122) × 1</t>
  </si>
  <si>
    <t>Брюки.спорт (128) × 1</t>
  </si>
  <si>
    <t>Брюки.спорт (146) × 1</t>
  </si>
  <si>
    <t>Брюки.спорт (188) × 1</t>
  </si>
  <si>
    <t>Олимпийка мерч (134) × 1</t>
  </si>
  <si>
    <t>Футболка (134) × 1</t>
  </si>
  <si>
    <t>Поло к/р (134) × 2</t>
  </si>
  <si>
    <t>Бомбер (170) × 1</t>
  </si>
  <si>
    <t>худи (170) × 1</t>
  </si>
  <si>
    <t>худи (128) × 1</t>
  </si>
  <si>
    <t>Поло д/р (128) × 1</t>
  </si>
  <si>
    <t>Поло к/р (170) × 1</t>
  </si>
  <si>
    <t>Брюки.спорт (152) × 2</t>
  </si>
  <si>
    <t>Бомбер (176) × 1</t>
  </si>
  <si>
    <t>Брюки.спорт (152) × 1</t>
  </si>
  <si>
    <t>Бомбер (152) × 1</t>
  </si>
  <si>
    <t>Бомбер (134) × 1</t>
  </si>
  <si>
    <t>Шорты (170) × 1</t>
  </si>
  <si>
    <t>Брюки.спорт (164) × 1</t>
  </si>
  <si>
    <t>Брюки.спорт (140) × 1</t>
  </si>
  <si>
    <t>Поло к/р (140) × 1</t>
  </si>
  <si>
    <t>Бомбер (140) × 1</t>
  </si>
  <si>
    <t>Брюки.спорт (110) × 1</t>
  </si>
  <si>
    <t>Футболка (110) × 1</t>
  </si>
  <si>
    <t>Брюки.спорт (176) × 1</t>
  </si>
  <si>
    <t>Брюки палаццо (146) × 1</t>
  </si>
  <si>
    <t>Брюки.спорт (122) × 1</t>
  </si>
  <si>
    <t>Брюки.спорт (134) × 1</t>
  </si>
  <si>
    <t>Поло д/р (134) × 2</t>
  </si>
  <si>
    <t>Брюки.спорт (158) × 1</t>
  </si>
  <si>
    <t>Футболка (146) × 1</t>
  </si>
  <si>
    <t>Поло к/р (146) × 1</t>
  </si>
  <si>
    <t>Поло д/р (152) × 2</t>
  </si>
  <si>
    <t>Бомбер (146) × 1</t>
  </si>
  <si>
    <t>Поло к/р (164) × 2</t>
  </si>
  <si>
    <t>Поло к/р (152) × 3</t>
  </si>
  <si>
    <t>Футболка (140) × 2</t>
  </si>
  <si>
    <t>Шорты (134) × 2</t>
  </si>
  <si>
    <t>Бомбер мерч (140) × 1</t>
  </si>
  <si>
    <t>Поло к/р (140) × 3</t>
  </si>
  <si>
    <t>Поло д/р (158) × 2</t>
  </si>
  <si>
    <t>Футболка (152) × 1</t>
  </si>
  <si>
    <t>Брюки.спорт (140) × 2</t>
  </si>
  <si>
    <t>Шорты (152) × 1</t>
  </si>
  <si>
    <t>Поло к/р (134) × 1</t>
  </si>
  <si>
    <t>Худи (164) × 1</t>
  </si>
  <si>
    <t>Футболка (182) × 1</t>
  </si>
  <si>
    <t>Шапка (110) × 1</t>
  </si>
  <si>
    <t>Поло к/р (182) × 1</t>
  </si>
  <si>
    <t>Поло д/р (146) × 1</t>
  </si>
  <si>
    <t>худи (152) × 1</t>
  </si>
  <si>
    <t>Поло к/р (176) × 1</t>
  </si>
  <si>
    <t>Поло д/р (182) × 1</t>
  </si>
  <si>
    <t>Шапка × 1</t>
  </si>
  <si>
    <t>Футболка (140) × 1</t>
  </si>
  <si>
    <t>Поло к/р (188) × 1</t>
  </si>
  <si>
    <t>худи (164) × 2</t>
  </si>
  <si>
    <t>худи (134) × 1</t>
  </si>
  <si>
    <t>Футболка (128) × 1</t>
  </si>
  <si>
    <t>Поло к/р (152) × 2</t>
  </si>
  <si>
    <t>худи (164) × 1</t>
  </si>
  <si>
    <t>худи (140) × 1</t>
  </si>
  <si>
    <t>Футболка (176) × 1</t>
  </si>
  <si>
    <t>Поло д/р (176) × 1</t>
  </si>
  <si>
    <t>Бомбер (182) × 1</t>
  </si>
  <si>
    <t>худи (176) × 1</t>
  </si>
  <si>
    <t>Свитшот (152) × 1</t>
  </si>
  <si>
    <t>Брюки.спорт (158) × 2</t>
  </si>
  <si>
    <t>Свитшот Мерч (140) × 1</t>
  </si>
  <si>
    <t>Футболка (116) × 1</t>
  </si>
  <si>
    <t>Шапка × 2</t>
  </si>
  <si>
    <t>худи (122) × 1</t>
  </si>
  <si>
    <t>Поло д/р (158) × 1</t>
  </si>
  <si>
    <t>Брюки.спорт (176) × 2</t>
  </si>
  <si>
    <t>Поло д/р (176) × 2</t>
  </si>
  <si>
    <t>Поло к/р (176) × 2</t>
  </si>
  <si>
    <t>худи (188) × 1</t>
  </si>
  <si>
    <t>Поло д/р (182) × 2</t>
  </si>
  <si>
    <t>худи (194) × 1</t>
  </si>
  <si>
    <t>Шапка мерч × 1</t>
  </si>
  <si>
    <t>Поло д/р (140) × 1</t>
  </si>
  <si>
    <t>Шорты (134) × 1</t>
  </si>
  <si>
    <t>Шорты (128) × 1</t>
  </si>
  <si>
    <t>Поло к/р (140) × 2</t>
  </si>
  <si>
    <t>худи (116) × 1</t>
  </si>
  <si>
    <t>Шорты (140) × 1</t>
  </si>
  <si>
    <t>Свитшот мерч (140) × 1</t>
  </si>
  <si>
    <t>Поло д/р (152) × 1</t>
  </si>
  <si>
    <t>Шапка KIS × 1</t>
  </si>
  <si>
    <t>Поло к/р (146) × 2</t>
  </si>
  <si>
    <t>Футболка (146) × 2</t>
  </si>
  <si>
    <t>Поло д/р (170) × 1</t>
  </si>
  <si>
    <t>Шорты (182) × 1</t>
  </si>
  <si>
    <t>Поло д/р (176) × 3</t>
  </si>
  <si>
    <t>Шорты (176) × 1</t>
  </si>
  <si>
    <t>Поло к/р (110) × 1</t>
  </si>
  <si>
    <t>Бомбер (182) × 2</t>
  </si>
  <si>
    <t>Шорты (170) × 2</t>
  </si>
  <si>
    <t>Футболка (164) × 2</t>
  </si>
  <si>
    <t>Поло к/р (182) × 2</t>
  </si>
  <si>
    <t>Поло д/р (140) × 2</t>
  </si>
  <si>
    <t>Поло д/р (170) × 2</t>
  </si>
  <si>
    <t>Поло д/р (128) × 3</t>
  </si>
  <si>
    <t>Поло к/р (134) × 4</t>
  </si>
  <si>
    <t>Футболка (194) × 1</t>
  </si>
  <si>
    <t>Брюки.спорт (182) × 1</t>
  </si>
  <si>
    <t>Поло к/р (158) × 3</t>
  </si>
  <si>
    <t>Шорты (146) × 1</t>
  </si>
  <si>
    <t>Бомбер (110) × 1</t>
  </si>
  <si>
    <t>худи (110) × 1</t>
  </si>
  <si>
    <t>Поло д/р (110) × 1</t>
  </si>
  <si>
    <t>Брюки.спорт (182) × 2</t>
  </si>
  <si>
    <t>Поло д/р (164) × 2</t>
  </si>
  <si>
    <t>худи (182) × 1</t>
  </si>
  <si>
    <t>Бомбер (158) × 2</t>
  </si>
  <si>
    <t>Поло д/р (188) × 1</t>
  </si>
  <si>
    <t>Футболка (188) × 2</t>
  </si>
  <si>
    <t>Футболка (152) × 2</t>
  </si>
  <si>
    <t>Бомбер (188) × 1</t>
  </si>
  <si>
    <t>Брюки.спорт (146) × 2</t>
  </si>
  <si>
    <t>Бомбер (146) × 2</t>
  </si>
  <si>
    <t>Поло к/р (164) × 4</t>
  </si>
  <si>
    <t>Шорты (110) × 1</t>
  </si>
  <si>
    <t>Поло д/р (128) × 2</t>
  </si>
  <si>
    <t>Бомбер (152) × 2</t>
  </si>
  <si>
    <t>Поло к/р (128) × 2</t>
  </si>
  <si>
    <t>Поло к/р (134) × 3</t>
  </si>
  <si>
    <t>Футболка (134) × 2</t>
  </si>
  <si>
    <t>Футболка (176) × 2</t>
  </si>
  <si>
    <t>Футболка (170) × 2</t>
  </si>
  <si>
    <t>Поло к/р (194) × 1</t>
  </si>
  <si>
    <t>Бомбер (194) × 1</t>
  </si>
  <si>
    <t>Брюки.спорт (134) × 2</t>
  </si>
  <si>
    <t>Поло д/р (140) × 3</t>
  </si>
  <si>
    <t>Поло к/р (140) × 5</t>
  </si>
  <si>
    <t>Шорты (152) × 2</t>
  </si>
  <si>
    <t>Поло к/р (170) × 4</t>
  </si>
  <si>
    <t>Брюки.спорт (170) × 2</t>
  </si>
  <si>
    <t>худи (170) × 2</t>
  </si>
  <si>
    <t>Брюки.спорт (134) × 3</t>
  </si>
  <si>
    <t>Футболка (164) × 3</t>
  </si>
  <si>
    <t>Брюки.спорт (164) × 2</t>
  </si>
  <si>
    <t>Шорты (194) × 1</t>
  </si>
  <si>
    <t>Поло д/р (194) × 1</t>
  </si>
  <si>
    <t>Брюки.спорт (128) × 2</t>
  </si>
  <si>
    <t>Бомбер (128) × 2</t>
  </si>
  <si>
    <t>Брюки.спорт (116) × 1</t>
  </si>
  <si>
    <t>Поло к/р (170) × 3</t>
  </si>
  <si>
    <t>Поло к/р (146) × 3</t>
  </si>
  <si>
    <t>Поло к/р (134) × 5</t>
  </si>
  <si>
    <t>Футболка (188) × 1</t>
  </si>
  <si>
    <t>шорты (134) × 1</t>
  </si>
  <si>
    <t>шорты (110) × 1</t>
  </si>
  <si>
    <t>Бомбер (176) × 2</t>
  </si>
  <si>
    <t>Поло к/р (164) × 3</t>
  </si>
  <si>
    <t>Футболка (158) × 2</t>
  </si>
  <si>
    <t>Шорты (158) × 2</t>
  </si>
  <si>
    <t>футболка (146) × 1</t>
  </si>
  <si>
    <t>Поло к/р (194) × 2</t>
  </si>
  <si>
    <t>Шорты (122) × 2</t>
  </si>
  <si>
    <t>Брюки.спорт (122) × 2</t>
  </si>
  <si>
    <t>Поло д/р (116) × 4</t>
  </si>
  <si>
    <t>Поло к/р (116) × 2</t>
  </si>
  <si>
    <t>Бомбер (134) × 2</t>
  </si>
  <si>
    <t>Бомбер (164) × 2</t>
  </si>
  <si>
    <t>Поло д/р (194) × 2</t>
  </si>
  <si>
    <t>футболка (152) × 1</t>
  </si>
  <si>
    <t>Брюки.спорт (122) × 3</t>
  </si>
  <si>
    <t>Футболка (122) × 3</t>
  </si>
  <si>
    <t>Поло д/р (122) × 3</t>
  </si>
  <si>
    <t>Поло к/р (122) × 3</t>
  </si>
  <si>
    <t>Брюки.спорт (140) × 3</t>
  </si>
  <si>
    <t>Шорты (140) × 2</t>
  </si>
  <si>
    <t>Футболка (140) × 3</t>
  </si>
  <si>
    <t>Поло к/р (128) × 3</t>
  </si>
  <si>
    <t>ijhns (134) × 1</t>
  </si>
  <si>
    <t>Футболка (128) × 2</t>
  </si>
  <si>
    <t>Шорты (128) × 2</t>
  </si>
  <si>
    <t>Поло д/р (134) × 3</t>
  </si>
  <si>
    <t>Футболка (122) × 2</t>
  </si>
  <si>
    <t>Бомбер (140) × 3</t>
  </si>
  <si>
    <t>брюки спортивные (158) × 1</t>
  </si>
  <si>
    <t>щорты (146) × 1</t>
  </si>
  <si>
    <t>брюки спортивные (128) × 1</t>
  </si>
  <si>
    <t>Поло к/р (152) × 8</t>
  </si>
  <si>
    <t>Поло к/р (164) × 8</t>
  </si>
  <si>
    <t>брюки спортивные (170) × 1</t>
  </si>
  <si>
    <t>ИТОГО ПО ВЫБОРКЕ ЧЕКОВ:</t>
  </si>
  <si>
    <t>ВСЕГО ПО ЖУРНАЛУ ЧЕКОВ:</t>
  </si>
  <si>
    <t>ВЫРАБОТКА ПЕРСОНАЛА: ОТЧЕТ ПО КАССИРАМ И ОПЕРАТОРАМ</t>
  </si>
  <si>
    <t>Сравнительная ведомость продуктивности сотрудников торгового зала по выручке, чекам и скидкам · Период: За весь период работы магазина · Сформирован: 31.10.2026 03:40</t>
  </si>
  <si>
    <t>Сотрудник (Кассир)</t>
  </si>
  <si>
    <t>Количество чеков</t>
  </si>
  <si>
    <t>Чеков «В наличии»</t>
  </si>
  <si>
    <t>Заказов «Под заказ»</t>
  </si>
  <si>
    <t>Чеков «Новый завоз»</t>
  </si>
  <si>
    <t>Предоставлено скидок, ₸</t>
  </si>
  <si>
    <t>Средний % скидки</t>
  </si>
  <si>
    <t>Доля в выручке магазина, %</t>
  </si>
  <si>
    <t>ИТОГО ПО ВЫБОРКЕ СОТРУДНИКОВ:</t>
  </si>
  <si>
    <t>ВСЕГО ПО ВСЕМ СОТРУДНИКАМ:</t>
  </si>
  <si>
    <t>ПОЯСНИТЕЛЬНАЯ ЗАПИСКА К ЭКСПОРТУ ОТЧЕТНОСТИ (МЕТОДОЛОГИЯ 1С)</t>
  </si>
  <si>
    <t>Магазин детской одежды и школьной формы · Сформирован: 31.10.2026 03:40</t>
  </si>
  <si>
    <t>1. Достоверность данных</t>
  </si>
  <si>
    <t>Отчетность строго опирается на фактически завершенные операции (статус: Оформлен / Approved). Не содержит расчетных или предположительных экстраполяций.</t>
  </si>
  <si>
    <t>2. Складской учет остатков</t>
  </si>
  <si>
    <t>Магазин на данном этапе НЕ ведет складской учет фактических физических остатков. В соответствии с учетной политикой проекта вымышленные остатки и формулы («Было = Продано + Остаток») исключены из всех форм.</t>
  </si>
  <si>
    <t>3. Разделение типов операций</t>
  </si>
  <si>
    <t>Все продажи строго разделены на два независимых потока: «В наличии» (товар выдан непосредственно из торгового зала) и «Под заказ» (индивидуальный пошив школьной формы).</t>
  </si>
  <si>
    <t>4. Учет партий («Новый завоз»)</t>
  </si>
  <si>
    <t>Товары с комментарием «Новый завоз» вынесены на отдельный лист «📦 Новый завоз» со сводной ведомостью по размерам и детальным реестром, а также снабжены отдельной колонкой в главном реестре и журнале чеков.</t>
  </si>
  <si>
    <t>5. Учет цветов и характеристик</t>
  </si>
  <si>
    <t>Цвета фиксируются по позициям чеков (sale_items.color, вариант, карточка товара). Обеспечено корректное сохранение и отображение всех введенных кассиром расцветок (синий, голубой, черный, белый, серый).</t>
  </si>
  <si>
    <t>6. Учет размеров детской одежды</t>
  </si>
  <si>
    <t>Размеры фиксируются по первичным чекам и сортируются в естественном порядке (числовой рост: 110, 116, 122... либо буквенные: XXS..XXL). Для головных уборов размер не требуется.</t>
  </si>
  <si>
    <t>7. Себестоимость и прибыль</t>
  </si>
  <si>
    <t>Себестоимость рассчитывается по полю закупочной цены (purchase_price). Если закупочная цена не была заполнена при создании товара, она принимается равной 0.00 без искажения учетных записей.</t>
  </si>
  <si>
    <t>8. Поставщики и закупки</t>
  </si>
  <si>
    <t>Справочник поставщиков и входящие приходные накладные в текущей версии базы данных не предусмотрены. Учет ведется по факту расходных операций продажи.</t>
  </si>
  <si>
    <t>9. Формулы и автофильтры</t>
  </si>
  <si>
    <t>Во всех таблицах используются стандартные формулы Excel SUBTOTAL(109, ...) и SUBTOTAL(103, ...). При наложении любого фильтра (по дате, кассиру, категории, завоз) все итоги сверху и снизу автоматически пересчитываются.</t>
  </si>
</sst>
</file>

<file path=xl/styles.xml><?xml version="1.0" encoding="utf-8"?>
<styleSheet xmlns="http://schemas.openxmlformats.org/spreadsheetml/2006/main" xml:space="preserve">
  <numFmts count="2">
    <numFmt numFmtId="164" formatCode="#,##0 [$₸-43F]"/>
    <numFmt numFmtId="165" formatCode="0.0%"/>
  </numFmts>
  <fonts count="8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1E293B"/>
      <name val="Calibri"/>
    </font>
    <font>
      <b val="0"/>
      <i val="1"/>
      <strike val="0"/>
      <u val="none"/>
      <sz val="9"/>
      <color rgb="FF64748B"/>
      <name val="Calibri"/>
    </font>
    <font>
      <b val="1"/>
      <i val="0"/>
      <strike val="0"/>
      <u val="none"/>
      <sz val="9"/>
      <color rgb="FF1E293B"/>
      <name val="Calibri"/>
    </font>
    <font>
      <b val="1"/>
      <i val="0"/>
      <strike val="0"/>
      <u val="none"/>
      <sz val="10"/>
      <color rgb="FF0F172A"/>
      <name val="Calibri"/>
    </font>
    <font>
      <b val="1"/>
      <i val="0"/>
      <strike val="0"/>
      <u val="none"/>
      <sz val="10"/>
      <color rgb="FF1E293B"/>
      <name val="Calibri"/>
    </font>
    <font>
      <b val="1"/>
      <i val="0"/>
      <strike val="0"/>
      <u val="none"/>
      <sz val="11"/>
      <color rgb="FF1E293B"/>
      <name val="Calibri"/>
    </font>
    <font>
      <b val="1"/>
      <i val="0"/>
      <strike val="0"/>
      <u val="none"/>
      <sz val="9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  <fill>
      <patternFill patternType="solid">
        <fgColor rgb="FFE0F2FE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F8FAFC"/>
        <bgColor rgb="FF000000"/>
      </patternFill>
    </fill>
  </fills>
  <borders count="7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/>
      <top style="medium">
        <color rgb="FF38BDF8"/>
      </top>
      <bottom style="medium">
        <color rgb="FF38BDF8"/>
      </bottom>
      <diagonal/>
    </border>
    <border>
      <left/>
      <right/>
      <top style="medium">
        <color rgb="FF38BDF8"/>
      </top>
      <bottom style="medium">
        <color rgb="FF38BDF8"/>
      </bottom>
      <diagonal/>
    </border>
    <border>
      <left/>
      <right style="thin">
        <color rgb="FFCBD5E1"/>
      </right>
      <top style="medium">
        <color rgb="FF38BDF8"/>
      </top>
      <bottom style="medium">
        <color rgb="FF38BDF8"/>
      </bottom>
      <diagonal/>
    </border>
    <border>
      <left/>
      <right/>
      <top style="medium">
        <color rgb="FF94A3B8"/>
      </top>
      <bottom style="double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false" shrinkToFit="false"/>
    </xf>
    <xf xfId="0" fontId="4" numFmtId="0" fillId="3" borderId="3" applyFont="1" applyNumberFormat="0" applyFill="1" applyBorder="1" applyAlignment="1">
      <alignment vertical="center" textRotation="0" wrapText="false" shrinkToFit="false"/>
    </xf>
    <xf xfId="0" fontId="4" numFmtId="0" fillId="3" borderId="4" applyFont="1" applyNumberFormat="0" applyFill="1" applyBorder="1" applyAlignment="1">
      <alignment vertical="center" textRotation="0" wrapText="false" shrinkToFit="false"/>
    </xf>
    <xf xfId="0" fontId="5" numFmtId="0" fillId="4" borderId="5" applyFont="1" applyNumberFormat="0" applyFill="1" applyBorder="1" applyAlignment="1">
      <alignment vertical="center" textRotation="0" wrapText="false" shrinkToFit="false"/>
    </xf>
    <xf xfId="0" fontId="0" numFmtId="0" fillId="5" borderId="6" applyFont="0" applyNumberFormat="0" applyFill="1" applyBorder="1" applyAlignment="0"/>
    <xf xfId="0" fontId="0" numFmtId="0" fillId="0" borderId="6" applyFont="0" applyNumberFormat="0" applyFill="0" applyBorder="1" applyAlignment="0"/>
    <xf xfId="0" fontId="0" numFmtId="0" fillId="5" borderId="6" applyFont="0" applyNumberFormat="0" applyFill="1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3" fillId="5" borderId="6" applyFont="0" applyNumberFormat="1" applyFill="1" applyBorder="1" applyAlignment="0"/>
    <xf xfId="0" fontId="0" numFmtId="3" fillId="0" borderId="6" applyFont="0" applyNumberFormat="1" applyFill="0" applyBorder="1" applyAlignment="0"/>
    <xf xfId="0" fontId="5" numFmtId="3" fillId="4" borderId="5" applyFont="1" applyNumberFormat="1" applyFill="1" applyBorder="1" applyAlignment="1">
      <alignment vertical="center" textRotation="0" wrapText="false" shrinkToFit="false"/>
    </xf>
    <xf xfId="0" fontId="0" numFmtId="164" fillId="5" borderId="6" applyFont="0" applyNumberFormat="1" applyFill="1" applyBorder="1" applyAlignment="0"/>
    <xf xfId="0" fontId="0" numFmtId="164" fillId="0" borderId="6" applyFont="0" applyNumberFormat="1" applyFill="0" applyBorder="1" applyAlignment="0"/>
    <xf xfId="0" fontId="0" numFmtId="165" fillId="5" borderId="6" applyFont="0" applyNumberFormat="1" applyFill="1" applyBorder="1" applyAlignment="0"/>
    <xf xfId="0" fontId="0" numFmtId="165" fillId="0" borderId="6" applyFont="0" applyNumberFormat="1" applyFill="0" applyBorder="1" applyAlignment="0"/>
    <xf xfId="0" fontId="5" numFmtId="165" fillId="4" borderId="5" applyFont="1" applyNumberFormat="1" applyFill="1" applyBorder="1" applyAlignment="1">
      <alignment vertical="center" textRotation="0" wrapText="false" shrinkToFit="false"/>
    </xf>
    <xf xfId="0" fontId="5" numFmtId="164" fillId="4" borderId="5" applyFont="1" applyNumberFormat="1" applyFill="1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0"/>
    <xf xfId="0" fontId="7" numFmtId="0" fillId="5" borderId="6" applyFont="1" applyNumberFormat="0" applyFill="1" applyBorder="1" applyAlignment="0"/>
    <xf xfId="0" fontId="7" numFmtId="0" fillId="0" borderId="6" applyFont="1" applyNumberFormat="0" applyFill="0" applyBorder="1" applyAlignment="0"/>
    <xf xfId="0" fontId="0" numFmtId="0" fillId="5" borderId="6" applyFont="0" applyNumberFormat="0" applyFill="1" applyBorder="1" applyAlignment="1">
      <alignment vertical="bottom" textRotation="0" wrapText="true" shrinkToFit="false"/>
    </xf>
    <xf xfId="0" fontId="0" numFmtId="0" fillId="0" borderId="6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C1549"/>
  <sheetViews>
    <sheetView tabSelected="1" workbookViewId="0" showGridLines="true" showRowColHeaders="1">
      <pane ySplit="7" activePane="bottomLeft" state="frozen" topLeftCell="A8"/>
      <selection pane="bottomLeft" activeCell="X8" sqref="X8:X1549"/>
    </sheetView>
  </sheetViews>
  <sheetFormatPr defaultRowHeight="14.4" outlineLevelRow="0" outlineLevelCol="0"/>
  <cols>
    <col min="1" max="1" width="203.472" bestFit="true" customWidth="true" style="0"/>
    <col min="2" max="2" width="24.497" bestFit="true" customWidth="true" style="0"/>
    <col min="3" max="3" width="21.164" bestFit="true" customWidth="true" style="0"/>
    <col min="4" max="4" width="21.164" bestFit="true" customWidth="true" style="0"/>
    <col min="5" max="5" width="18.997" bestFit="true" customWidth="true" style="0"/>
    <col min="6" max="6" width="21.164" bestFit="true" customWidth="true" style="0"/>
    <col min="7" max="7" width="18.997" bestFit="true" customWidth="true" style="0"/>
    <col min="8" max="8" width="17.664" bestFit="true" customWidth="true" style="0"/>
    <col min="9" max="9" width="27.996" bestFit="true" customWidth="true" style="0"/>
    <col min="10" max="10" width="31.162" bestFit="true" customWidth="true" style="0"/>
    <col min="11" max="11" width="30.163" bestFit="true" customWidth="true" style="0"/>
    <col min="12" max="12" width="10.832" bestFit="true" customWidth="true" style="0"/>
    <col min="13" max="13" width="17.664" bestFit="true" customWidth="true" style="0"/>
    <col min="14" max="14" width="26.663" bestFit="true" customWidth="true" style="0"/>
    <col min="15" max="15" width="19.997" bestFit="true" customWidth="true" style="0"/>
    <col min="16" max="16" width="23.497" bestFit="true" customWidth="true" style="0"/>
    <col min="17" max="17" width="26.663" bestFit="true" customWidth="true" style="0"/>
    <col min="18" max="18" width="23.497" bestFit="true" customWidth="true" style="0"/>
    <col min="19" max="19" width="22.164" bestFit="true" customWidth="true" style="0"/>
    <col min="20" max="20" width="23.497" bestFit="true" customWidth="true" style="0"/>
    <col min="21" max="21" width="27.996" bestFit="true" customWidth="true" style="0"/>
    <col min="22" max="22" width="28.996" bestFit="true" customWidth="true" style="0"/>
    <col min="23" max="23" width="25.663" bestFit="true" customWidth="true" style="0"/>
    <col min="24" max="24" width="24.497" bestFit="true" customWidth="true" style="0"/>
    <col min="25" max="25" width="30.163" bestFit="true" customWidth="true" style="0"/>
    <col min="26" max="26" width="23.497" bestFit="true" customWidth="true" style="0"/>
    <col min="27" max="27" width="19.997" bestFit="true" customWidth="true" style="0"/>
    <col min="28" max="28" width="22.164" bestFit="true" customWidth="true" style="0"/>
    <col min="29" max="29" width="27.996" bestFit="true" customWidth="true" style="0"/>
  </cols>
  <sheetData>
    <row r="2" spans="1:29">
      <c r="A2" s="1" t="s">
        <v>0</v>
      </c>
    </row>
    <row r="3" spans="1:29">
      <c r="A3" s="2" t="s">
        <v>1</v>
      </c>
    </row>
    <row r="5" spans="1:29" customHeight="1" ht="24">
      <c r="A5" s="4" t="s">
        <v>1897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f>SUBTOTAL(109, M8:M1548)</f>
        <v>1922</v>
      </c>
      <c r="N5" s="5" t="s">
        <v>44</v>
      </c>
      <c r="O5" s="5" t="s">
        <v>44</v>
      </c>
      <c r="P5" s="5">
        <f>IF(R5&gt;0, S5/R5, 0)</f>
        <v>0.0009228410992758</v>
      </c>
      <c r="Q5" s="5" t="s">
        <v>44</v>
      </c>
      <c r="R5" s="5">
        <f>SUBTOTAL(109, R8:R1548)</f>
        <v>19179900</v>
      </c>
      <c r="S5" s="5">
        <f>SUBTOTAL(109, S8:S1548)</f>
        <v>17700</v>
      </c>
      <c r="T5" s="5">
        <f>SUBTOTAL(109, T8:T1548)</f>
        <v>19162200</v>
      </c>
      <c r="U5" s="5" t="s">
        <v>44</v>
      </c>
      <c r="V5" s="5">
        <f>SUBTOTAL(109, V8:V1548)</f>
        <v>0</v>
      </c>
      <c r="W5" s="5">
        <f>SUBTOTAL(109, W8:W1548)</f>
        <v>19162200</v>
      </c>
      <c r="X5" s="5">
        <f>IF(T5&gt;0, W5/T5, 0)</f>
        <v>1</v>
      </c>
      <c r="Y5" s="5" t="str">
        <f>SUBTOTAL(103, A8:A1548) &amp; " поз."</f>
        <v>1541 поз.</v>
      </c>
      <c r="Z5" s="5"/>
      <c r="AA5" s="5"/>
      <c r="AB5" s="5"/>
      <c r="AC5" s="6"/>
    </row>
    <row r="7" spans="1:29" customHeight="1" ht="28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  <c r="P7" s="3" t="s">
        <v>17</v>
      </c>
      <c r="Q7" s="3" t="s">
        <v>18</v>
      </c>
      <c r="R7" s="3" t="s">
        <v>19</v>
      </c>
      <c r="S7" s="3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</row>
    <row r="8" spans="1:29">
      <c r="A8" s="10">
        <v>1</v>
      </c>
      <c r="B8" s="10" t="s">
        <v>31</v>
      </c>
      <c r="C8" s="10" t="s">
        <v>32</v>
      </c>
      <c r="D8" s="10" t="s">
        <v>33</v>
      </c>
      <c r="E8" s="10" t="s">
        <v>34</v>
      </c>
      <c r="F8" s="10" t="s">
        <v>35</v>
      </c>
      <c r="G8" s="8" t="s">
        <v>36</v>
      </c>
      <c r="H8" s="8" t="s">
        <v>37</v>
      </c>
      <c r="I8" s="8" t="s">
        <v>38</v>
      </c>
      <c r="J8" s="10">
        <v>158</v>
      </c>
      <c r="K8" s="10" t="s">
        <v>39</v>
      </c>
      <c r="L8" s="10" t="s">
        <v>40</v>
      </c>
      <c r="M8" s="12">
        <v>1</v>
      </c>
      <c r="N8" s="15">
        <v>8000.0</v>
      </c>
      <c r="O8" s="15"/>
      <c r="P8" s="17">
        <f>IF(N8&gt;0, O8/N8, 0)</f>
        <v>0</v>
      </c>
      <c r="Q8" s="15">
        <f>N8-O8</f>
        <v>8000</v>
      </c>
      <c r="R8" s="15">
        <f>M8*N8</f>
        <v>8000</v>
      </c>
      <c r="S8" s="15">
        <f>M8*O8</f>
        <v>0</v>
      </c>
      <c r="T8" s="15">
        <f>M8*Q8</f>
        <v>8000</v>
      </c>
      <c r="U8" s="15"/>
      <c r="V8" s="15">
        <f>M8*U8</f>
        <v>0</v>
      </c>
      <c r="W8" s="15">
        <f>T8-V8</f>
        <v>8000</v>
      </c>
      <c r="X8" s="17">
        <f>IF(T8&gt;0, W8/T8, 0)</f>
        <v>1</v>
      </c>
      <c r="Y8" s="8" t="s">
        <v>41</v>
      </c>
      <c r="Z8" s="10" t="s">
        <v>42</v>
      </c>
      <c r="AA8" s="10" t="s">
        <v>43</v>
      </c>
      <c r="AB8" s="10" t="s">
        <v>44</v>
      </c>
      <c r="AC8" s="8" t="s">
        <v>44</v>
      </c>
    </row>
    <row r="9" spans="1:29">
      <c r="A9" s="11">
        <v>2</v>
      </c>
      <c r="B9" s="11" t="s">
        <v>45</v>
      </c>
      <c r="C9" s="11" t="s">
        <v>46</v>
      </c>
      <c r="D9" s="11" t="s">
        <v>33</v>
      </c>
      <c r="E9" s="11" t="s">
        <v>34</v>
      </c>
      <c r="F9" s="11" t="s">
        <v>35</v>
      </c>
      <c r="G9" s="9" t="s">
        <v>36</v>
      </c>
      <c r="H9" s="9" t="s">
        <v>47</v>
      </c>
      <c r="I9" s="9" t="s">
        <v>48</v>
      </c>
      <c r="J9" s="11">
        <v>158</v>
      </c>
      <c r="K9" s="11" t="s">
        <v>49</v>
      </c>
      <c r="L9" s="11" t="s">
        <v>40</v>
      </c>
      <c r="M9" s="13">
        <v>1</v>
      </c>
      <c r="N9" s="16">
        <v>18000.0</v>
      </c>
      <c r="O9" s="16"/>
      <c r="P9" s="18">
        <f>IF(N9&gt;0, O9/N9, 0)</f>
        <v>0</v>
      </c>
      <c r="Q9" s="16">
        <f>N9-O9</f>
        <v>18000</v>
      </c>
      <c r="R9" s="16">
        <f>M9*N9</f>
        <v>18000</v>
      </c>
      <c r="S9" s="16">
        <f>M9*O9</f>
        <v>0</v>
      </c>
      <c r="T9" s="16">
        <f>M9*Q9</f>
        <v>18000</v>
      </c>
      <c r="U9" s="16"/>
      <c r="V9" s="16">
        <f>M9*U9</f>
        <v>0</v>
      </c>
      <c r="W9" s="16">
        <f>T9-V9</f>
        <v>18000</v>
      </c>
      <c r="X9" s="18">
        <f>IF(T9&gt;0, W9/T9, 0)</f>
        <v>1</v>
      </c>
      <c r="Y9" s="9" t="s">
        <v>41</v>
      </c>
      <c r="Z9" s="11" t="s">
        <v>42</v>
      </c>
      <c r="AA9" s="11" t="s">
        <v>43</v>
      </c>
      <c r="AB9" s="11" t="s">
        <v>44</v>
      </c>
      <c r="AC9" s="9" t="s">
        <v>44</v>
      </c>
    </row>
    <row r="10" spans="1:29">
      <c r="A10" s="10">
        <v>3</v>
      </c>
      <c r="B10" s="10" t="s">
        <v>50</v>
      </c>
      <c r="C10" s="10" t="s">
        <v>51</v>
      </c>
      <c r="D10" s="10" t="s">
        <v>33</v>
      </c>
      <c r="E10" s="10" t="s">
        <v>34</v>
      </c>
      <c r="F10" s="10" t="s">
        <v>35</v>
      </c>
      <c r="G10" s="8" t="s">
        <v>52</v>
      </c>
      <c r="H10" s="8" t="s">
        <v>53</v>
      </c>
      <c r="I10" s="8" t="s">
        <v>53</v>
      </c>
      <c r="J10" s="10">
        <v>170</v>
      </c>
      <c r="K10" s="10" t="s">
        <v>54</v>
      </c>
      <c r="L10" s="10" t="s">
        <v>55</v>
      </c>
      <c r="M10" s="12">
        <v>1</v>
      </c>
      <c r="N10" s="15">
        <v>8000.0</v>
      </c>
      <c r="O10" s="15"/>
      <c r="P10" s="17">
        <f>IF(N10&gt;0, O10/N10, 0)</f>
        <v>0</v>
      </c>
      <c r="Q10" s="15">
        <f>N10-O10</f>
        <v>8000</v>
      </c>
      <c r="R10" s="15">
        <f>M10*N10</f>
        <v>8000</v>
      </c>
      <c r="S10" s="15">
        <f>M10*O10</f>
        <v>0</v>
      </c>
      <c r="T10" s="15">
        <f>M10*Q10</f>
        <v>8000</v>
      </c>
      <c r="U10" s="15"/>
      <c r="V10" s="15">
        <f>M10*U10</f>
        <v>0</v>
      </c>
      <c r="W10" s="15">
        <f>T10-V10</f>
        <v>8000</v>
      </c>
      <c r="X10" s="17">
        <f>IF(T10&gt;0, W10/T10, 0)</f>
        <v>1</v>
      </c>
      <c r="Y10" s="8" t="s">
        <v>41</v>
      </c>
      <c r="Z10" s="10" t="s">
        <v>42</v>
      </c>
      <c r="AA10" s="10" t="s">
        <v>43</v>
      </c>
      <c r="AB10" s="10" t="s">
        <v>44</v>
      </c>
      <c r="AC10" s="8" t="s">
        <v>44</v>
      </c>
    </row>
    <row r="11" spans="1:29">
      <c r="A11" s="11">
        <v>4</v>
      </c>
      <c r="B11" s="11" t="s">
        <v>56</v>
      </c>
      <c r="C11" s="11" t="s">
        <v>57</v>
      </c>
      <c r="D11" s="11" t="s">
        <v>33</v>
      </c>
      <c r="E11" s="11" t="s">
        <v>34</v>
      </c>
      <c r="F11" s="11" t="s">
        <v>35</v>
      </c>
      <c r="G11" s="9" t="s">
        <v>36</v>
      </c>
      <c r="H11" s="9" t="s">
        <v>58</v>
      </c>
      <c r="I11" s="9" t="s">
        <v>58</v>
      </c>
      <c r="J11" s="11">
        <v>164</v>
      </c>
      <c r="K11" s="11" t="s">
        <v>59</v>
      </c>
      <c r="L11" s="11" t="s">
        <v>40</v>
      </c>
      <c r="M11" s="13">
        <v>1</v>
      </c>
      <c r="N11" s="16">
        <v>7500.0</v>
      </c>
      <c r="O11" s="16"/>
      <c r="P11" s="18">
        <f>IF(N11&gt;0, O11/N11, 0)</f>
        <v>0</v>
      </c>
      <c r="Q11" s="16">
        <f>N11-O11</f>
        <v>7500</v>
      </c>
      <c r="R11" s="16">
        <f>M11*N11</f>
        <v>7500</v>
      </c>
      <c r="S11" s="16">
        <f>M11*O11</f>
        <v>0</v>
      </c>
      <c r="T11" s="16">
        <f>M11*Q11</f>
        <v>7500</v>
      </c>
      <c r="U11" s="16"/>
      <c r="V11" s="16">
        <f>M11*U11</f>
        <v>0</v>
      </c>
      <c r="W11" s="16">
        <f>T11-V11</f>
        <v>7500</v>
      </c>
      <c r="X11" s="18">
        <f>IF(T11&gt;0, W11/T11, 0)</f>
        <v>1</v>
      </c>
      <c r="Y11" s="9" t="s">
        <v>60</v>
      </c>
      <c r="Z11" s="11" t="s">
        <v>42</v>
      </c>
      <c r="AA11" s="11" t="s">
        <v>43</v>
      </c>
      <c r="AB11" s="11" t="s">
        <v>44</v>
      </c>
      <c r="AC11" s="9" t="s">
        <v>44</v>
      </c>
    </row>
    <row r="12" spans="1:29">
      <c r="A12" s="10">
        <v>5</v>
      </c>
      <c r="B12" s="10" t="s">
        <v>61</v>
      </c>
      <c r="C12" s="10" t="s">
        <v>62</v>
      </c>
      <c r="D12" s="10" t="s">
        <v>33</v>
      </c>
      <c r="E12" s="10" t="s">
        <v>34</v>
      </c>
      <c r="F12" s="10" t="s">
        <v>35</v>
      </c>
      <c r="G12" s="8" t="s">
        <v>36</v>
      </c>
      <c r="H12" s="8" t="s">
        <v>53</v>
      </c>
      <c r="I12" s="8" t="s">
        <v>53</v>
      </c>
      <c r="J12" s="10">
        <v>164</v>
      </c>
      <c r="K12" s="10" t="s">
        <v>63</v>
      </c>
      <c r="L12" s="10" t="s">
        <v>40</v>
      </c>
      <c r="M12" s="12">
        <v>1</v>
      </c>
      <c r="N12" s="15">
        <v>8500.0</v>
      </c>
      <c r="O12" s="15"/>
      <c r="P12" s="17">
        <f>IF(N12&gt;0, O12/N12, 0)</f>
        <v>0</v>
      </c>
      <c r="Q12" s="15">
        <f>N12-O12</f>
        <v>8500</v>
      </c>
      <c r="R12" s="15">
        <f>M12*N12</f>
        <v>8500</v>
      </c>
      <c r="S12" s="15">
        <f>M12*O12</f>
        <v>0</v>
      </c>
      <c r="T12" s="15">
        <f>M12*Q12</f>
        <v>8500</v>
      </c>
      <c r="U12" s="15"/>
      <c r="V12" s="15">
        <f>M12*U12</f>
        <v>0</v>
      </c>
      <c r="W12" s="15">
        <f>T12-V12</f>
        <v>8500</v>
      </c>
      <c r="X12" s="17">
        <f>IF(T12&gt;0, W12/T12, 0)</f>
        <v>1</v>
      </c>
      <c r="Y12" s="8" t="s">
        <v>60</v>
      </c>
      <c r="Z12" s="10" t="s">
        <v>42</v>
      </c>
      <c r="AA12" s="10" t="s">
        <v>43</v>
      </c>
      <c r="AB12" s="10" t="s">
        <v>44</v>
      </c>
      <c r="AC12" s="8" t="s">
        <v>44</v>
      </c>
    </row>
    <row r="13" spans="1:29">
      <c r="A13" s="11">
        <v>6</v>
      </c>
      <c r="B13" s="11" t="s">
        <v>64</v>
      </c>
      <c r="C13" s="11" t="s">
        <v>62</v>
      </c>
      <c r="D13" s="11" t="s">
        <v>33</v>
      </c>
      <c r="E13" s="11" t="s">
        <v>34</v>
      </c>
      <c r="F13" s="11" t="s">
        <v>35</v>
      </c>
      <c r="G13" s="9" t="s">
        <v>36</v>
      </c>
      <c r="H13" s="9" t="s">
        <v>65</v>
      </c>
      <c r="I13" s="9" t="s">
        <v>66</v>
      </c>
      <c r="J13" s="11">
        <v>164</v>
      </c>
      <c r="K13" s="11" t="s">
        <v>67</v>
      </c>
      <c r="L13" s="11" t="s">
        <v>40</v>
      </c>
      <c r="M13" s="13">
        <v>1</v>
      </c>
      <c r="N13" s="16">
        <v>9500.0</v>
      </c>
      <c r="O13" s="16"/>
      <c r="P13" s="18">
        <f>IF(N13&gt;0, O13/N13, 0)</f>
        <v>0</v>
      </c>
      <c r="Q13" s="16">
        <f>N13-O13</f>
        <v>9500</v>
      </c>
      <c r="R13" s="16">
        <f>M13*N13</f>
        <v>9500</v>
      </c>
      <c r="S13" s="16">
        <f>M13*O13</f>
        <v>0</v>
      </c>
      <c r="T13" s="16">
        <f>M13*Q13</f>
        <v>9500</v>
      </c>
      <c r="U13" s="16"/>
      <c r="V13" s="16">
        <f>M13*U13</f>
        <v>0</v>
      </c>
      <c r="W13" s="16">
        <f>T13-V13</f>
        <v>9500</v>
      </c>
      <c r="X13" s="18">
        <f>IF(T13&gt;0, W13/T13, 0)</f>
        <v>1</v>
      </c>
      <c r="Y13" s="9" t="s">
        <v>60</v>
      </c>
      <c r="Z13" s="11" t="s">
        <v>42</v>
      </c>
      <c r="AA13" s="11" t="s">
        <v>43</v>
      </c>
      <c r="AB13" s="11" t="s">
        <v>44</v>
      </c>
      <c r="AC13" s="9" t="s">
        <v>44</v>
      </c>
    </row>
    <row r="14" spans="1:29">
      <c r="A14" s="10">
        <v>7</v>
      </c>
      <c r="B14" s="10" t="s">
        <v>68</v>
      </c>
      <c r="C14" s="10" t="s">
        <v>69</v>
      </c>
      <c r="D14" s="10" t="s">
        <v>33</v>
      </c>
      <c r="E14" s="10" t="s">
        <v>70</v>
      </c>
      <c r="F14" s="10" t="s">
        <v>35</v>
      </c>
      <c r="G14" s="8" t="s">
        <v>36</v>
      </c>
      <c r="H14" s="8" t="s">
        <v>71</v>
      </c>
      <c r="I14" s="8" t="s">
        <v>71</v>
      </c>
      <c r="J14" s="10">
        <v>164</v>
      </c>
      <c r="K14" s="10" t="s">
        <v>72</v>
      </c>
      <c r="L14" s="10" t="s">
        <v>40</v>
      </c>
      <c r="M14" s="12">
        <v>1</v>
      </c>
      <c r="N14" s="15">
        <v>18000.0</v>
      </c>
      <c r="O14" s="15"/>
      <c r="P14" s="17">
        <f>IF(N14&gt;0, O14/N14, 0)</f>
        <v>0</v>
      </c>
      <c r="Q14" s="15">
        <f>N14-O14</f>
        <v>18000</v>
      </c>
      <c r="R14" s="15">
        <f>M14*N14</f>
        <v>18000</v>
      </c>
      <c r="S14" s="15">
        <f>M14*O14</f>
        <v>0</v>
      </c>
      <c r="T14" s="15">
        <f>M14*Q14</f>
        <v>18000</v>
      </c>
      <c r="U14" s="15"/>
      <c r="V14" s="15">
        <f>M14*U14</f>
        <v>0</v>
      </c>
      <c r="W14" s="15">
        <f>T14-V14</f>
        <v>18000</v>
      </c>
      <c r="X14" s="17">
        <f>IF(T14&gt;0, W14/T14, 0)</f>
        <v>1</v>
      </c>
      <c r="Y14" s="8" t="s">
        <v>60</v>
      </c>
      <c r="Z14" s="10" t="s">
        <v>42</v>
      </c>
      <c r="AA14" s="10" t="s">
        <v>73</v>
      </c>
      <c r="AB14" s="10" t="s">
        <v>44</v>
      </c>
      <c r="AC14" s="8" t="s">
        <v>44</v>
      </c>
    </row>
    <row r="15" spans="1:29">
      <c r="A15" s="11">
        <v>8</v>
      </c>
      <c r="B15" s="11" t="s">
        <v>74</v>
      </c>
      <c r="C15" s="11" t="s">
        <v>69</v>
      </c>
      <c r="D15" s="11" t="s">
        <v>33</v>
      </c>
      <c r="E15" s="11" t="s">
        <v>34</v>
      </c>
      <c r="F15" s="11" t="s">
        <v>35</v>
      </c>
      <c r="G15" s="9" t="s">
        <v>36</v>
      </c>
      <c r="H15" s="9" t="s">
        <v>37</v>
      </c>
      <c r="I15" s="9" t="s">
        <v>75</v>
      </c>
      <c r="J15" s="11">
        <v>164</v>
      </c>
      <c r="K15" s="11" t="s">
        <v>76</v>
      </c>
      <c r="L15" s="11" t="s">
        <v>40</v>
      </c>
      <c r="M15" s="13">
        <v>1</v>
      </c>
      <c r="N15" s="16">
        <v>9000.0</v>
      </c>
      <c r="O15" s="16"/>
      <c r="P15" s="18">
        <f>IF(N15&gt;0, O15/N15, 0)</f>
        <v>0</v>
      </c>
      <c r="Q15" s="16">
        <f>N15-O15</f>
        <v>9000</v>
      </c>
      <c r="R15" s="16">
        <f>M15*N15</f>
        <v>9000</v>
      </c>
      <c r="S15" s="16">
        <f>M15*O15</f>
        <v>0</v>
      </c>
      <c r="T15" s="16">
        <f>M15*Q15</f>
        <v>9000</v>
      </c>
      <c r="U15" s="16"/>
      <c r="V15" s="16">
        <f>M15*U15</f>
        <v>0</v>
      </c>
      <c r="W15" s="16">
        <f>T15-V15</f>
        <v>9000</v>
      </c>
      <c r="X15" s="18">
        <f>IF(T15&gt;0, W15/T15, 0)</f>
        <v>1</v>
      </c>
      <c r="Y15" s="9" t="s">
        <v>60</v>
      </c>
      <c r="Z15" s="11" t="s">
        <v>42</v>
      </c>
      <c r="AA15" s="11" t="s">
        <v>43</v>
      </c>
      <c r="AB15" s="11" t="s">
        <v>44</v>
      </c>
      <c r="AC15" s="9" t="s">
        <v>44</v>
      </c>
    </row>
    <row r="16" spans="1:29">
      <c r="A16" s="10">
        <v>9</v>
      </c>
      <c r="B16" s="10" t="s">
        <v>77</v>
      </c>
      <c r="C16" s="10" t="s">
        <v>78</v>
      </c>
      <c r="D16" s="10" t="s">
        <v>33</v>
      </c>
      <c r="E16" s="10" t="s">
        <v>34</v>
      </c>
      <c r="F16" s="10" t="s">
        <v>35</v>
      </c>
      <c r="G16" s="8" t="s">
        <v>36</v>
      </c>
      <c r="H16" s="8" t="s">
        <v>37</v>
      </c>
      <c r="I16" s="8" t="s">
        <v>38</v>
      </c>
      <c r="J16" s="10">
        <v>164</v>
      </c>
      <c r="K16" s="10" t="s">
        <v>79</v>
      </c>
      <c r="L16" s="10" t="s">
        <v>40</v>
      </c>
      <c r="M16" s="12">
        <v>1</v>
      </c>
      <c r="N16" s="15">
        <v>8000.0</v>
      </c>
      <c r="O16" s="15"/>
      <c r="P16" s="17">
        <f>IF(N16&gt;0, O16/N16, 0)</f>
        <v>0</v>
      </c>
      <c r="Q16" s="15">
        <f>N16-O16</f>
        <v>8000</v>
      </c>
      <c r="R16" s="15">
        <f>M16*N16</f>
        <v>8000</v>
      </c>
      <c r="S16" s="15">
        <f>M16*O16</f>
        <v>0</v>
      </c>
      <c r="T16" s="15">
        <f>M16*Q16</f>
        <v>8000</v>
      </c>
      <c r="U16" s="15"/>
      <c r="V16" s="15">
        <f>M16*U16</f>
        <v>0</v>
      </c>
      <c r="W16" s="15">
        <f>T16-V16</f>
        <v>8000</v>
      </c>
      <c r="X16" s="17">
        <f>IF(T16&gt;0, W16/T16, 0)</f>
        <v>1</v>
      </c>
      <c r="Y16" s="8" t="s">
        <v>60</v>
      </c>
      <c r="Z16" s="10" t="s">
        <v>42</v>
      </c>
      <c r="AA16" s="10" t="s">
        <v>43</v>
      </c>
      <c r="AB16" s="10" t="s">
        <v>44</v>
      </c>
      <c r="AC16" s="8" t="s">
        <v>44</v>
      </c>
    </row>
    <row r="17" spans="1:29">
      <c r="A17" s="11">
        <v>10</v>
      </c>
      <c r="B17" s="11" t="s">
        <v>80</v>
      </c>
      <c r="C17" s="11" t="s">
        <v>78</v>
      </c>
      <c r="D17" s="11" t="s">
        <v>33</v>
      </c>
      <c r="E17" s="11" t="s">
        <v>34</v>
      </c>
      <c r="F17" s="11" t="s">
        <v>35</v>
      </c>
      <c r="G17" s="9" t="s">
        <v>52</v>
      </c>
      <c r="H17" s="9" t="s">
        <v>58</v>
      </c>
      <c r="I17" s="9" t="s">
        <v>58</v>
      </c>
      <c r="J17" s="11">
        <v>116</v>
      </c>
      <c r="K17" s="11" t="s">
        <v>81</v>
      </c>
      <c r="L17" s="11" t="s">
        <v>40</v>
      </c>
      <c r="M17" s="13">
        <v>1</v>
      </c>
      <c r="N17" s="16">
        <v>7000.0</v>
      </c>
      <c r="O17" s="16"/>
      <c r="P17" s="18">
        <f>IF(N17&gt;0, O17/N17, 0)</f>
        <v>0</v>
      </c>
      <c r="Q17" s="16">
        <f>N17-O17</f>
        <v>7000</v>
      </c>
      <c r="R17" s="16">
        <f>M17*N17</f>
        <v>7000</v>
      </c>
      <c r="S17" s="16">
        <f>M17*O17</f>
        <v>0</v>
      </c>
      <c r="T17" s="16">
        <f>M17*Q17</f>
        <v>7000</v>
      </c>
      <c r="U17" s="16"/>
      <c r="V17" s="16">
        <f>M17*U17</f>
        <v>0</v>
      </c>
      <c r="W17" s="16">
        <f>T17-V17</f>
        <v>7000</v>
      </c>
      <c r="X17" s="18">
        <f>IF(T17&gt;0, W17/T17, 0)</f>
        <v>1</v>
      </c>
      <c r="Y17" s="9" t="s">
        <v>60</v>
      </c>
      <c r="Z17" s="11" t="s">
        <v>42</v>
      </c>
      <c r="AA17" s="11" t="s">
        <v>43</v>
      </c>
      <c r="AB17" s="11" t="s">
        <v>44</v>
      </c>
      <c r="AC17" s="9" t="s">
        <v>44</v>
      </c>
    </row>
    <row r="18" spans="1:29">
      <c r="A18" s="10">
        <v>11</v>
      </c>
      <c r="B18" s="10" t="s">
        <v>82</v>
      </c>
      <c r="C18" s="10" t="s">
        <v>83</v>
      </c>
      <c r="D18" s="10" t="s">
        <v>33</v>
      </c>
      <c r="E18" s="10" t="s">
        <v>34</v>
      </c>
      <c r="F18" s="10" t="s">
        <v>35</v>
      </c>
      <c r="G18" s="8" t="s">
        <v>52</v>
      </c>
      <c r="H18" s="8" t="s">
        <v>53</v>
      </c>
      <c r="I18" s="8" t="s">
        <v>53</v>
      </c>
      <c r="J18" s="10">
        <v>122</v>
      </c>
      <c r="K18" s="10" t="s">
        <v>84</v>
      </c>
      <c r="L18" s="10" t="s">
        <v>55</v>
      </c>
      <c r="M18" s="12">
        <v>1</v>
      </c>
      <c r="N18" s="15">
        <v>8000.0</v>
      </c>
      <c r="O18" s="15"/>
      <c r="P18" s="17">
        <f>IF(N18&gt;0, O18/N18, 0)</f>
        <v>0</v>
      </c>
      <c r="Q18" s="15">
        <f>N18-O18</f>
        <v>8000</v>
      </c>
      <c r="R18" s="15">
        <f>M18*N18</f>
        <v>8000</v>
      </c>
      <c r="S18" s="15">
        <f>M18*O18</f>
        <v>0</v>
      </c>
      <c r="T18" s="15">
        <f>M18*Q18</f>
        <v>8000</v>
      </c>
      <c r="U18" s="15"/>
      <c r="V18" s="15">
        <f>M18*U18</f>
        <v>0</v>
      </c>
      <c r="W18" s="15">
        <f>T18-V18</f>
        <v>8000</v>
      </c>
      <c r="X18" s="17">
        <f>IF(T18&gt;0, W18/T18, 0)</f>
        <v>1</v>
      </c>
      <c r="Y18" s="8" t="s">
        <v>60</v>
      </c>
      <c r="Z18" s="10" t="s">
        <v>42</v>
      </c>
      <c r="AA18" s="10" t="s">
        <v>43</v>
      </c>
      <c r="AB18" s="10" t="s">
        <v>44</v>
      </c>
      <c r="AC18" s="8" t="s">
        <v>44</v>
      </c>
    </row>
    <row r="19" spans="1:29">
      <c r="A19" s="11">
        <v>12</v>
      </c>
      <c r="B19" s="11" t="s">
        <v>85</v>
      </c>
      <c r="C19" s="11" t="s">
        <v>83</v>
      </c>
      <c r="D19" s="11" t="s">
        <v>33</v>
      </c>
      <c r="E19" s="11" t="s">
        <v>34</v>
      </c>
      <c r="F19" s="11" t="s">
        <v>35</v>
      </c>
      <c r="G19" s="9" t="s">
        <v>52</v>
      </c>
      <c r="H19" s="9" t="s">
        <v>65</v>
      </c>
      <c r="I19" s="9" t="s">
        <v>66</v>
      </c>
      <c r="J19" s="11">
        <v>116</v>
      </c>
      <c r="K19" s="11" t="s">
        <v>86</v>
      </c>
      <c r="L19" s="11" t="s">
        <v>40</v>
      </c>
      <c r="M19" s="13">
        <v>1</v>
      </c>
      <c r="N19" s="16">
        <v>9000.0</v>
      </c>
      <c r="O19" s="16"/>
      <c r="P19" s="18">
        <f>IF(N19&gt;0, O19/N19, 0)</f>
        <v>0</v>
      </c>
      <c r="Q19" s="16">
        <f>N19-O19</f>
        <v>9000</v>
      </c>
      <c r="R19" s="16">
        <f>M19*N19</f>
        <v>9000</v>
      </c>
      <c r="S19" s="16">
        <f>M19*O19</f>
        <v>0</v>
      </c>
      <c r="T19" s="16">
        <f>M19*Q19</f>
        <v>9000</v>
      </c>
      <c r="U19" s="16"/>
      <c r="V19" s="16">
        <f>M19*U19</f>
        <v>0</v>
      </c>
      <c r="W19" s="16">
        <f>T19-V19</f>
        <v>9000</v>
      </c>
      <c r="X19" s="18">
        <f>IF(T19&gt;0, W19/T19, 0)</f>
        <v>1</v>
      </c>
      <c r="Y19" s="9" t="s">
        <v>60</v>
      </c>
      <c r="Z19" s="11" t="s">
        <v>42</v>
      </c>
      <c r="AA19" s="11" t="s">
        <v>43</v>
      </c>
      <c r="AB19" s="11" t="s">
        <v>44</v>
      </c>
      <c r="AC19" s="9" t="s">
        <v>44</v>
      </c>
    </row>
    <row r="20" spans="1:29">
      <c r="A20" s="10">
        <v>13</v>
      </c>
      <c r="B20" s="10" t="s">
        <v>87</v>
      </c>
      <c r="C20" s="10" t="s">
        <v>88</v>
      </c>
      <c r="D20" s="10" t="s">
        <v>33</v>
      </c>
      <c r="E20" s="10" t="s">
        <v>34</v>
      </c>
      <c r="F20" s="10" t="s">
        <v>35</v>
      </c>
      <c r="G20" s="8" t="s">
        <v>52</v>
      </c>
      <c r="H20" s="8" t="s">
        <v>71</v>
      </c>
      <c r="I20" s="8" t="s">
        <v>71</v>
      </c>
      <c r="J20" s="10">
        <v>116</v>
      </c>
      <c r="K20" s="10" t="s">
        <v>89</v>
      </c>
      <c r="L20" s="10" t="s">
        <v>40</v>
      </c>
      <c r="M20" s="12">
        <v>1</v>
      </c>
      <c r="N20" s="15">
        <v>17000.0</v>
      </c>
      <c r="O20" s="15"/>
      <c r="P20" s="17">
        <f>IF(N20&gt;0, O20/N20, 0)</f>
        <v>0</v>
      </c>
      <c r="Q20" s="15">
        <f>N20-O20</f>
        <v>17000</v>
      </c>
      <c r="R20" s="15">
        <f>M20*N20</f>
        <v>17000</v>
      </c>
      <c r="S20" s="15">
        <f>M20*O20</f>
        <v>0</v>
      </c>
      <c r="T20" s="15">
        <f>M20*Q20</f>
        <v>17000</v>
      </c>
      <c r="U20" s="15"/>
      <c r="V20" s="15">
        <f>M20*U20</f>
        <v>0</v>
      </c>
      <c r="W20" s="15">
        <f>T20-V20</f>
        <v>17000</v>
      </c>
      <c r="X20" s="17">
        <f>IF(T20&gt;0, W20/T20, 0)</f>
        <v>1</v>
      </c>
      <c r="Y20" s="8" t="s">
        <v>60</v>
      </c>
      <c r="Z20" s="10" t="s">
        <v>42</v>
      </c>
      <c r="AA20" s="10" t="s">
        <v>43</v>
      </c>
      <c r="AB20" s="10" t="s">
        <v>44</v>
      </c>
      <c r="AC20" s="8" t="s">
        <v>44</v>
      </c>
    </row>
    <row r="21" spans="1:29">
      <c r="A21" s="11">
        <v>14</v>
      </c>
      <c r="B21" s="11" t="s">
        <v>90</v>
      </c>
      <c r="C21" s="11" t="s">
        <v>88</v>
      </c>
      <c r="D21" s="11" t="s">
        <v>33</v>
      </c>
      <c r="E21" s="11" t="s">
        <v>34</v>
      </c>
      <c r="F21" s="11" t="s">
        <v>35</v>
      </c>
      <c r="G21" s="9" t="s">
        <v>52</v>
      </c>
      <c r="H21" s="9" t="s">
        <v>37</v>
      </c>
      <c r="I21" s="9" t="s">
        <v>75</v>
      </c>
      <c r="J21" s="11">
        <v>116</v>
      </c>
      <c r="K21" s="11" t="s">
        <v>91</v>
      </c>
      <c r="L21" s="11" t="s">
        <v>55</v>
      </c>
      <c r="M21" s="13">
        <v>1</v>
      </c>
      <c r="N21" s="16">
        <v>8000.0</v>
      </c>
      <c r="O21" s="16"/>
      <c r="P21" s="18">
        <f>IF(N21&gt;0, O21/N21, 0)</f>
        <v>0</v>
      </c>
      <c r="Q21" s="16">
        <f>N21-O21</f>
        <v>8000</v>
      </c>
      <c r="R21" s="16">
        <f>M21*N21</f>
        <v>8000</v>
      </c>
      <c r="S21" s="16">
        <f>M21*O21</f>
        <v>0</v>
      </c>
      <c r="T21" s="16">
        <f>M21*Q21</f>
        <v>8000</v>
      </c>
      <c r="U21" s="16"/>
      <c r="V21" s="16">
        <f>M21*U21</f>
        <v>0</v>
      </c>
      <c r="W21" s="16">
        <f>T21-V21</f>
        <v>8000</v>
      </c>
      <c r="X21" s="18">
        <f>IF(T21&gt;0, W21/T21, 0)</f>
        <v>1</v>
      </c>
      <c r="Y21" s="9" t="s">
        <v>60</v>
      </c>
      <c r="Z21" s="11" t="s">
        <v>42</v>
      </c>
      <c r="AA21" s="11" t="s">
        <v>43</v>
      </c>
      <c r="AB21" s="11" t="s">
        <v>44</v>
      </c>
      <c r="AC21" s="9" t="s">
        <v>44</v>
      </c>
    </row>
    <row r="22" spans="1:29">
      <c r="A22" s="10">
        <v>15</v>
      </c>
      <c r="B22" s="10" t="s">
        <v>92</v>
      </c>
      <c r="C22" s="10" t="s">
        <v>93</v>
      </c>
      <c r="D22" s="10" t="s">
        <v>33</v>
      </c>
      <c r="E22" s="10" t="s">
        <v>34</v>
      </c>
      <c r="F22" s="10" t="s">
        <v>35</v>
      </c>
      <c r="G22" s="8" t="s">
        <v>52</v>
      </c>
      <c r="H22" s="8" t="s">
        <v>37</v>
      </c>
      <c r="I22" s="8" t="s">
        <v>38</v>
      </c>
      <c r="J22" s="10">
        <v>116</v>
      </c>
      <c r="K22" s="10" t="s">
        <v>94</v>
      </c>
      <c r="L22" s="10" t="s">
        <v>55</v>
      </c>
      <c r="M22" s="12">
        <v>1</v>
      </c>
      <c r="N22" s="15">
        <v>7000.0</v>
      </c>
      <c r="O22" s="15"/>
      <c r="P22" s="17">
        <f>IF(N22&gt;0, O22/N22, 0)</f>
        <v>0</v>
      </c>
      <c r="Q22" s="15">
        <f>N22-O22</f>
        <v>7000</v>
      </c>
      <c r="R22" s="15">
        <f>M22*N22</f>
        <v>7000</v>
      </c>
      <c r="S22" s="15">
        <f>M22*O22</f>
        <v>0</v>
      </c>
      <c r="T22" s="15">
        <f>M22*Q22</f>
        <v>7000</v>
      </c>
      <c r="U22" s="15"/>
      <c r="V22" s="15">
        <f>M22*U22</f>
        <v>0</v>
      </c>
      <c r="W22" s="15">
        <f>T22-V22</f>
        <v>7000</v>
      </c>
      <c r="X22" s="17">
        <f>IF(T22&gt;0, W22/T22, 0)</f>
        <v>1</v>
      </c>
      <c r="Y22" s="8" t="s">
        <v>60</v>
      </c>
      <c r="Z22" s="10" t="s">
        <v>42</v>
      </c>
      <c r="AA22" s="10" t="s">
        <v>43</v>
      </c>
      <c r="AB22" s="10" t="s">
        <v>44</v>
      </c>
      <c r="AC22" s="8" t="s">
        <v>44</v>
      </c>
    </row>
    <row r="23" spans="1:29">
      <c r="A23" s="11">
        <v>16</v>
      </c>
      <c r="B23" s="11" t="s">
        <v>95</v>
      </c>
      <c r="C23" s="11" t="s">
        <v>93</v>
      </c>
      <c r="D23" s="11" t="s">
        <v>33</v>
      </c>
      <c r="E23" s="11" t="s">
        <v>34</v>
      </c>
      <c r="F23" s="11" t="s">
        <v>35</v>
      </c>
      <c r="G23" s="9" t="s">
        <v>52</v>
      </c>
      <c r="H23" s="9" t="s">
        <v>53</v>
      </c>
      <c r="I23" s="9" t="s">
        <v>96</v>
      </c>
      <c r="J23" s="11">
        <v>122</v>
      </c>
      <c r="K23" s="11" t="s">
        <v>97</v>
      </c>
      <c r="L23" s="11" t="s">
        <v>98</v>
      </c>
      <c r="M23" s="13">
        <v>1</v>
      </c>
      <c r="N23" s="16">
        <v>8000.0</v>
      </c>
      <c r="O23" s="16"/>
      <c r="P23" s="18">
        <f>IF(N23&gt;0, O23/N23, 0)</f>
        <v>0</v>
      </c>
      <c r="Q23" s="16">
        <f>N23-O23</f>
        <v>8000</v>
      </c>
      <c r="R23" s="16">
        <f>M23*N23</f>
        <v>8000</v>
      </c>
      <c r="S23" s="16">
        <f>M23*O23</f>
        <v>0</v>
      </c>
      <c r="T23" s="16">
        <f>M23*Q23</f>
        <v>8000</v>
      </c>
      <c r="U23" s="16"/>
      <c r="V23" s="16">
        <f>M23*U23</f>
        <v>0</v>
      </c>
      <c r="W23" s="16">
        <f>T23-V23</f>
        <v>8000</v>
      </c>
      <c r="X23" s="18">
        <f>IF(T23&gt;0, W23/T23, 0)</f>
        <v>1</v>
      </c>
      <c r="Y23" s="9" t="s">
        <v>60</v>
      </c>
      <c r="Z23" s="11" t="s">
        <v>42</v>
      </c>
      <c r="AA23" s="11" t="s">
        <v>43</v>
      </c>
      <c r="AB23" s="11" t="s">
        <v>44</v>
      </c>
      <c r="AC23" s="9" t="s">
        <v>44</v>
      </c>
    </row>
    <row r="24" spans="1:29">
      <c r="A24" s="10">
        <v>17</v>
      </c>
      <c r="B24" s="10" t="s">
        <v>99</v>
      </c>
      <c r="C24" s="10" t="s">
        <v>100</v>
      </c>
      <c r="D24" s="10" t="s">
        <v>33</v>
      </c>
      <c r="E24" s="10" t="s">
        <v>34</v>
      </c>
      <c r="F24" s="10" t="s">
        <v>35</v>
      </c>
      <c r="G24" s="8" t="s">
        <v>52</v>
      </c>
      <c r="H24" s="8" t="s">
        <v>71</v>
      </c>
      <c r="I24" s="8" t="s">
        <v>71</v>
      </c>
      <c r="J24" s="10">
        <v>122</v>
      </c>
      <c r="K24" s="10" t="s">
        <v>101</v>
      </c>
      <c r="L24" s="10" t="s">
        <v>40</v>
      </c>
      <c r="M24" s="12">
        <v>1</v>
      </c>
      <c r="N24" s="15">
        <v>17000.0</v>
      </c>
      <c r="O24" s="15"/>
      <c r="P24" s="17">
        <f>IF(N24&gt;0, O24/N24, 0)</f>
        <v>0</v>
      </c>
      <c r="Q24" s="15">
        <f>N24-O24</f>
        <v>17000</v>
      </c>
      <c r="R24" s="15">
        <f>M24*N24</f>
        <v>17000</v>
      </c>
      <c r="S24" s="15">
        <f>M24*O24</f>
        <v>0</v>
      </c>
      <c r="T24" s="15">
        <f>M24*Q24</f>
        <v>17000</v>
      </c>
      <c r="U24" s="15"/>
      <c r="V24" s="15">
        <f>M24*U24</f>
        <v>0</v>
      </c>
      <c r="W24" s="15">
        <f>T24-V24</f>
        <v>17000</v>
      </c>
      <c r="X24" s="17">
        <f>IF(T24&gt;0, W24/T24, 0)</f>
        <v>1</v>
      </c>
      <c r="Y24" s="8" t="s">
        <v>60</v>
      </c>
      <c r="Z24" s="10" t="s">
        <v>42</v>
      </c>
      <c r="AA24" s="10" t="s">
        <v>43</v>
      </c>
      <c r="AB24" s="10" t="s">
        <v>44</v>
      </c>
      <c r="AC24" s="8" t="s">
        <v>44</v>
      </c>
    </row>
    <row r="25" spans="1:29">
      <c r="A25" s="11">
        <v>18</v>
      </c>
      <c r="B25" s="11" t="s">
        <v>102</v>
      </c>
      <c r="C25" s="11" t="s">
        <v>103</v>
      </c>
      <c r="D25" s="11" t="s">
        <v>33</v>
      </c>
      <c r="E25" s="11" t="s">
        <v>34</v>
      </c>
      <c r="F25" s="11" t="s">
        <v>35</v>
      </c>
      <c r="G25" s="9" t="s">
        <v>52</v>
      </c>
      <c r="H25" s="9" t="s">
        <v>37</v>
      </c>
      <c r="I25" s="9" t="s">
        <v>75</v>
      </c>
      <c r="J25" s="11">
        <v>122</v>
      </c>
      <c r="K25" s="11" t="s">
        <v>104</v>
      </c>
      <c r="L25" s="11" t="s">
        <v>55</v>
      </c>
      <c r="M25" s="13">
        <v>1</v>
      </c>
      <c r="N25" s="16">
        <v>8000.0</v>
      </c>
      <c r="O25" s="16"/>
      <c r="P25" s="18">
        <f>IF(N25&gt;0, O25/N25, 0)</f>
        <v>0</v>
      </c>
      <c r="Q25" s="16">
        <f>N25-O25</f>
        <v>8000</v>
      </c>
      <c r="R25" s="16">
        <f>M25*N25</f>
        <v>8000</v>
      </c>
      <c r="S25" s="16">
        <f>M25*O25</f>
        <v>0</v>
      </c>
      <c r="T25" s="16">
        <f>M25*Q25</f>
        <v>8000</v>
      </c>
      <c r="U25" s="16"/>
      <c r="V25" s="16">
        <f>M25*U25</f>
        <v>0</v>
      </c>
      <c r="W25" s="16">
        <f>T25-V25</f>
        <v>8000</v>
      </c>
      <c r="X25" s="18">
        <f>IF(T25&gt;0, W25/T25, 0)</f>
        <v>1</v>
      </c>
      <c r="Y25" s="9" t="s">
        <v>60</v>
      </c>
      <c r="Z25" s="11" t="s">
        <v>42</v>
      </c>
      <c r="AA25" s="11" t="s">
        <v>43</v>
      </c>
      <c r="AB25" s="11" t="s">
        <v>44</v>
      </c>
      <c r="AC25" s="9" t="s">
        <v>44</v>
      </c>
    </row>
    <row r="26" spans="1:29">
      <c r="A26" s="10">
        <v>19</v>
      </c>
      <c r="B26" s="10" t="s">
        <v>105</v>
      </c>
      <c r="C26" s="10" t="s">
        <v>106</v>
      </c>
      <c r="D26" s="10" t="s">
        <v>33</v>
      </c>
      <c r="E26" s="10" t="s">
        <v>34</v>
      </c>
      <c r="F26" s="10" t="s">
        <v>35</v>
      </c>
      <c r="G26" s="8" t="s">
        <v>52</v>
      </c>
      <c r="H26" s="8" t="s">
        <v>37</v>
      </c>
      <c r="I26" s="8" t="s">
        <v>38</v>
      </c>
      <c r="J26" s="10">
        <v>122</v>
      </c>
      <c r="K26" s="10" t="s">
        <v>107</v>
      </c>
      <c r="L26" s="10" t="s">
        <v>55</v>
      </c>
      <c r="M26" s="12">
        <v>1</v>
      </c>
      <c r="N26" s="15">
        <v>7000.0</v>
      </c>
      <c r="O26" s="15"/>
      <c r="P26" s="17">
        <f>IF(N26&gt;0, O26/N26, 0)</f>
        <v>0</v>
      </c>
      <c r="Q26" s="15">
        <f>N26-O26</f>
        <v>7000</v>
      </c>
      <c r="R26" s="15">
        <f>M26*N26</f>
        <v>7000</v>
      </c>
      <c r="S26" s="15">
        <f>M26*O26</f>
        <v>0</v>
      </c>
      <c r="T26" s="15">
        <f>M26*Q26</f>
        <v>7000</v>
      </c>
      <c r="U26" s="15"/>
      <c r="V26" s="15">
        <f>M26*U26</f>
        <v>0</v>
      </c>
      <c r="W26" s="15">
        <f>T26-V26</f>
        <v>7000</v>
      </c>
      <c r="X26" s="17">
        <f>IF(T26&gt;0, W26/T26, 0)</f>
        <v>1</v>
      </c>
      <c r="Y26" s="8" t="s">
        <v>60</v>
      </c>
      <c r="Z26" s="10" t="s">
        <v>42</v>
      </c>
      <c r="AA26" s="10" t="s">
        <v>43</v>
      </c>
      <c r="AB26" s="10" t="s">
        <v>44</v>
      </c>
      <c r="AC26" s="8" t="s">
        <v>44</v>
      </c>
    </row>
    <row r="27" spans="1:29">
      <c r="A27" s="11">
        <v>20</v>
      </c>
      <c r="B27" s="11" t="s">
        <v>108</v>
      </c>
      <c r="C27" s="11" t="s">
        <v>109</v>
      </c>
      <c r="D27" s="11" t="s">
        <v>33</v>
      </c>
      <c r="E27" s="11" t="s">
        <v>70</v>
      </c>
      <c r="F27" s="11" t="s">
        <v>35</v>
      </c>
      <c r="G27" s="9" t="s">
        <v>52</v>
      </c>
      <c r="H27" s="9" t="s">
        <v>71</v>
      </c>
      <c r="I27" s="9" t="s">
        <v>71</v>
      </c>
      <c r="J27" s="11">
        <v>158</v>
      </c>
      <c r="K27" s="11" t="s">
        <v>110</v>
      </c>
      <c r="L27" s="11" t="s">
        <v>40</v>
      </c>
      <c r="M27" s="13">
        <v>1</v>
      </c>
      <c r="N27" s="16">
        <v>17500.0</v>
      </c>
      <c r="O27" s="16"/>
      <c r="P27" s="18">
        <f>IF(N27&gt;0, O27/N27, 0)</f>
        <v>0</v>
      </c>
      <c r="Q27" s="16">
        <f>N27-O27</f>
        <v>17500</v>
      </c>
      <c r="R27" s="16">
        <f>M27*N27</f>
        <v>17500</v>
      </c>
      <c r="S27" s="16">
        <f>M27*O27</f>
        <v>0</v>
      </c>
      <c r="T27" s="16">
        <f>M27*Q27</f>
        <v>17500</v>
      </c>
      <c r="U27" s="16"/>
      <c r="V27" s="16">
        <f>M27*U27</f>
        <v>0</v>
      </c>
      <c r="W27" s="16">
        <f>T27-V27</f>
        <v>17500</v>
      </c>
      <c r="X27" s="18">
        <f>IF(T27&gt;0, W27/T27, 0)</f>
        <v>1</v>
      </c>
      <c r="Y27" s="9" t="s">
        <v>60</v>
      </c>
      <c r="Z27" s="11" t="s">
        <v>42</v>
      </c>
      <c r="AA27" s="11" t="s">
        <v>73</v>
      </c>
      <c r="AB27" s="11" t="s">
        <v>44</v>
      </c>
      <c r="AC27" s="9" t="s">
        <v>44</v>
      </c>
    </row>
    <row r="28" spans="1:29">
      <c r="A28" s="10">
        <v>21</v>
      </c>
      <c r="B28" s="10" t="s">
        <v>111</v>
      </c>
      <c r="C28" s="10" t="s">
        <v>109</v>
      </c>
      <c r="D28" s="10" t="s">
        <v>33</v>
      </c>
      <c r="E28" s="10" t="s">
        <v>70</v>
      </c>
      <c r="F28" s="10" t="s">
        <v>35</v>
      </c>
      <c r="G28" s="8" t="s">
        <v>52</v>
      </c>
      <c r="H28" s="8" t="s">
        <v>71</v>
      </c>
      <c r="I28" s="8" t="s">
        <v>71</v>
      </c>
      <c r="J28" s="10">
        <v>128</v>
      </c>
      <c r="K28" s="10" t="s">
        <v>112</v>
      </c>
      <c r="L28" s="10" t="s">
        <v>40</v>
      </c>
      <c r="M28" s="12">
        <v>1</v>
      </c>
      <c r="N28" s="15">
        <v>17000.0</v>
      </c>
      <c r="O28" s="15"/>
      <c r="P28" s="17">
        <f>IF(N28&gt;0, O28/N28, 0)</f>
        <v>0</v>
      </c>
      <c r="Q28" s="15">
        <f>N28-O28</f>
        <v>17000</v>
      </c>
      <c r="R28" s="15">
        <f>M28*N28</f>
        <v>17000</v>
      </c>
      <c r="S28" s="15">
        <f>M28*O28</f>
        <v>0</v>
      </c>
      <c r="T28" s="15">
        <f>M28*Q28</f>
        <v>17000</v>
      </c>
      <c r="U28" s="15"/>
      <c r="V28" s="15">
        <f>M28*U28</f>
        <v>0</v>
      </c>
      <c r="W28" s="15">
        <f>T28-V28</f>
        <v>17000</v>
      </c>
      <c r="X28" s="17">
        <f>IF(T28&gt;0, W28/T28, 0)</f>
        <v>1</v>
      </c>
      <c r="Y28" s="8" t="s">
        <v>60</v>
      </c>
      <c r="Z28" s="10" t="s">
        <v>42</v>
      </c>
      <c r="AA28" s="10" t="s">
        <v>73</v>
      </c>
      <c r="AB28" s="10" t="s">
        <v>44</v>
      </c>
      <c r="AC28" s="8" t="s">
        <v>44</v>
      </c>
    </row>
    <row r="29" spans="1:29">
      <c r="A29" s="11">
        <v>22</v>
      </c>
      <c r="B29" s="11" t="s">
        <v>113</v>
      </c>
      <c r="C29" s="11" t="s">
        <v>114</v>
      </c>
      <c r="D29" s="11" t="s">
        <v>33</v>
      </c>
      <c r="E29" s="11" t="s">
        <v>70</v>
      </c>
      <c r="F29" s="11" t="s">
        <v>35</v>
      </c>
      <c r="G29" s="9" t="s">
        <v>52</v>
      </c>
      <c r="H29" s="9" t="s">
        <v>58</v>
      </c>
      <c r="I29" s="9" t="s">
        <v>58</v>
      </c>
      <c r="J29" s="11">
        <v>122</v>
      </c>
      <c r="K29" s="11" t="s">
        <v>115</v>
      </c>
      <c r="L29" s="11" t="s">
        <v>40</v>
      </c>
      <c r="M29" s="13">
        <v>1</v>
      </c>
      <c r="N29" s="16">
        <v>8000.0</v>
      </c>
      <c r="O29" s="16"/>
      <c r="P29" s="18">
        <f>IF(N29&gt;0, O29/N29, 0)</f>
        <v>0</v>
      </c>
      <c r="Q29" s="16">
        <f>N29-O29</f>
        <v>8000</v>
      </c>
      <c r="R29" s="16">
        <f>M29*N29</f>
        <v>8000</v>
      </c>
      <c r="S29" s="16">
        <f>M29*O29</f>
        <v>0</v>
      </c>
      <c r="T29" s="16">
        <f>M29*Q29</f>
        <v>8000</v>
      </c>
      <c r="U29" s="16"/>
      <c r="V29" s="16">
        <f>M29*U29</f>
        <v>0</v>
      </c>
      <c r="W29" s="16">
        <f>T29-V29</f>
        <v>8000</v>
      </c>
      <c r="X29" s="18">
        <f>IF(T29&gt;0, W29/T29, 0)</f>
        <v>1</v>
      </c>
      <c r="Y29" s="9" t="s">
        <v>60</v>
      </c>
      <c r="Z29" s="11" t="s">
        <v>42</v>
      </c>
      <c r="AA29" s="11" t="s">
        <v>73</v>
      </c>
      <c r="AB29" s="11" t="s">
        <v>44</v>
      </c>
      <c r="AC29" s="9" t="s">
        <v>44</v>
      </c>
    </row>
    <row r="30" spans="1:29">
      <c r="A30" s="10">
        <v>23</v>
      </c>
      <c r="B30" s="10" t="s">
        <v>116</v>
      </c>
      <c r="C30" s="10" t="s">
        <v>117</v>
      </c>
      <c r="D30" s="10" t="s">
        <v>33</v>
      </c>
      <c r="E30" s="10" t="s">
        <v>70</v>
      </c>
      <c r="F30" s="10" t="s">
        <v>35</v>
      </c>
      <c r="G30" s="8" t="s">
        <v>52</v>
      </c>
      <c r="H30" s="8" t="s">
        <v>65</v>
      </c>
      <c r="I30" s="8" t="s">
        <v>66</v>
      </c>
      <c r="J30" s="10">
        <v>128</v>
      </c>
      <c r="K30" s="10" t="s">
        <v>118</v>
      </c>
      <c r="L30" s="10" t="s">
        <v>40</v>
      </c>
      <c r="M30" s="12">
        <v>2</v>
      </c>
      <c r="N30" s="15">
        <v>8000.0</v>
      </c>
      <c r="O30" s="15"/>
      <c r="P30" s="17">
        <f>IF(N30&gt;0, O30/N30, 0)</f>
        <v>0</v>
      </c>
      <c r="Q30" s="15">
        <f>N30-O30</f>
        <v>8000</v>
      </c>
      <c r="R30" s="15">
        <f>M30*N30</f>
        <v>16000</v>
      </c>
      <c r="S30" s="15">
        <f>M30*O30</f>
        <v>0</v>
      </c>
      <c r="T30" s="15">
        <f>M30*Q30</f>
        <v>16000</v>
      </c>
      <c r="U30" s="15"/>
      <c r="V30" s="15">
        <f>M30*U30</f>
        <v>0</v>
      </c>
      <c r="W30" s="15">
        <f>T30-V30</f>
        <v>16000</v>
      </c>
      <c r="X30" s="17">
        <f>IF(T30&gt;0, W30/T30, 0)</f>
        <v>1</v>
      </c>
      <c r="Y30" s="8" t="s">
        <v>60</v>
      </c>
      <c r="Z30" s="10" t="s">
        <v>42</v>
      </c>
      <c r="AA30" s="10" t="s">
        <v>73</v>
      </c>
      <c r="AB30" s="10" t="s">
        <v>44</v>
      </c>
      <c r="AC30" s="8" t="s">
        <v>44</v>
      </c>
    </row>
    <row r="31" spans="1:29">
      <c r="A31" s="11">
        <v>24</v>
      </c>
      <c r="B31" s="11" t="s">
        <v>119</v>
      </c>
      <c r="C31" s="11" t="s">
        <v>120</v>
      </c>
      <c r="D31" s="11" t="s">
        <v>33</v>
      </c>
      <c r="E31" s="11" t="s">
        <v>70</v>
      </c>
      <c r="F31" s="11" t="s">
        <v>35</v>
      </c>
      <c r="G31" s="9" t="s">
        <v>52</v>
      </c>
      <c r="H31" s="9" t="s">
        <v>37</v>
      </c>
      <c r="I31" s="9" t="s">
        <v>75</v>
      </c>
      <c r="J31" s="11">
        <v>122</v>
      </c>
      <c r="K31" s="11" t="s">
        <v>104</v>
      </c>
      <c r="L31" s="11" t="s">
        <v>55</v>
      </c>
      <c r="M31" s="13">
        <v>2</v>
      </c>
      <c r="N31" s="16">
        <v>9000.0</v>
      </c>
      <c r="O31" s="16"/>
      <c r="P31" s="18">
        <f>IF(N31&gt;0, O31/N31, 0)</f>
        <v>0</v>
      </c>
      <c r="Q31" s="16">
        <f>N31-O31</f>
        <v>9000</v>
      </c>
      <c r="R31" s="16">
        <f>M31*N31</f>
        <v>18000</v>
      </c>
      <c r="S31" s="16">
        <f>M31*O31</f>
        <v>0</v>
      </c>
      <c r="T31" s="16">
        <f>M31*Q31</f>
        <v>18000</v>
      </c>
      <c r="U31" s="16"/>
      <c r="V31" s="16">
        <f>M31*U31</f>
        <v>0</v>
      </c>
      <c r="W31" s="16">
        <f>T31-V31</f>
        <v>18000</v>
      </c>
      <c r="X31" s="18">
        <f>IF(T31&gt;0, W31/T31, 0)</f>
        <v>1</v>
      </c>
      <c r="Y31" s="9" t="s">
        <v>60</v>
      </c>
      <c r="Z31" s="11" t="s">
        <v>42</v>
      </c>
      <c r="AA31" s="11" t="s">
        <v>73</v>
      </c>
      <c r="AB31" s="11" t="s">
        <v>44</v>
      </c>
      <c r="AC31" s="9" t="s">
        <v>44</v>
      </c>
    </row>
    <row r="32" spans="1:29">
      <c r="A32" s="10">
        <v>25</v>
      </c>
      <c r="B32" s="10" t="s">
        <v>121</v>
      </c>
      <c r="C32" s="10" t="s">
        <v>122</v>
      </c>
      <c r="D32" s="10" t="s">
        <v>33</v>
      </c>
      <c r="E32" s="10" t="s">
        <v>34</v>
      </c>
      <c r="F32" s="10" t="s">
        <v>35</v>
      </c>
      <c r="G32" s="8" t="s">
        <v>36</v>
      </c>
      <c r="H32" s="8" t="s">
        <v>37</v>
      </c>
      <c r="I32" s="8" t="s">
        <v>38</v>
      </c>
      <c r="J32" s="10">
        <v>158</v>
      </c>
      <c r="K32" s="10" t="s">
        <v>39</v>
      </c>
      <c r="L32" s="10" t="s">
        <v>40</v>
      </c>
      <c r="M32" s="12">
        <v>2</v>
      </c>
      <c r="N32" s="15">
        <v>8000.0</v>
      </c>
      <c r="O32" s="15"/>
      <c r="P32" s="17">
        <f>IF(N32&gt;0, O32/N32, 0)</f>
        <v>0</v>
      </c>
      <c r="Q32" s="15">
        <f>N32-O32</f>
        <v>8000</v>
      </c>
      <c r="R32" s="15">
        <f>M32*N32</f>
        <v>16000</v>
      </c>
      <c r="S32" s="15">
        <f>M32*O32</f>
        <v>0</v>
      </c>
      <c r="T32" s="15">
        <f>M32*Q32</f>
        <v>16000</v>
      </c>
      <c r="U32" s="15"/>
      <c r="V32" s="15">
        <f>M32*U32</f>
        <v>0</v>
      </c>
      <c r="W32" s="15">
        <f>T32-V32</f>
        <v>16000</v>
      </c>
      <c r="X32" s="17">
        <f>IF(T32&gt;0, W32/T32, 0)</f>
        <v>1</v>
      </c>
      <c r="Y32" s="8" t="s">
        <v>60</v>
      </c>
      <c r="Z32" s="10" t="s">
        <v>42</v>
      </c>
      <c r="AA32" s="10" t="s">
        <v>43</v>
      </c>
      <c r="AB32" s="10" t="s">
        <v>44</v>
      </c>
      <c r="AC32" s="8" t="s">
        <v>44</v>
      </c>
    </row>
    <row r="33" spans="1:29">
      <c r="A33" s="11">
        <v>26</v>
      </c>
      <c r="B33" s="11" t="s">
        <v>123</v>
      </c>
      <c r="C33" s="11" t="s">
        <v>122</v>
      </c>
      <c r="D33" s="11" t="s">
        <v>33</v>
      </c>
      <c r="E33" s="11" t="s">
        <v>34</v>
      </c>
      <c r="F33" s="11" t="s">
        <v>35</v>
      </c>
      <c r="G33" s="9" t="s">
        <v>36</v>
      </c>
      <c r="H33" s="9" t="s">
        <v>53</v>
      </c>
      <c r="I33" s="9" t="s">
        <v>53</v>
      </c>
      <c r="J33" s="11">
        <v>158</v>
      </c>
      <c r="K33" s="11" t="s">
        <v>124</v>
      </c>
      <c r="L33" s="11" t="s">
        <v>40</v>
      </c>
      <c r="M33" s="13">
        <v>1</v>
      </c>
      <c r="N33" s="16">
        <v>8500.0</v>
      </c>
      <c r="O33" s="16"/>
      <c r="P33" s="18">
        <f>IF(N33&gt;0, O33/N33, 0)</f>
        <v>0</v>
      </c>
      <c r="Q33" s="16">
        <f>N33-O33</f>
        <v>8500</v>
      </c>
      <c r="R33" s="16">
        <f>M33*N33</f>
        <v>8500</v>
      </c>
      <c r="S33" s="16">
        <f>M33*O33</f>
        <v>0</v>
      </c>
      <c r="T33" s="16">
        <f>M33*Q33</f>
        <v>8500</v>
      </c>
      <c r="U33" s="16"/>
      <c r="V33" s="16">
        <f>M33*U33</f>
        <v>0</v>
      </c>
      <c r="W33" s="16">
        <f>T33-V33</f>
        <v>8500</v>
      </c>
      <c r="X33" s="18">
        <f>IF(T33&gt;0, W33/T33, 0)</f>
        <v>1</v>
      </c>
      <c r="Y33" s="9" t="s">
        <v>60</v>
      </c>
      <c r="Z33" s="11" t="s">
        <v>42</v>
      </c>
      <c r="AA33" s="11" t="s">
        <v>43</v>
      </c>
      <c r="AB33" s="11" t="s">
        <v>44</v>
      </c>
      <c r="AC33" s="9" t="s">
        <v>44</v>
      </c>
    </row>
    <row r="34" spans="1:29">
      <c r="A34" s="10">
        <v>27</v>
      </c>
      <c r="B34" s="10" t="s">
        <v>125</v>
      </c>
      <c r="C34" s="10" t="s">
        <v>126</v>
      </c>
      <c r="D34" s="10" t="s">
        <v>33</v>
      </c>
      <c r="E34" s="10" t="s">
        <v>34</v>
      </c>
      <c r="F34" s="10" t="s">
        <v>35</v>
      </c>
      <c r="G34" s="8" t="s">
        <v>52</v>
      </c>
      <c r="H34" s="8" t="s">
        <v>53</v>
      </c>
      <c r="I34" s="8" t="s">
        <v>53</v>
      </c>
      <c r="J34" s="10">
        <v>158</v>
      </c>
      <c r="K34" s="10" t="s">
        <v>127</v>
      </c>
      <c r="L34" s="10" t="s">
        <v>55</v>
      </c>
      <c r="M34" s="12">
        <v>1</v>
      </c>
      <c r="N34" s="15">
        <v>8000.0</v>
      </c>
      <c r="O34" s="15"/>
      <c r="P34" s="17">
        <f>IF(N34&gt;0, O34/N34, 0)</f>
        <v>0</v>
      </c>
      <c r="Q34" s="15">
        <f>N34-O34</f>
        <v>8000</v>
      </c>
      <c r="R34" s="15">
        <f>M34*N34</f>
        <v>8000</v>
      </c>
      <c r="S34" s="15">
        <f>M34*O34</f>
        <v>0</v>
      </c>
      <c r="T34" s="15">
        <f>M34*Q34</f>
        <v>8000</v>
      </c>
      <c r="U34" s="15"/>
      <c r="V34" s="15">
        <f>M34*U34</f>
        <v>0</v>
      </c>
      <c r="W34" s="15">
        <f>T34-V34</f>
        <v>8000</v>
      </c>
      <c r="X34" s="17">
        <f>IF(T34&gt;0, W34/T34, 0)</f>
        <v>1</v>
      </c>
      <c r="Y34" s="8" t="s">
        <v>60</v>
      </c>
      <c r="Z34" s="10" t="s">
        <v>42</v>
      </c>
      <c r="AA34" s="10" t="s">
        <v>43</v>
      </c>
      <c r="AB34" s="10" t="s">
        <v>44</v>
      </c>
      <c r="AC34" s="8" t="s">
        <v>44</v>
      </c>
    </row>
    <row r="35" spans="1:29">
      <c r="A35" s="11">
        <v>28</v>
      </c>
      <c r="B35" s="11" t="s">
        <v>128</v>
      </c>
      <c r="C35" s="11" t="s">
        <v>129</v>
      </c>
      <c r="D35" s="11" t="s">
        <v>33</v>
      </c>
      <c r="E35" s="11" t="s">
        <v>34</v>
      </c>
      <c r="F35" s="11" t="s">
        <v>35</v>
      </c>
      <c r="G35" s="9" t="s">
        <v>36</v>
      </c>
      <c r="H35" s="9" t="s">
        <v>58</v>
      </c>
      <c r="I35" s="9" t="s">
        <v>58</v>
      </c>
      <c r="J35" s="11">
        <v>158</v>
      </c>
      <c r="K35" s="11" t="s">
        <v>130</v>
      </c>
      <c r="L35" s="11" t="s">
        <v>40</v>
      </c>
      <c r="M35" s="13">
        <v>1</v>
      </c>
      <c r="N35" s="16">
        <v>7000.0</v>
      </c>
      <c r="O35" s="16"/>
      <c r="P35" s="18">
        <f>IF(N35&gt;0, O35/N35, 0)</f>
        <v>0</v>
      </c>
      <c r="Q35" s="16">
        <f>N35-O35</f>
        <v>7000</v>
      </c>
      <c r="R35" s="16">
        <f>M35*N35</f>
        <v>7000</v>
      </c>
      <c r="S35" s="16">
        <f>M35*O35</f>
        <v>0</v>
      </c>
      <c r="T35" s="16">
        <f>M35*Q35</f>
        <v>7000</v>
      </c>
      <c r="U35" s="16"/>
      <c r="V35" s="16">
        <f>M35*U35</f>
        <v>0</v>
      </c>
      <c r="W35" s="16">
        <f>T35-V35</f>
        <v>7000</v>
      </c>
      <c r="X35" s="18">
        <f>IF(T35&gt;0, W35/T35, 0)</f>
        <v>1</v>
      </c>
      <c r="Y35" s="9" t="s">
        <v>60</v>
      </c>
      <c r="Z35" s="11" t="s">
        <v>42</v>
      </c>
      <c r="AA35" s="11" t="s">
        <v>43</v>
      </c>
      <c r="AB35" s="11" t="s">
        <v>44</v>
      </c>
      <c r="AC35" s="9" t="s">
        <v>44</v>
      </c>
    </row>
    <row r="36" spans="1:29">
      <c r="A36" s="10">
        <v>29</v>
      </c>
      <c r="B36" s="10" t="s">
        <v>131</v>
      </c>
      <c r="C36" s="10" t="s">
        <v>129</v>
      </c>
      <c r="D36" s="10" t="s">
        <v>33</v>
      </c>
      <c r="E36" s="10" t="s">
        <v>34</v>
      </c>
      <c r="F36" s="10" t="s">
        <v>35</v>
      </c>
      <c r="G36" s="8" t="s">
        <v>52</v>
      </c>
      <c r="H36" s="8" t="s">
        <v>37</v>
      </c>
      <c r="I36" s="8" t="s">
        <v>38</v>
      </c>
      <c r="J36" s="10">
        <v>158</v>
      </c>
      <c r="K36" s="10" t="s">
        <v>132</v>
      </c>
      <c r="L36" s="10" t="s">
        <v>55</v>
      </c>
      <c r="M36" s="12">
        <v>2</v>
      </c>
      <c r="N36" s="15">
        <v>7000.0</v>
      </c>
      <c r="O36" s="15"/>
      <c r="P36" s="17">
        <f>IF(N36&gt;0, O36/N36, 0)</f>
        <v>0</v>
      </c>
      <c r="Q36" s="15">
        <f>N36-O36</f>
        <v>7000</v>
      </c>
      <c r="R36" s="15">
        <f>M36*N36</f>
        <v>14000</v>
      </c>
      <c r="S36" s="15">
        <f>M36*O36</f>
        <v>0</v>
      </c>
      <c r="T36" s="15">
        <f>M36*Q36</f>
        <v>14000</v>
      </c>
      <c r="U36" s="15"/>
      <c r="V36" s="15">
        <f>M36*U36</f>
        <v>0</v>
      </c>
      <c r="W36" s="15">
        <f>T36-V36</f>
        <v>14000</v>
      </c>
      <c r="X36" s="17">
        <f>IF(T36&gt;0, W36/T36, 0)</f>
        <v>1</v>
      </c>
      <c r="Y36" s="8" t="s">
        <v>60</v>
      </c>
      <c r="Z36" s="10" t="s">
        <v>42</v>
      </c>
      <c r="AA36" s="10" t="s">
        <v>43</v>
      </c>
      <c r="AB36" s="10" t="s">
        <v>44</v>
      </c>
      <c r="AC36" s="8" t="s">
        <v>44</v>
      </c>
    </row>
    <row r="37" spans="1:29">
      <c r="A37" s="11">
        <v>30</v>
      </c>
      <c r="B37" s="11" t="s">
        <v>133</v>
      </c>
      <c r="C37" s="11" t="s">
        <v>134</v>
      </c>
      <c r="D37" s="11" t="s">
        <v>33</v>
      </c>
      <c r="E37" s="11" t="s">
        <v>34</v>
      </c>
      <c r="F37" s="11" t="s">
        <v>35</v>
      </c>
      <c r="G37" s="9" t="s">
        <v>135</v>
      </c>
      <c r="H37" s="9" t="s">
        <v>47</v>
      </c>
      <c r="I37" s="9" t="s">
        <v>47</v>
      </c>
      <c r="J37" s="11">
        <v>128</v>
      </c>
      <c r="K37" s="11" t="s">
        <v>136</v>
      </c>
      <c r="L37" s="11" t="s">
        <v>40</v>
      </c>
      <c r="M37" s="13">
        <v>1</v>
      </c>
      <c r="N37" s="16">
        <v>18000.0</v>
      </c>
      <c r="O37" s="16"/>
      <c r="P37" s="18">
        <f>IF(N37&gt;0, O37/N37, 0)</f>
        <v>0</v>
      </c>
      <c r="Q37" s="16">
        <f>N37-O37</f>
        <v>18000</v>
      </c>
      <c r="R37" s="16">
        <f>M37*N37</f>
        <v>18000</v>
      </c>
      <c r="S37" s="16">
        <f>M37*O37</f>
        <v>0</v>
      </c>
      <c r="T37" s="16">
        <f>M37*Q37</f>
        <v>18000</v>
      </c>
      <c r="U37" s="16"/>
      <c r="V37" s="16">
        <f>M37*U37</f>
        <v>0</v>
      </c>
      <c r="W37" s="16">
        <f>T37-V37</f>
        <v>18000</v>
      </c>
      <c r="X37" s="18">
        <f>IF(T37&gt;0, W37/T37, 0)</f>
        <v>1</v>
      </c>
      <c r="Y37" s="9" t="s">
        <v>60</v>
      </c>
      <c r="Z37" s="11" t="s">
        <v>42</v>
      </c>
      <c r="AA37" s="11" t="s">
        <v>43</v>
      </c>
      <c r="AB37" s="11" t="s">
        <v>44</v>
      </c>
      <c r="AC37" s="9" t="s">
        <v>44</v>
      </c>
    </row>
    <row r="38" spans="1:29">
      <c r="A38" s="10">
        <v>31</v>
      </c>
      <c r="B38" s="10" t="s">
        <v>137</v>
      </c>
      <c r="C38" s="10" t="s">
        <v>138</v>
      </c>
      <c r="D38" s="10" t="s">
        <v>33</v>
      </c>
      <c r="E38" s="10" t="s">
        <v>34</v>
      </c>
      <c r="F38" s="10" t="s">
        <v>35</v>
      </c>
      <c r="G38" s="8" t="s">
        <v>52</v>
      </c>
      <c r="H38" s="8" t="s">
        <v>53</v>
      </c>
      <c r="I38" s="8" t="s">
        <v>53</v>
      </c>
      <c r="J38" s="10">
        <v>122</v>
      </c>
      <c r="K38" s="10" t="s">
        <v>84</v>
      </c>
      <c r="L38" s="10" t="s">
        <v>55</v>
      </c>
      <c r="M38" s="12">
        <v>1</v>
      </c>
      <c r="N38" s="15">
        <v>8000.0</v>
      </c>
      <c r="O38" s="15"/>
      <c r="P38" s="17">
        <f>IF(N38&gt;0, O38/N38, 0)</f>
        <v>0</v>
      </c>
      <c r="Q38" s="15">
        <f>N38-O38</f>
        <v>8000</v>
      </c>
      <c r="R38" s="15">
        <f>M38*N38</f>
        <v>8000</v>
      </c>
      <c r="S38" s="15">
        <f>M38*O38</f>
        <v>0</v>
      </c>
      <c r="T38" s="15">
        <f>M38*Q38</f>
        <v>8000</v>
      </c>
      <c r="U38" s="15"/>
      <c r="V38" s="15">
        <f>M38*U38</f>
        <v>0</v>
      </c>
      <c r="W38" s="15">
        <f>T38-V38</f>
        <v>8000</v>
      </c>
      <c r="X38" s="17">
        <f>IF(T38&gt;0, W38/T38, 0)</f>
        <v>1</v>
      </c>
      <c r="Y38" s="8" t="s">
        <v>60</v>
      </c>
      <c r="Z38" s="10" t="s">
        <v>42</v>
      </c>
      <c r="AA38" s="10" t="s">
        <v>43</v>
      </c>
      <c r="AB38" s="10" t="s">
        <v>44</v>
      </c>
      <c r="AC38" s="8" t="s">
        <v>44</v>
      </c>
    </row>
    <row r="39" spans="1:29">
      <c r="A39" s="11">
        <v>32</v>
      </c>
      <c r="B39" s="11" t="s">
        <v>139</v>
      </c>
      <c r="C39" s="11" t="s">
        <v>138</v>
      </c>
      <c r="D39" s="11" t="s">
        <v>33</v>
      </c>
      <c r="E39" s="11" t="s">
        <v>34</v>
      </c>
      <c r="F39" s="11" t="s">
        <v>35</v>
      </c>
      <c r="G39" s="9" t="s">
        <v>52</v>
      </c>
      <c r="H39" s="9" t="s">
        <v>37</v>
      </c>
      <c r="I39" s="9" t="s">
        <v>38</v>
      </c>
      <c r="J39" s="11">
        <v>122</v>
      </c>
      <c r="K39" s="11" t="s">
        <v>107</v>
      </c>
      <c r="L39" s="11" t="s">
        <v>55</v>
      </c>
      <c r="M39" s="13">
        <v>2</v>
      </c>
      <c r="N39" s="16">
        <v>7000.0</v>
      </c>
      <c r="O39" s="16"/>
      <c r="P39" s="18">
        <f>IF(N39&gt;0, O39/N39, 0)</f>
        <v>0</v>
      </c>
      <c r="Q39" s="16">
        <f>N39-O39</f>
        <v>7000</v>
      </c>
      <c r="R39" s="16">
        <f>M39*N39</f>
        <v>14000</v>
      </c>
      <c r="S39" s="16">
        <f>M39*O39</f>
        <v>0</v>
      </c>
      <c r="T39" s="16">
        <f>M39*Q39</f>
        <v>14000</v>
      </c>
      <c r="U39" s="16"/>
      <c r="V39" s="16">
        <f>M39*U39</f>
        <v>0</v>
      </c>
      <c r="W39" s="16">
        <f>T39-V39</f>
        <v>14000</v>
      </c>
      <c r="X39" s="18">
        <f>IF(T39&gt;0, W39/T39, 0)</f>
        <v>1</v>
      </c>
      <c r="Y39" s="9" t="s">
        <v>60</v>
      </c>
      <c r="Z39" s="11" t="s">
        <v>42</v>
      </c>
      <c r="AA39" s="11" t="s">
        <v>43</v>
      </c>
      <c r="AB39" s="11" t="s">
        <v>44</v>
      </c>
      <c r="AC39" s="9" t="s">
        <v>44</v>
      </c>
    </row>
    <row r="40" spans="1:29">
      <c r="A40" s="10">
        <v>33</v>
      </c>
      <c r="B40" s="10" t="s">
        <v>140</v>
      </c>
      <c r="C40" s="10" t="s">
        <v>141</v>
      </c>
      <c r="D40" s="10" t="s">
        <v>33</v>
      </c>
      <c r="E40" s="10" t="s">
        <v>34</v>
      </c>
      <c r="F40" s="10" t="s">
        <v>35</v>
      </c>
      <c r="G40" s="8" t="s">
        <v>52</v>
      </c>
      <c r="H40" s="8" t="s">
        <v>47</v>
      </c>
      <c r="I40" s="8" t="s">
        <v>48</v>
      </c>
      <c r="J40" s="10">
        <v>146</v>
      </c>
      <c r="K40" s="10" t="s">
        <v>142</v>
      </c>
      <c r="L40" s="10" t="s">
        <v>40</v>
      </c>
      <c r="M40" s="12">
        <v>1</v>
      </c>
      <c r="N40" s="15">
        <v>18000.0</v>
      </c>
      <c r="O40" s="15"/>
      <c r="P40" s="17">
        <f>IF(N40&gt;0, O40/N40, 0)</f>
        <v>0</v>
      </c>
      <c r="Q40" s="15">
        <f>N40-O40</f>
        <v>18000</v>
      </c>
      <c r="R40" s="15">
        <f>M40*N40</f>
        <v>18000</v>
      </c>
      <c r="S40" s="15">
        <f>M40*O40</f>
        <v>0</v>
      </c>
      <c r="T40" s="15">
        <f>M40*Q40</f>
        <v>18000</v>
      </c>
      <c r="U40" s="15"/>
      <c r="V40" s="15">
        <f>M40*U40</f>
        <v>0</v>
      </c>
      <c r="W40" s="15">
        <f>T40-V40</f>
        <v>18000</v>
      </c>
      <c r="X40" s="17">
        <f>IF(T40&gt;0, W40/T40, 0)</f>
        <v>1</v>
      </c>
      <c r="Y40" s="8" t="s">
        <v>60</v>
      </c>
      <c r="Z40" s="10" t="s">
        <v>42</v>
      </c>
      <c r="AA40" s="10" t="s">
        <v>43</v>
      </c>
      <c r="AB40" s="10" t="s">
        <v>44</v>
      </c>
      <c r="AC40" s="8" t="s">
        <v>44</v>
      </c>
    </row>
    <row r="41" spans="1:29">
      <c r="A41" s="11">
        <v>34</v>
      </c>
      <c r="B41" s="11" t="s">
        <v>143</v>
      </c>
      <c r="C41" s="11" t="s">
        <v>141</v>
      </c>
      <c r="D41" s="11" t="s">
        <v>33</v>
      </c>
      <c r="E41" s="11" t="s">
        <v>34</v>
      </c>
      <c r="F41" s="11" t="s">
        <v>144</v>
      </c>
      <c r="G41" s="9" t="s">
        <v>36</v>
      </c>
      <c r="H41" s="9" t="s">
        <v>37</v>
      </c>
      <c r="I41" s="9" t="s">
        <v>38</v>
      </c>
      <c r="J41" s="11">
        <v>170</v>
      </c>
      <c r="K41" s="11" t="s">
        <v>145</v>
      </c>
      <c r="L41" s="11" t="s">
        <v>40</v>
      </c>
      <c r="M41" s="13">
        <v>2</v>
      </c>
      <c r="N41" s="16">
        <v>10000.0</v>
      </c>
      <c r="O41" s="16"/>
      <c r="P41" s="18">
        <f>IF(N41&gt;0, O41/N41, 0)</f>
        <v>0</v>
      </c>
      <c r="Q41" s="16">
        <f>N41-O41</f>
        <v>10000</v>
      </c>
      <c r="R41" s="16">
        <f>M41*N41</f>
        <v>20000</v>
      </c>
      <c r="S41" s="16">
        <f>M41*O41</f>
        <v>0</v>
      </c>
      <c r="T41" s="16">
        <f>M41*Q41</f>
        <v>20000</v>
      </c>
      <c r="U41" s="16"/>
      <c r="V41" s="16">
        <f>M41*U41</f>
        <v>0</v>
      </c>
      <c r="W41" s="16">
        <f>T41-V41</f>
        <v>20000</v>
      </c>
      <c r="X41" s="18">
        <f>IF(T41&gt;0, W41/T41, 0)</f>
        <v>1</v>
      </c>
      <c r="Y41" s="9" t="s">
        <v>60</v>
      </c>
      <c r="Z41" s="11" t="s">
        <v>42</v>
      </c>
      <c r="AA41" s="11" t="s">
        <v>43</v>
      </c>
      <c r="AB41" s="11" t="s">
        <v>44</v>
      </c>
      <c r="AC41" s="9" t="s">
        <v>146</v>
      </c>
    </row>
    <row r="42" spans="1:29">
      <c r="A42" s="10">
        <v>35</v>
      </c>
      <c r="B42" s="10" t="s">
        <v>147</v>
      </c>
      <c r="C42" s="10" t="s">
        <v>141</v>
      </c>
      <c r="D42" s="10" t="s">
        <v>33</v>
      </c>
      <c r="E42" s="10" t="s">
        <v>34</v>
      </c>
      <c r="F42" s="10" t="s">
        <v>144</v>
      </c>
      <c r="G42" s="8" t="s">
        <v>36</v>
      </c>
      <c r="H42" s="8" t="s">
        <v>37</v>
      </c>
      <c r="I42" s="8" t="s">
        <v>38</v>
      </c>
      <c r="J42" s="10">
        <v>164</v>
      </c>
      <c r="K42" s="10" t="s">
        <v>79</v>
      </c>
      <c r="L42" s="10" t="s">
        <v>40</v>
      </c>
      <c r="M42" s="12">
        <v>1</v>
      </c>
      <c r="N42" s="15">
        <v>10000.0</v>
      </c>
      <c r="O42" s="15"/>
      <c r="P42" s="17">
        <f>IF(N42&gt;0, O42/N42, 0)</f>
        <v>0</v>
      </c>
      <c r="Q42" s="15">
        <f>N42-O42</f>
        <v>10000</v>
      </c>
      <c r="R42" s="15">
        <f>M42*N42</f>
        <v>10000</v>
      </c>
      <c r="S42" s="15">
        <f>M42*O42</f>
        <v>0</v>
      </c>
      <c r="T42" s="15">
        <f>M42*Q42</f>
        <v>10000</v>
      </c>
      <c r="U42" s="15"/>
      <c r="V42" s="15">
        <f>M42*U42</f>
        <v>0</v>
      </c>
      <c r="W42" s="15">
        <f>T42-V42</f>
        <v>10000</v>
      </c>
      <c r="X42" s="17">
        <f>IF(T42&gt;0, W42/T42, 0)</f>
        <v>1</v>
      </c>
      <c r="Y42" s="8" t="s">
        <v>60</v>
      </c>
      <c r="Z42" s="10" t="s">
        <v>42</v>
      </c>
      <c r="AA42" s="10" t="s">
        <v>43</v>
      </c>
      <c r="AB42" s="10" t="s">
        <v>44</v>
      </c>
      <c r="AC42" s="8" t="s">
        <v>146</v>
      </c>
    </row>
    <row r="43" spans="1:29">
      <c r="A43" s="11">
        <v>36</v>
      </c>
      <c r="B43" s="11" t="s">
        <v>148</v>
      </c>
      <c r="C43" s="11" t="s">
        <v>141</v>
      </c>
      <c r="D43" s="11" t="s">
        <v>33</v>
      </c>
      <c r="E43" s="11" t="s">
        <v>34</v>
      </c>
      <c r="F43" s="11" t="s">
        <v>35</v>
      </c>
      <c r="G43" s="9" t="s">
        <v>52</v>
      </c>
      <c r="H43" s="9" t="s">
        <v>37</v>
      </c>
      <c r="I43" s="9" t="s">
        <v>75</v>
      </c>
      <c r="J43" s="11">
        <v>134</v>
      </c>
      <c r="K43" s="11" t="s">
        <v>149</v>
      </c>
      <c r="L43" s="11" t="s">
        <v>55</v>
      </c>
      <c r="M43" s="13">
        <v>1</v>
      </c>
      <c r="N43" s="16">
        <v>7000.0</v>
      </c>
      <c r="O43" s="16"/>
      <c r="P43" s="18">
        <f>IF(N43&gt;0, O43/N43, 0)</f>
        <v>0</v>
      </c>
      <c r="Q43" s="16">
        <f>N43-O43</f>
        <v>7000</v>
      </c>
      <c r="R43" s="16">
        <f>M43*N43</f>
        <v>7000</v>
      </c>
      <c r="S43" s="16">
        <f>M43*O43</f>
        <v>0</v>
      </c>
      <c r="T43" s="16">
        <f>M43*Q43</f>
        <v>7000</v>
      </c>
      <c r="U43" s="16"/>
      <c r="V43" s="16">
        <f>M43*U43</f>
        <v>0</v>
      </c>
      <c r="W43" s="16">
        <f>T43-V43</f>
        <v>7000</v>
      </c>
      <c r="X43" s="18">
        <f>IF(T43&gt;0, W43/T43, 0)</f>
        <v>1</v>
      </c>
      <c r="Y43" s="9" t="s">
        <v>60</v>
      </c>
      <c r="Z43" s="11" t="s">
        <v>42</v>
      </c>
      <c r="AA43" s="11" t="s">
        <v>43</v>
      </c>
      <c r="AB43" s="11" t="s">
        <v>44</v>
      </c>
      <c r="AC43" s="9" t="s">
        <v>44</v>
      </c>
    </row>
    <row r="44" spans="1:29">
      <c r="A44" s="10">
        <v>37</v>
      </c>
      <c r="B44" s="10" t="s">
        <v>150</v>
      </c>
      <c r="C44" s="10" t="s">
        <v>141</v>
      </c>
      <c r="D44" s="10" t="s">
        <v>33</v>
      </c>
      <c r="E44" s="10" t="s">
        <v>34</v>
      </c>
      <c r="F44" s="10" t="s">
        <v>144</v>
      </c>
      <c r="G44" s="8" t="s">
        <v>36</v>
      </c>
      <c r="H44" s="8" t="s">
        <v>65</v>
      </c>
      <c r="I44" s="8" t="s">
        <v>151</v>
      </c>
      <c r="J44" s="10">
        <v>170</v>
      </c>
      <c r="K44" s="10" t="s">
        <v>152</v>
      </c>
      <c r="L44" s="10" t="s">
        <v>40</v>
      </c>
      <c r="M44" s="12">
        <v>1</v>
      </c>
      <c r="N44" s="15">
        <v>15000.0</v>
      </c>
      <c r="O44" s="15"/>
      <c r="P44" s="17">
        <f>IF(N44&gt;0, O44/N44, 0)</f>
        <v>0</v>
      </c>
      <c r="Q44" s="15">
        <f>N44-O44</f>
        <v>15000</v>
      </c>
      <c r="R44" s="15">
        <f>M44*N44</f>
        <v>15000</v>
      </c>
      <c r="S44" s="15">
        <f>M44*O44</f>
        <v>0</v>
      </c>
      <c r="T44" s="15">
        <f>M44*Q44</f>
        <v>15000</v>
      </c>
      <c r="U44" s="15"/>
      <c r="V44" s="15">
        <f>M44*U44</f>
        <v>0</v>
      </c>
      <c r="W44" s="15">
        <f>T44-V44</f>
        <v>15000</v>
      </c>
      <c r="X44" s="17">
        <f>IF(T44&gt;0, W44/T44, 0)</f>
        <v>1</v>
      </c>
      <c r="Y44" s="8" t="s">
        <v>60</v>
      </c>
      <c r="Z44" s="10" t="s">
        <v>42</v>
      </c>
      <c r="AA44" s="10" t="s">
        <v>43</v>
      </c>
      <c r="AB44" s="10" t="s">
        <v>44</v>
      </c>
      <c r="AC44" s="8" t="s">
        <v>146</v>
      </c>
    </row>
    <row r="45" spans="1:29">
      <c r="A45" s="11">
        <v>38</v>
      </c>
      <c r="B45" s="11" t="s">
        <v>153</v>
      </c>
      <c r="C45" s="11" t="s">
        <v>141</v>
      </c>
      <c r="D45" s="11" t="s">
        <v>33</v>
      </c>
      <c r="E45" s="11" t="s">
        <v>34</v>
      </c>
      <c r="F45" s="11" t="s">
        <v>35</v>
      </c>
      <c r="G45" s="9" t="s">
        <v>52</v>
      </c>
      <c r="H45" s="9" t="s">
        <v>37</v>
      </c>
      <c r="I45" s="9" t="s">
        <v>38</v>
      </c>
      <c r="J45" s="11">
        <v>152</v>
      </c>
      <c r="K45" s="11" t="s">
        <v>154</v>
      </c>
      <c r="L45" s="11" t="s">
        <v>55</v>
      </c>
      <c r="M45" s="13">
        <v>1</v>
      </c>
      <c r="N45" s="16">
        <v>7000.0</v>
      </c>
      <c r="O45" s="16"/>
      <c r="P45" s="18">
        <f>IF(N45&gt;0, O45/N45, 0)</f>
        <v>0</v>
      </c>
      <c r="Q45" s="16">
        <f>N45-O45</f>
        <v>7000</v>
      </c>
      <c r="R45" s="16">
        <f>M45*N45</f>
        <v>7000</v>
      </c>
      <c r="S45" s="16">
        <f>M45*O45</f>
        <v>0</v>
      </c>
      <c r="T45" s="16">
        <f>M45*Q45</f>
        <v>7000</v>
      </c>
      <c r="U45" s="16"/>
      <c r="V45" s="16">
        <f>M45*U45</f>
        <v>0</v>
      </c>
      <c r="W45" s="16">
        <f>T45-V45</f>
        <v>7000</v>
      </c>
      <c r="X45" s="18">
        <f>IF(T45&gt;0, W45/T45, 0)</f>
        <v>1</v>
      </c>
      <c r="Y45" s="9" t="s">
        <v>60</v>
      </c>
      <c r="Z45" s="11" t="s">
        <v>42</v>
      </c>
      <c r="AA45" s="11" t="s">
        <v>43</v>
      </c>
      <c r="AB45" s="11" t="s">
        <v>44</v>
      </c>
      <c r="AC45" s="9" t="s">
        <v>44</v>
      </c>
    </row>
    <row r="46" spans="1:29">
      <c r="A46" s="10">
        <v>39</v>
      </c>
      <c r="B46" s="10" t="s">
        <v>155</v>
      </c>
      <c r="C46" s="10" t="s">
        <v>141</v>
      </c>
      <c r="D46" s="10" t="s">
        <v>33</v>
      </c>
      <c r="E46" s="10" t="s">
        <v>34</v>
      </c>
      <c r="F46" s="10" t="s">
        <v>144</v>
      </c>
      <c r="G46" s="8" t="s">
        <v>52</v>
      </c>
      <c r="H46" s="8" t="s">
        <v>53</v>
      </c>
      <c r="I46" s="8" t="s">
        <v>156</v>
      </c>
      <c r="J46" s="10">
        <v>134</v>
      </c>
      <c r="K46" s="10" t="s">
        <v>157</v>
      </c>
      <c r="L46" s="10" t="s">
        <v>40</v>
      </c>
      <c r="M46" s="12">
        <v>1</v>
      </c>
      <c r="N46" s="15">
        <v>15000.0</v>
      </c>
      <c r="O46" s="15"/>
      <c r="P46" s="17">
        <f>IF(N46&gt;0, O46/N46, 0)</f>
        <v>0</v>
      </c>
      <c r="Q46" s="15">
        <f>N46-O46</f>
        <v>15000</v>
      </c>
      <c r="R46" s="15">
        <f>M46*N46</f>
        <v>15000</v>
      </c>
      <c r="S46" s="15">
        <f>M46*O46</f>
        <v>0</v>
      </c>
      <c r="T46" s="15">
        <f>M46*Q46</f>
        <v>15000</v>
      </c>
      <c r="U46" s="15"/>
      <c r="V46" s="15">
        <f>M46*U46</f>
        <v>0</v>
      </c>
      <c r="W46" s="15">
        <f>T46-V46</f>
        <v>15000</v>
      </c>
      <c r="X46" s="17">
        <f>IF(T46&gt;0, W46/T46, 0)</f>
        <v>1</v>
      </c>
      <c r="Y46" s="8" t="s">
        <v>60</v>
      </c>
      <c r="Z46" s="10" t="s">
        <v>42</v>
      </c>
      <c r="AA46" s="10" t="s">
        <v>43</v>
      </c>
      <c r="AB46" s="10" t="s">
        <v>44</v>
      </c>
      <c r="AC46" s="8" t="s">
        <v>146</v>
      </c>
    </row>
    <row r="47" spans="1:29">
      <c r="A47" s="11">
        <v>40</v>
      </c>
      <c r="B47" s="11" t="s">
        <v>158</v>
      </c>
      <c r="C47" s="11" t="s">
        <v>141</v>
      </c>
      <c r="D47" s="11" t="s">
        <v>33</v>
      </c>
      <c r="E47" s="11" t="s">
        <v>34</v>
      </c>
      <c r="F47" s="11" t="s">
        <v>35</v>
      </c>
      <c r="G47" s="9" t="s">
        <v>52</v>
      </c>
      <c r="H47" s="9" t="s">
        <v>37</v>
      </c>
      <c r="I47" s="9" t="s">
        <v>38</v>
      </c>
      <c r="J47" s="11">
        <v>128</v>
      </c>
      <c r="K47" s="11" t="s">
        <v>159</v>
      </c>
      <c r="L47" s="11" t="s">
        <v>55</v>
      </c>
      <c r="M47" s="13">
        <v>1</v>
      </c>
      <c r="N47" s="16">
        <v>9000.0</v>
      </c>
      <c r="O47" s="16"/>
      <c r="P47" s="18">
        <f>IF(N47&gt;0, O47/N47, 0)</f>
        <v>0</v>
      </c>
      <c r="Q47" s="16">
        <f>N47-O47</f>
        <v>9000</v>
      </c>
      <c r="R47" s="16">
        <f>M47*N47</f>
        <v>9000</v>
      </c>
      <c r="S47" s="16">
        <f>M47*O47</f>
        <v>0</v>
      </c>
      <c r="T47" s="16">
        <f>M47*Q47</f>
        <v>9000</v>
      </c>
      <c r="U47" s="16"/>
      <c r="V47" s="16">
        <f>M47*U47</f>
        <v>0</v>
      </c>
      <c r="W47" s="16">
        <f>T47-V47</f>
        <v>9000</v>
      </c>
      <c r="X47" s="18">
        <f>IF(T47&gt;0, W47/T47, 0)</f>
        <v>1</v>
      </c>
      <c r="Y47" s="9" t="s">
        <v>60</v>
      </c>
      <c r="Z47" s="11" t="s">
        <v>42</v>
      </c>
      <c r="AA47" s="11" t="s">
        <v>43</v>
      </c>
      <c r="AB47" s="11" t="s">
        <v>44</v>
      </c>
      <c r="AC47" s="9" t="s">
        <v>44</v>
      </c>
    </row>
    <row r="48" spans="1:29">
      <c r="A48" s="10">
        <v>41</v>
      </c>
      <c r="B48" s="10" t="s">
        <v>160</v>
      </c>
      <c r="C48" s="10" t="s">
        <v>141</v>
      </c>
      <c r="D48" s="10" t="s">
        <v>33</v>
      </c>
      <c r="E48" s="10" t="s">
        <v>34</v>
      </c>
      <c r="F48" s="10" t="s">
        <v>144</v>
      </c>
      <c r="G48" s="8" t="s">
        <v>161</v>
      </c>
      <c r="H48" s="8" t="s">
        <v>162</v>
      </c>
      <c r="I48" s="8" t="s">
        <v>162</v>
      </c>
      <c r="J48" s="10" t="s">
        <v>44</v>
      </c>
      <c r="K48" s="10" t="s">
        <v>163</v>
      </c>
      <c r="L48" s="10" t="s">
        <v>40</v>
      </c>
      <c r="M48" s="12">
        <v>1</v>
      </c>
      <c r="N48" s="15">
        <v>5000.0</v>
      </c>
      <c r="O48" s="15"/>
      <c r="P48" s="17">
        <f>IF(N48&gt;0, O48/N48, 0)</f>
        <v>0</v>
      </c>
      <c r="Q48" s="15">
        <f>N48-O48</f>
        <v>5000</v>
      </c>
      <c r="R48" s="15">
        <f>M48*N48</f>
        <v>5000</v>
      </c>
      <c r="S48" s="15">
        <f>M48*O48</f>
        <v>0</v>
      </c>
      <c r="T48" s="15">
        <f>M48*Q48</f>
        <v>5000</v>
      </c>
      <c r="U48" s="15"/>
      <c r="V48" s="15">
        <f>M48*U48</f>
        <v>0</v>
      </c>
      <c r="W48" s="15">
        <f>T48-V48</f>
        <v>5000</v>
      </c>
      <c r="X48" s="17">
        <f>IF(T48&gt;0, W48/T48, 0)</f>
        <v>1</v>
      </c>
      <c r="Y48" s="8" t="s">
        <v>60</v>
      </c>
      <c r="Z48" s="10" t="s">
        <v>42</v>
      </c>
      <c r="AA48" s="10" t="s">
        <v>43</v>
      </c>
      <c r="AB48" s="10" t="s">
        <v>44</v>
      </c>
      <c r="AC48" s="8" t="s">
        <v>146</v>
      </c>
    </row>
    <row r="49" spans="1:29">
      <c r="A49" s="11">
        <v>42</v>
      </c>
      <c r="B49" s="11" t="s">
        <v>164</v>
      </c>
      <c r="C49" s="11" t="s">
        <v>141</v>
      </c>
      <c r="D49" s="11" t="s">
        <v>33</v>
      </c>
      <c r="E49" s="11" t="s">
        <v>34</v>
      </c>
      <c r="F49" s="11" t="s">
        <v>144</v>
      </c>
      <c r="G49" s="9" t="s">
        <v>52</v>
      </c>
      <c r="H49" s="9" t="s">
        <v>53</v>
      </c>
      <c r="I49" s="9" t="s">
        <v>165</v>
      </c>
      <c r="J49" s="11">
        <v>122</v>
      </c>
      <c r="K49" s="11" t="s">
        <v>166</v>
      </c>
      <c r="L49" s="11" t="s">
        <v>40</v>
      </c>
      <c r="M49" s="13">
        <v>1</v>
      </c>
      <c r="N49" s="16">
        <v>15000.0</v>
      </c>
      <c r="O49" s="16"/>
      <c r="P49" s="18">
        <f>IF(N49&gt;0, O49/N49, 0)</f>
        <v>0</v>
      </c>
      <c r="Q49" s="16">
        <f>N49-O49</f>
        <v>15000</v>
      </c>
      <c r="R49" s="16">
        <f>M49*N49</f>
        <v>15000</v>
      </c>
      <c r="S49" s="16">
        <f>M49*O49</f>
        <v>0</v>
      </c>
      <c r="T49" s="16">
        <f>M49*Q49</f>
        <v>15000</v>
      </c>
      <c r="U49" s="16"/>
      <c r="V49" s="16">
        <f>M49*U49</f>
        <v>0</v>
      </c>
      <c r="W49" s="16">
        <f>T49-V49</f>
        <v>15000</v>
      </c>
      <c r="X49" s="18">
        <f>IF(T49&gt;0, W49/T49, 0)</f>
        <v>1</v>
      </c>
      <c r="Y49" s="9" t="s">
        <v>60</v>
      </c>
      <c r="Z49" s="11" t="s">
        <v>42</v>
      </c>
      <c r="AA49" s="11" t="s">
        <v>43</v>
      </c>
      <c r="AB49" s="11" t="s">
        <v>44</v>
      </c>
      <c r="AC49" s="9" t="s">
        <v>146</v>
      </c>
    </row>
    <row r="50" spans="1:29">
      <c r="A50" s="10">
        <v>43</v>
      </c>
      <c r="B50" s="10" t="s">
        <v>167</v>
      </c>
      <c r="C50" s="10" t="s">
        <v>141</v>
      </c>
      <c r="D50" s="10" t="s">
        <v>33</v>
      </c>
      <c r="E50" s="10" t="s">
        <v>34</v>
      </c>
      <c r="F50" s="10" t="s">
        <v>144</v>
      </c>
      <c r="G50" s="8" t="s">
        <v>52</v>
      </c>
      <c r="H50" s="8" t="s">
        <v>65</v>
      </c>
      <c r="I50" s="8" t="s">
        <v>151</v>
      </c>
      <c r="J50" s="10">
        <v>128</v>
      </c>
      <c r="K50" s="10" t="s">
        <v>168</v>
      </c>
      <c r="L50" s="10" t="s">
        <v>40</v>
      </c>
      <c r="M50" s="12">
        <v>1</v>
      </c>
      <c r="N50" s="15">
        <v>12000.0</v>
      </c>
      <c r="O50" s="15"/>
      <c r="P50" s="17">
        <f>IF(N50&gt;0, O50/N50, 0)</f>
        <v>0</v>
      </c>
      <c r="Q50" s="15">
        <f>N50-O50</f>
        <v>12000</v>
      </c>
      <c r="R50" s="15">
        <f>M50*N50</f>
        <v>12000</v>
      </c>
      <c r="S50" s="15">
        <f>M50*O50</f>
        <v>0</v>
      </c>
      <c r="T50" s="15">
        <f>M50*Q50</f>
        <v>12000</v>
      </c>
      <c r="U50" s="15"/>
      <c r="V50" s="15">
        <f>M50*U50</f>
        <v>0</v>
      </c>
      <c r="W50" s="15">
        <f>T50-V50</f>
        <v>12000</v>
      </c>
      <c r="X50" s="17">
        <f>IF(T50&gt;0, W50/T50, 0)</f>
        <v>1</v>
      </c>
      <c r="Y50" s="8" t="s">
        <v>60</v>
      </c>
      <c r="Z50" s="10" t="s">
        <v>42</v>
      </c>
      <c r="AA50" s="10" t="s">
        <v>43</v>
      </c>
      <c r="AB50" s="10" t="s">
        <v>44</v>
      </c>
      <c r="AC50" s="8" t="s">
        <v>146</v>
      </c>
    </row>
    <row r="51" spans="1:29">
      <c r="A51" s="11">
        <v>44</v>
      </c>
      <c r="B51" s="11" t="s">
        <v>169</v>
      </c>
      <c r="C51" s="11" t="s">
        <v>141</v>
      </c>
      <c r="D51" s="11" t="s">
        <v>33</v>
      </c>
      <c r="E51" s="11" t="s">
        <v>34</v>
      </c>
      <c r="F51" s="11" t="s">
        <v>144</v>
      </c>
      <c r="G51" s="9" t="s">
        <v>52</v>
      </c>
      <c r="H51" s="9" t="s">
        <v>65</v>
      </c>
      <c r="I51" s="9" t="s">
        <v>151</v>
      </c>
      <c r="J51" s="11">
        <v>146</v>
      </c>
      <c r="K51" s="11" t="s">
        <v>170</v>
      </c>
      <c r="L51" s="11" t="s">
        <v>40</v>
      </c>
      <c r="M51" s="13">
        <v>1</v>
      </c>
      <c r="N51" s="16">
        <v>12000.0</v>
      </c>
      <c r="O51" s="16"/>
      <c r="P51" s="18">
        <f>IF(N51&gt;0, O51/N51, 0)</f>
        <v>0</v>
      </c>
      <c r="Q51" s="16">
        <f>N51-O51</f>
        <v>12000</v>
      </c>
      <c r="R51" s="16">
        <f>M51*N51</f>
        <v>12000</v>
      </c>
      <c r="S51" s="16">
        <f>M51*O51</f>
        <v>0</v>
      </c>
      <c r="T51" s="16">
        <f>M51*Q51</f>
        <v>12000</v>
      </c>
      <c r="U51" s="16"/>
      <c r="V51" s="16">
        <f>M51*U51</f>
        <v>0</v>
      </c>
      <c r="W51" s="16">
        <f>T51-V51</f>
        <v>12000</v>
      </c>
      <c r="X51" s="18">
        <f>IF(T51&gt;0, W51/T51, 0)</f>
        <v>1</v>
      </c>
      <c r="Y51" s="9" t="s">
        <v>60</v>
      </c>
      <c r="Z51" s="11" t="s">
        <v>42</v>
      </c>
      <c r="AA51" s="11" t="s">
        <v>43</v>
      </c>
      <c r="AB51" s="11" t="s">
        <v>44</v>
      </c>
      <c r="AC51" s="9" t="s">
        <v>146</v>
      </c>
    </row>
    <row r="52" spans="1:29">
      <c r="A52" s="10">
        <v>45</v>
      </c>
      <c r="B52" s="10" t="s">
        <v>171</v>
      </c>
      <c r="C52" s="10" t="s">
        <v>141</v>
      </c>
      <c r="D52" s="10" t="s">
        <v>33</v>
      </c>
      <c r="E52" s="10" t="s">
        <v>34</v>
      </c>
      <c r="F52" s="10" t="s">
        <v>35</v>
      </c>
      <c r="G52" s="8" t="s">
        <v>36</v>
      </c>
      <c r="H52" s="8" t="s">
        <v>65</v>
      </c>
      <c r="I52" s="8" t="s">
        <v>151</v>
      </c>
      <c r="J52" s="10">
        <v>188</v>
      </c>
      <c r="K52" s="10" t="s">
        <v>172</v>
      </c>
      <c r="L52" s="10" t="s">
        <v>40</v>
      </c>
      <c r="M52" s="12">
        <v>1</v>
      </c>
      <c r="N52" s="15">
        <v>15000.0</v>
      </c>
      <c r="O52" s="15"/>
      <c r="P52" s="17">
        <f>IF(N52&gt;0, O52/N52, 0)</f>
        <v>0</v>
      </c>
      <c r="Q52" s="15">
        <f>N52-O52</f>
        <v>15000</v>
      </c>
      <c r="R52" s="15">
        <f>M52*N52</f>
        <v>15000</v>
      </c>
      <c r="S52" s="15">
        <f>M52*O52</f>
        <v>0</v>
      </c>
      <c r="T52" s="15">
        <f>M52*Q52</f>
        <v>15000</v>
      </c>
      <c r="U52" s="15"/>
      <c r="V52" s="15">
        <f>M52*U52</f>
        <v>0</v>
      </c>
      <c r="W52" s="15">
        <f>T52-V52</f>
        <v>15000</v>
      </c>
      <c r="X52" s="17">
        <f>IF(T52&gt;0, W52/T52, 0)</f>
        <v>1</v>
      </c>
      <c r="Y52" s="8" t="s">
        <v>60</v>
      </c>
      <c r="Z52" s="10" t="s">
        <v>42</v>
      </c>
      <c r="AA52" s="10" t="s">
        <v>43</v>
      </c>
      <c r="AB52" s="10" t="s">
        <v>44</v>
      </c>
      <c r="AC52" s="8" t="s">
        <v>44</v>
      </c>
    </row>
    <row r="53" spans="1:29">
      <c r="A53" s="11">
        <v>46</v>
      </c>
      <c r="B53" s="11" t="s">
        <v>173</v>
      </c>
      <c r="C53" s="11" t="s">
        <v>141</v>
      </c>
      <c r="D53" s="11" t="s">
        <v>33</v>
      </c>
      <c r="E53" s="11" t="s">
        <v>34</v>
      </c>
      <c r="F53" s="11" t="s">
        <v>144</v>
      </c>
      <c r="G53" s="9" t="s">
        <v>161</v>
      </c>
      <c r="H53" s="9" t="s">
        <v>162</v>
      </c>
      <c r="I53" s="9" t="s">
        <v>162</v>
      </c>
      <c r="J53" s="11" t="s">
        <v>44</v>
      </c>
      <c r="K53" s="11" t="s">
        <v>163</v>
      </c>
      <c r="L53" s="11" t="s">
        <v>40</v>
      </c>
      <c r="M53" s="13">
        <v>1</v>
      </c>
      <c r="N53" s="16">
        <v>5000.0</v>
      </c>
      <c r="O53" s="16"/>
      <c r="P53" s="18">
        <f>IF(N53&gt;0, O53/N53, 0)</f>
        <v>0</v>
      </c>
      <c r="Q53" s="16">
        <f>N53-O53</f>
        <v>5000</v>
      </c>
      <c r="R53" s="16">
        <f>M53*N53</f>
        <v>5000</v>
      </c>
      <c r="S53" s="16">
        <f>M53*O53</f>
        <v>0</v>
      </c>
      <c r="T53" s="16">
        <f>M53*Q53</f>
        <v>5000</v>
      </c>
      <c r="U53" s="16"/>
      <c r="V53" s="16">
        <f>M53*U53</f>
        <v>0</v>
      </c>
      <c r="W53" s="16">
        <f>T53-V53</f>
        <v>5000</v>
      </c>
      <c r="X53" s="18">
        <f>IF(T53&gt;0, W53/T53, 0)</f>
        <v>1</v>
      </c>
      <c r="Y53" s="9" t="s">
        <v>60</v>
      </c>
      <c r="Z53" s="11" t="s">
        <v>42</v>
      </c>
      <c r="AA53" s="11" t="s">
        <v>43</v>
      </c>
      <c r="AB53" s="11" t="s">
        <v>44</v>
      </c>
      <c r="AC53" s="9" t="s">
        <v>146</v>
      </c>
    </row>
    <row r="54" spans="1:29">
      <c r="A54" s="10">
        <v>47</v>
      </c>
      <c r="B54" s="10" t="s">
        <v>174</v>
      </c>
      <c r="C54" s="10" t="s">
        <v>141</v>
      </c>
      <c r="D54" s="10" t="s">
        <v>33</v>
      </c>
      <c r="E54" s="10" t="s">
        <v>34</v>
      </c>
      <c r="F54" s="10" t="s">
        <v>144</v>
      </c>
      <c r="G54" s="8" t="s">
        <v>52</v>
      </c>
      <c r="H54" s="8" t="s">
        <v>53</v>
      </c>
      <c r="I54" s="8" t="s">
        <v>175</v>
      </c>
      <c r="J54" s="10">
        <v>134</v>
      </c>
      <c r="K54" s="10" t="s">
        <v>176</v>
      </c>
      <c r="L54" s="10" t="s">
        <v>40</v>
      </c>
      <c r="M54" s="12">
        <v>1</v>
      </c>
      <c r="N54" s="15">
        <v>15000.0</v>
      </c>
      <c r="O54" s="15"/>
      <c r="P54" s="17">
        <f>IF(N54&gt;0, O54/N54, 0)</f>
        <v>0</v>
      </c>
      <c r="Q54" s="15">
        <f>N54-O54</f>
        <v>15000</v>
      </c>
      <c r="R54" s="15">
        <f>M54*N54</f>
        <v>15000</v>
      </c>
      <c r="S54" s="15">
        <f>M54*O54</f>
        <v>0</v>
      </c>
      <c r="T54" s="15">
        <f>M54*Q54</f>
        <v>15000</v>
      </c>
      <c r="U54" s="15"/>
      <c r="V54" s="15">
        <f>M54*U54</f>
        <v>0</v>
      </c>
      <c r="W54" s="15">
        <f>T54-V54</f>
        <v>15000</v>
      </c>
      <c r="X54" s="17">
        <f>IF(T54&gt;0, W54/T54, 0)</f>
        <v>1</v>
      </c>
      <c r="Y54" s="8" t="s">
        <v>60</v>
      </c>
      <c r="Z54" s="10" t="s">
        <v>42</v>
      </c>
      <c r="AA54" s="10" t="s">
        <v>43</v>
      </c>
      <c r="AB54" s="10" t="s">
        <v>44</v>
      </c>
      <c r="AC54" s="8" t="s">
        <v>146</v>
      </c>
    </row>
    <row r="55" spans="1:29">
      <c r="A55" s="11">
        <v>48</v>
      </c>
      <c r="B55" s="11" t="s">
        <v>177</v>
      </c>
      <c r="C55" s="11" t="s">
        <v>141</v>
      </c>
      <c r="D55" s="11" t="s">
        <v>33</v>
      </c>
      <c r="E55" s="11" t="s">
        <v>34</v>
      </c>
      <c r="F55" s="11" t="s">
        <v>35</v>
      </c>
      <c r="G55" s="9" t="s">
        <v>52</v>
      </c>
      <c r="H55" s="9" t="s">
        <v>53</v>
      </c>
      <c r="I55" s="9" t="s">
        <v>53</v>
      </c>
      <c r="J55" s="11">
        <v>134</v>
      </c>
      <c r="K55" s="11" t="s">
        <v>178</v>
      </c>
      <c r="L55" s="11" t="s">
        <v>55</v>
      </c>
      <c r="M55" s="13">
        <v>1</v>
      </c>
      <c r="N55" s="16">
        <v>8000.0</v>
      </c>
      <c r="O55" s="16"/>
      <c r="P55" s="18">
        <f>IF(N55&gt;0, O55/N55, 0)</f>
        <v>0</v>
      </c>
      <c r="Q55" s="16">
        <f>N55-O55</f>
        <v>8000</v>
      </c>
      <c r="R55" s="16">
        <f>M55*N55</f>
        <v>8000</v>
      </c>
      <c r="S55" s="16">
        <f>M55*O55</f>
        <v>0</v>
      </c>
      <c r="T55" s="16">
        <f>M55*Q55</f>
        <v>8000</v>
      </c>
      <c r="U55" s="16"/>
      <c r="V55" s="16">
        <f>M55*U55</f>
        <v>0</v>
      </c>
      <c r="W55" s="16">
        <f>T55-V55</f>
        <v>8000</v>
      </c>
      <c r="X55" s="18">
        <f>IF(T55&gt;0, W55/T55, 0)</f>
        <v>1</v>
      </c>
      <c r="Y55" s="9" t="s">
        <v>60</v>
      </c>
      <c r="Z55" s="11" t="s">
        <v>42</v>
      </c>
      <c r="AA55" s="11" t="s">
        <v>43</v>
      </c>
      <c r="AB55" s="11" t="s">
        <v>44</v>
      </c>
      <c r="AC55" s="9" t="s">
        <v>44</v>
      </c>
    </row>
    <row r="56" spans="1:29">
      <c r="A56" s="10">
        <v>49</v>
      </c>
      <c r="B56" s="10" t="s">
        <v>179</v>
      </c>
      <c r="C56" s="10" t="s">
        <v>141</v>
      </c>
      <c r="D56" s="10" t="s">
        <v>33</v>
      </c>
      <c r="E56" s="10" t="s">
        <v>34</v>
      </c>
      <c r="F56" s="10" t="s">
        <v>35</v>
      </c>
      <c r="G56" s="8" t="s">
        <v>52</v>
      </c>
      <c r="H56" s="8" t="s">
        <v>37</v>
      </c>
      <c r="I56" s="8" t="s">
        <v>38</v>
      </c>
      <c r="J56" s="10">
        <v>134</v>
      </c>
      <c r="K56" s="10" t="s">
        <v>180</v>
      </c>
      <c r="L56" s="10" t="s">
        <v>55</v>
      </c>
      <c r="M56" s="12">
        <v>2</v>
      </c>
      <c r="N56" s="15">
        <v>7000.0</v>
      </c>
      <c r="O56" s="15"/>
      <c r="P56" s="17">
        <f>IF(N56&gt;0, O56/N56, 0)</f>
        <v>0</v>
      </c>
      <c r="Q56" s="15">
        <f>N56-O56</f>
        <v>7000</v>
      </c>
      <c r="R56" s="15">
        <f>M56*N56</f>
        <v>14000</v>
      </c>
      <c r="S56" s="15">
        <f>M56*O56</f>
        <v>0</v>
      </c>
      <c r="T56" s="15">
        <f>M56*Q56</f>
        <v>14000</v>
      </c>
      <c r="U56" s="15"/>
      <c r="V56" s="15">
        <f>M56*U56</f>
        <v>0</v>
      </c>
      <c r="W56" s="15">
        <f>T56-V56</f>
        <v>14000</v>
      </c>
      <c r="X56" s="17">
        <f>IF(T56&gt;0, W56/T56, 0)</f>
        <v>1</v>
      </c>
      <c r="Y56" s="8" t="s">
        <v>60</v>
      </c>
      <c r="Z56" s="10" t="s">
        <v>42</v>
      </c>
      <c r="AA56" s="10" t="s">
        <v>43</v>
      </c>
      <c r="AB56" s="10" t="s">
        <v>44</v>
      </c>
      <c r="AC56" s="8" t="s">
        <v>44</v>
      </c>
    </row>
    <row r="57" spans="1:29">
      <c r="A57" s="11">
        <v>50</v>
      </c>
      <c r="B57" s="11" t="s">
        <v>181</v>
      </c>
      <c r="C57" s="11" t="s">
        <v>141</v>
      </c>
      <c r="D57" s="11" t="s">
        <v>33</v>
      </c>
      <c r="E57" s="11" t="s">
        <v>34</v>
      </c>
      <c r="F57" s="11" t="s">
        <v>144</v>
      </c>
      <c r="G57" s="9" t="s">
        <v>36</v>
      </c>
      <c r="H57" s="9" t="s">
        <v>71</v>
      </c>
      <c r="I57" s="9" t="s">
        <v>71</v>
      </c>
      <c r="J57" s="11">
        <v>170</v>
      </c>
      <c r="K57" s="11" t="s">
        <v>182</v>
      </c>
      <c r="L57" s="11" t="s">
        <v>40</v>
      </c>
      <c r="M57" s="13">
        <v>1</v>
      </c>
      <c r="N57" s="16">
        <v>18000.0</v>
      </c>
      <c r="O57" s="16"/>
      <c r="P57" s="18">
        <f>IF(N57&gt;0, O57/N57, 0)</f>
        <v>0</v>
      </c>
      <c r="Q57" s="16">
        <f>N57-O57</f>
        <v>18000</v>
      </c>
      <c r="R57" s="16">
        <f>M57*N57</f>
        <v>18000</v>
      </c>
      <c r="S57" s="16">
        <f>M57*O57</f>
        <v>0</v>
      </c>
      <c r="T57" s="16">
        <f>M57*Q57</f>
        <v>18000</v>
      </c>
      <c r="U57" s="16"/>
      <c r="V57" s="16">
        <f>M57*U57</f>
        <v>0</v>
      </c>
      <c r="W57" s="16">
        <f>T57-V57</f>
        <v>18000</v>
      </c>
      <c r="X57" s="18">
        <f>IF(T57&gt;0, W57/T57, 0)</f>
        <v>1</v>
      </c>
      <c r="Y57" s="9" t="s">
        <v>60</v>
      </c>
      <c r="Z57" s="11" t="s">
        <v>42</v>
      </c>
      <c r="AA57" s="11" t="s">
        <v>43</v>
      </c>
      <c r="AB57" s="11" t="s">
        <v>44</v>
      </c>
      <c r="AC57" s="9" t="s">
        <v>146</v>
      </c>
    </row>
    <row r="58" spans="1:29">
      <c r="A58" s="10">
        <v>51</v>
      </c>
      <c r="B58" s="10" t="s">
        <v>183</v>
      </c>
      <c r="C58" s="10" t="s">
        <v>141</v>
      </c>
      <c r="D58" s="10" t="s">
        <v>33</v>
      </c>
      <c r="E58" s="10" t="s">
        <v>34</v>
      </c>
      <c r="F58" s="10" t="s">
        <v>35</v>
      </c>
      <c r="G58" s="8" t="s">
        <v>36</v>
      </c>
      <c r="H58" s="8" t="s">
        <v>47</v>
      </c>
      <c r="I58" s="8" t="s">
        <v>48</v>
      </c>
      <c r="J58" s="10">
        <v>170</v>
      </c>
      <c r="K58" s="10" t="s">
        <v>184</v>
      </c>
      <c r="L58" s="10" t="s">
        <v>40</v>
      </c>
      <c r="M58" s="12">
        <v>1</v>
      </c>
      <c r="N58" s="15">
        <v>18000.0</v>
      </c>
      <c r="O58" s="15"/>
      <c r="P58" s="17">
        <f>IF(N58&gt;0, O58/N58, 0)</f>
        <v>0</v>
      </c>
      <c r="Q58" s="15">
        <f>N58-O58</f>
        <v>18000</v>
      </c>
      <c r="R58" s="15">
        <f>M58*N58</f>
        <v>18000</v>
      </c>
      <c r="S58" s="15">
        <f>M58*O58</f>
        <v>0</v>
      </c>
      <c r="T58" s="15">
        <f>M58*Q58</f>
        <v>18000</v>
      </c>
      <c r="U58" s="15"/>
      <c r="V58" s="15">
        <f>M58*U58</f>
        <v>0</v>
      </c>
      <c r="W58" s="15">
        <f>T58-V58</f>
        <v>18000</v>
      </c>
      <c r="X58" s="17">
        <f>IF(T58&gt;0, W58/T58, 0)</f>
        <v>1</v>
      </c>
      <c r="Y58" s="8" t="s">
        <v>60</v>
      </c>
      <c r="Z58" s="10" t="s">
        <v>42</v>
      </c>
      <c r="AA58" s="10" t="s">
        <v>43</v>
      </c>
      <c r="AB58" s="10" t="s">
        <v>44</v>
      </c>
      <c r="AC58" s="8" t="s">
        <v>44</v>
      </c>
    </row>
    <row r="59" spans="1:29">
      <c r="A59" s="11">
        <v>52</v>
      </c>
      <c r="B59" s="11" t="s">
        <v>185</v>
      </c>
      <c r="C59" s="11" t="s">
        <v>141</v>
      </c>
      <c r="D59" s="11" t="s">
        <v>33</v>
      </c>
      <c r="E59" s="11" t="s">
        <v>34</v>
      </c>
      <c r="F59" s="11" t="s">
        <v>35</v>
      </c>
      <c r="G59" s="9" t="s">
        <v>52</v>
      </c>
      <c r="H59" s="9" t="s">
        <v>47</v>
      </c>
      <c r="I59" s="9" t="s">
        <v>48</v>
      </c>
      <c r="J59" s="11">
        <v>128</v>
      </c>
      <c r="K59" s="11" t="s">
        <v>186</v>
      </c>
      <c r="L59" s="11" t="s">
        <v>40</v>
      </c>
      <c r="M59" s="13">
        <v>1</v>
      </c>
      <c r="N59" s="16">
        <v>18000.0</v>
      </c>
      <c r="O59" s="16"/>
      <c r="P59" s="18">
        <f>IF(N59&gt;0, O59/N59, 0)</f>
        <v>0</v>
      </c>
      <c r="Q59" s="16">
        <f>N59-O59</f>
        <v>18000</v>
      </c>
      <c r="R59" s="16">
        <f>M59*N59</f>
        <v>18000</v>
      </c>
      <c r="S59" s="16">
        <f>M59*O59</f>
        <v>0</v>
      </c>
      <c r="T59" s="16">
        <f>M59*Q59</f>
        <v>18000</v>
      </c>
      <c r="U59" s="16"/>
      <c r="V59" s="16">
        <f>M59*U59</f>
        <v>0</v>
      </c>
      <c r="W59" s="16">
        <f>T59-V59</f>
        <v>18000</v>
      </c>
      <c r="X59" s="18">
        <f>IF(T59&gt;0, W59/T59, 0)</f>
        <v>1</v>
      </c>
      <c r="Y59" s="9" t="s">
        <v>60</v>
      </c>
      <c r="Z59" s="11" t="s">
        <v>42</v>
      </c>
      <c r="AA59" s="11" t="s">
        <v>43</v>
      </c>
      <c r="AB59" s="11" t="s">
        <v>44</v>
      </c>
      <c r="AC59" s="9" t="s">
        <v>44</v>
      </c>
    </row>
    <row r="60" spans="1:29">
      <c r="A60" s="10">
        <v>53</v>
      </c>
      <c r="B60" s="10" t="s">
        <v>187</v>
      </c>
      <c r="C60" s="10" t="s">
        <v>141</v>
      </c>
      <c r="D60" s="10" t="s">
        <v>33</v>
      </c>
      <c r="E60" s="10" t="s">
        <v>34</v>
      </c>
      <c r="F60" s="10" t="s">
        <v>35</v>
      </c>
      <c r="G60" s="8" t="s">
        <v>52</v>
      </c>
      <c r="H60" s="8" t="s">
        <v>37</v>
      </c>
      <c r="I60" s="8" t="s">
        <v>75</v>
      </c>
      <c r="J60" s="10">
        <v>128</v>
      </c>
      <c r="K60" s="10" t="s">
        <v>188</v>
      </c>
      <c r="L60" s="10" t="s">
        <v>55</v>
      </c>
      <c r="M60" s="12">
        <v>1</v>
      </c>
      <c r="N60" s="15">
        <v>10000.0</v>
      </c>
      <c r="O60" s="15"/>
      <c r="P60" s="17">
        <f>IF(N60&gt;0, O60/N60, 0)</f>
        <v>0</v>
      </c>
      <c r="Q60" s="15">
        <f>N60-O60</f>
        <v>10000</v>
      </c>
      <c r="R60" s="15">
        <f>M60*N60</f>
        <v>10000</v>
      </c>
      <c r="S60" s="15">
        <f>M60*O60</f>
        <v>0</v>
      </c>
      <c r="T60" s="15">
        <f>M60*Q60</f>
        <v>10000</v>
      </c>
      <c r="U60" s="15"/>
      <c r="V60" s="15">
        <f>M60*U60</f>
        <v>0</v>
      </c>
      <c r="W60" s="15">
        <f>T60-V60</f>
        <v>10000</v>
      </c>
      <c r="X60" s="17">
        <f>IF(T60&gt;0, W60/T60, 0)</f>
        <v>1</v>
      </c>
      <c r="Y60" s="8" t="s">
        <v>60</v>
      </c>
      <c r="Z60" s="10" t="s">
        <v>42</v>
      </c>
      <c r="AA60" s="10" t="s">
        <v>43</v>
      </c>
      <c r="AB60" s="10" t="s">
        <v>44</v>
      </c>
      <c r="AC60" s="8" t="s">
        <v>44</v>
      </c>
    </row>
    <row r="61" spans="1:29">
      <c r="A61" s="11">
        <v>54</v>
      </c>
      <c r="B61" s="11" t="s">
        <v>189</v>
      </c>
      <c r="C61" s="11" t="s">
        <v>141</v>
      </c>
      <c r="D61" s="11" t="s">
        <v>33</v>
      </c>
      <c r="E61" s="11" t="s">
        <v>34</v>
      </c>
      <c r="F61" s="11" t="s">
        <v>35</v>
      </c>
      <c r="G61" s="9" t="s">
        <v>52</v>
      </c>
      <c r="H61" s="9" t="s">
        <v>37</v>
      </c>
      <c r="I61" s="9" t="s">
        <v>75</v>
      </c>
      <c r="J61" s="11">
        <v>164</v>
      </c>
      <c r="K61" s="11" t="s">
        <v>190</v>
      </c>
      <c r="L61" s="11" t="s">
        <v>55</v>
      </c>
      <c r="M61" s="13">
        <v>1</v>
      </c>
      <c r="N61" s="16">
        <v>10000.0</v>
      </c>
      <c r="O61" s="16"/>
      <c r="P61" s="18">
        <f>IF(N61&gt;0, O61/N61, 0)</f>
        <v>0</v>
      </c>
      <c r="Q61" s="16">
        <f>N61-O61</f>
        <v>10000</v>
      </c>
      <c r="R61" s="16">
        <f>M61*N61</f>
        <v>10000</v>
      </c>
      <c r="S61" s="16">
        <f>M61*O61</f>
        <v>0</v>
      </c>
      <c r="T61" s="16">
        <f>M61*Q61</f>
        <v>10000</v>
      </c>
      <c r="U61" s="16"/>
      <c r="V61" s="16">
        <f>M61*U61</f>
        <v>0</v>
      </c>
      <c r="W61" s="16">
        <f>T61-V61</f>
        <v>10000</v>
      </c>
      <c r="X61" s="18">
        <f>IF(T61&gt;0, W61/T61, 0)</f>
        <v>1</v>
      </c>
      <c r="Y61" s="9" t="s">
        <v>60</v>
      </c>
      <c r="Z61" s="11" t="s">
        <v>42</v>
      </c>
      <c r="AA61" s="11" t="s">
        <v>43</v>
      </c>
      <c r="AB61" s="11" t="s">
        <v>44</v>
      </c>
      <c r="AC61" s="9" t="s">
        <v>44</v>
      </c>
    </row>
    <row r="62" spans="1:29">
      <c r="A62" s="10">
        <v>55</v>
      </c>
      <c r="B62" s="10" t="s">
        <v>191</v>
      </c>
      <c r="C62" s="10" t="s">
        <v>141</v>
      </c>
      <c r="D62" s="10" t="s">
        <v>33</v>
      </c>
      <c r="E62" s="10" t="s">
        <v>34</v>
      </c>
      <c r="F62" s="10" t="s">
        <v>144</v>
      </c>
      <c r="G62" s="8" t="s">
        <v>36</v>
      </c>
      <c r="H62" s="8" t="s">
        <v>71</v>
      </c>
      <c r="I62" s="8" t="s">
        <v>71</v>
      </c>
      <c r="J62" s="10">
        <v>170</v>
      </c>
      <c r="K62" s="10" t="s">
        <v>182</v>
      </c>
      <c r="L62" s="10" t="s">
        <v>40</v>
      </c>
      <c r="M62" s="12">
        <v>1</v>
      </c>
      <c r="N62" s="15">
        <v>18000.0</v>
      </c>
      <c r="O62" s="15"/>
      <c r="P62" s="17">
        <f>IF(N62&gt;0, O62/N62, 0)</f>
        <v>0</v>
      </c>
      <c r="Q62" s="15">
        <f>N62-O62</f>
        <v>18000</v>
      </c>
      <c r="R62" s="15">
        <f>M62*N62</f>
        <v>18000</v>
      </c>
      <c r="S62" s="15">
        <f>M62*O62</f>
        <v>0</v>
      </c>
      <c r="T62" s="15">
        <f>M62*Q62</f>
        <v>18000</v>
      </c>
      <c r="U62" s="15"/>
      <c r="V62" s="15">
        <f>M62*U62</f>
        <v>0</v>
      </c>
      <c r="W62" s="15">
        <f>T62-V62</f>
        <v>18000</v>
      </c>
      <c r="X62" s="17">
        <f>IF(T62&gt;0, W62/T62, 0)</f>
        <v>1</v>
      </c>
      <c r="Y62" s="8" t="s">
        <v>60</v>
      </c>
      <c r="Z62" s="10" t="s">
        <v>42</v>
      </c>
      <c r="AA62" s="10" t="s">
        <v>43</v>
      </c>
      <c r="AB62" s="10" t="s">
        <v>44</v>
      </c>
      <c r="AC62" s="8" t="s">
        <v>146</v>
      </c>
    </row>
    <row r="63" spans="1:29">
      <c r="A63" s="11">
        <v>56</v>
      </c>
      <c r="B63" s="11" t="s">
        <v>192</v>
      </c>
      <c r="C63" s="11" t="s">
        <v>141</v>
      </c>
      <c r="D63" s="11" t="s">
        <v>33</v>
      </c>
      <c r="E63" s="11" t="s">
        <v>34</v>
      </c>
      <c r="F63" s="11" t="s">
        <v>144</v>
      </c>
      <c r="G63" s="9" t="s">
        <v>36</v>
      </c>
      <c r="H63" s="9" t="s">
        <v>71</v>
      </c>
      <c r="I63" s="9" t="s">
        <v>71</v>
      </c>
      <c r="J63" s="11">
        <v>164</v>
      </c>
      <c r="K63" s="11" t="s">
        <v>72</v>
      </c>
      <c r="L63" s="11" t="s">
        <v>40</v>
      </c>
      <c r="M63" s="13">
        <v>1</v>
      </c>
      <c r="N63" s="16">
        <v>18000.0</v>
      </c>
      <c r="O63" s="16"/>
      <c r="P63" s="18">
        <f>IF(N63&gt;0, O63/N63, 0)</f>
        <v>0</v>
      </c>
      <c r="Q63" s="16">
        <f>N63-O63</f>
        <v>18000</v>
      </c>
      <c r="R63" s="16">
        <f>M63*N63</f>
        <v>18000</v>
      </c>
      <c r="S63" s="16">
        <f>M63*O63</f>
        <v>0</v>
      </c>
      <c r="T63" s="16">
        <f>M63*Q63</f>
        <v>18000</v>
      </c>
      <c r="U63" s="16"/>
      <c r="V63" s="16">
        <f>M63*U63</f>
        <v>0</v>
      </c>
      <c r="W63" s="16">
        <f>T63-V63</f>
        <v>18000</v>
      </c>
      <c r="X63" s="18">
        <f>IF(T63&gt;0, W63/T63, 0)</f>
        <v>1</v>
      </c>
      <c r="Y63" s="9" t="s">
        <v>60</v>
      </c>
      <c r="Z63" s="11" t="s">
        <v>42</v>
      </c>
      <c r="AA63" s="11" t="s">
        <v>43</v>
      </c>
      <c r="AB63" s="11" t="s">
        <v>44</v>
      </c>
      <c r="AC63" s="9" t="s">
        <v>146</v>
      </c>
    </row>
    <row r="64" spans="1:29">
      <c r="A64" s="10">
        <v>57</v>
      </c>
      <c r="B64" s="10" t="s">
        <v>193</v>
      </c>
      <c r="C64" s="10" t="s">
        <v>141</v>
      </c>
      <c r="D64" s="10" t="s">
        <v>33</v>
      </c>
      <c r="E64" s="10" t="s">
        <v>34</v>
      </c>
      <c r="F64" s="10" t="s">
        <v>144</v>
      </c>
      <c r="G64" s="8" t="s">
        <v>161</v>
      </c>
      <c r="H64" s="8" t="s">
        <v>162</v>
      </c>
      <c r="I64" s="8" t="s">
        <v>162</v>
      </c>
      <c r="J64" s="10" t="s">
        <v>44</v>
      </c>
      <c r="K64" s="10" t="s">
        <v>194</v>
      </c>
      <c r="L64" s="10" t="s">
        <v>40</v>
      </c>
      <c r="M64" s="12">
        <v>1</v>
      </c>
      <c r="N64" s="15">
        <v>5000.0</v>
      </c>
      <c r="O64" s="15"/>
      <c r="P64" s="17">
        <f>IF(N64&gt;0, O64/N64, 0)</f>
        <v>0</v>
      </c>
      <c r="Q64" s="15">
        <f>N64-O64</f>
        <v>5000</v>
      </c>
      <c r="R64" s="15">
        <f>M64*N64</f>
        <v>5000</v>
      </c>
      <c r="S64" s="15">
        <f>M64*O64</f>
        <v>0</v>
      </c>
      <c r="T64" s="15">
        <f>M64*Q64</f>
        <v>5000</v>
      </c>
      <c r="U64" s="15"/>
      <c r="V64" s="15">
        <f>M64*U64</f>
        <v>0</v>
      </c>
      <c r="W64" s="15">
        <f>T64-V64</f>
        <v>5000</v>
      </c>
      <c r="X64" s="17">
        <f>IF(T64&gt;0, W64/T64, 0)</f>
        <v>1</v>
      </c>
      <c r="Y64" s="8" t="s">
        <v>60</v>
      </c>
      <c r="Z64" s="10" t="s">
        <v>42</v>
      </c>
      <c r="AA64" s="10" t="s">
        <v>43</v>
      </c>
      <c r="AB64" s="10" t="s">
        <v>44</v>
      </c>
      <c r="AC64" s="8" t="s">
        <v>146</v>
      </c>
    </row>
    <row r="65" spans="1:29">
      <c r="A65" s="11">
        <v>58</v>
      </c>
      <c r="B65" s="11" t="s">
        <v>195</v>
      </c>
      <c r="C65" s="11" t="s">
        <v>141</v>
      </c>
      <c r="D65" s="11" t="s">
        <v>33</v>
      </c>
      <c r="E65" s="11" t="s">
        <v>34</v>
      </c>
      <c r="F65" s="11" t="s">
        <v>144</v>
      </c>
      <c r="G65" s="9" t="s">
        <v>36</v>
      </c>
      <c r="H65" s="9" t="s">
        <v>65</v>
      </c>
      <c r="I65" s="9" t="s">
        <v>151</v>
      </c>
      <c r="J65" s="11">
        <v>170</v>
      </c>
      <c r="K65" s="11" t="s">
        <v>152</v>
      </c>
      <c r="L65" s="11" t="s">
        <v>40</v>
      </c>
      <c r="M65" s="13">
        <v>1</v>
      </c>
      <c r="N65" s="16">
        <v>12000.0</v>
      </c>
      <c r="O65" s="16"/>
      <c r="P65" s="18">
        <f>IF(N65&gt;0, O65/N65, 0)</f>
        <v>0</v>
      </c>
      <c r="Q65" s="16">
        <f>N65-O65</f>
        <v>12000</v>
      </c>
      <c r="R65" s="16">
        <f>M65*N65</f>
        <v>12000</v>
      </c>
      <c r="S65" s="16">
        <f>M65*O65</f>
        <v>0</v>
      </c>
      <c r="T65" s="16">
        <f>M65*Q65</f>
        <v>12000</v>
      </c>
      <c r="U65" s="16"/>
      <c r="V65" s="16">
        <f>M65*U65</f>
        <v>0</v>
      </c>
      <c r="W65" s="16">
        <f>T65-V65</f>
        <v>12000</v>
      </c>
      <c r="X65" s="18">
        <f>IF(T65&gt;0, W65/T65, 0)</f>
        <v>1</v>
      </c>
      <c r="Y65" s="9" t="s">
        <v>60</v>
      </c>
      <c r="Z65" s="11" t="s">
        <v>42</v>
      </c>
      <c r="AA65" s="11" t="s">
        <v>43</v>
      </c>
      <c r="AB65" s="11" t="s">
        <v>44</v>
      </c>
      <c r="AC65" s="9" t="s">
        <v>146</v>
      </c>
    </row>
    <row r="66" spans="1:29">
      <c r="A66" s="10">
        <v>59</v>
      </c>
      <c r="B66" s="10" t="s">
        <v>196</v>
      </c>
      <c r="C66" s="10" t="s">
        <v>141</v>
      </c>
      <c r="D66" s="10" t="s">
        <v>33</v>
      </c>
      <c r="E66" s="10" t="s">
        <v>34</v>
      </c>
      <c r="F66" s="10" t="s">
        <v>144</v>
      </c>
      <c r="G66" s="8" t="s">
        <v>36</v>
      </c>
      <c r="H66" s="8" t="s">
        <v>37</v>
      </c>
      <c r="I66" s="8" t="s">
        <v>38</v>
      </c>
      <c r="J66" s="10">
        <v>170</v>
      </c>
      <c r="K66" s="10" t="s">
        <v>145</v>
      </c>
      <c r="L66" s="10" t="s">
        <v>40</v>
      </c>
      <c r="M66" s="12">
        <v>1</v>
      </c>
      <c r="N66" s="15">
        <v>10000.0</v>
      </c>
      <c r="O66" s="15"/>
      <c r="P66" s="17">
        <f>IF(N66&gt;0, O66/N66, 0)</f>
        <v>0</v>
      </c>
      <c r="Q66" s="15">
        <f>N66-O66</f>
        <v>10000</v>
      </c>
      <c r="R66" s="15">
        <f>M66*N66</f>
        <v>10000</v>
      </c>
      <c r="S66" s="15">
        <f>M66*O66</f>
        <v>0</v>
      </c>
      <c r="T66" s="15">
        <f>M66*Q66</f>
        <v>10000</v>
      </c>
      <c r="U66" s="15"/>
      <c r="V66" s="15">
        <f>M66*U66</f>
        <v>0</v>
      </c>
      <c r="W66" s="15">
        <f>T66-V66</f>
        <v>10000</v>
      </c>
      <c r="X66" s="17">
        <f>IF(T66&gt;0, W66/T66, 0)</f>
        <v>1</v>
      </c>
      <c r="Y66" s="8" t="s">
        <v>60</v>
      </c>
      <c r="Z66" s="10" t="s">
        <v>42</v>
      </c>
      <c r="AA66" s="10" t="s">
        <v>43</v>
      </c>
      <c r="AB66" s="10" t="s">
        <v>44</v>
      </c>
      <c r="AC66" s="8" t="s">
        <v>146</v>
      </c>
    </row>
    <row r="67" spans="1:29">
      <c r="A67" s="11">
        <v>60</v>
      </c>
      <c r="B67" s="11" t="s">
        <v>197</v>
      </c>
      <c r="C67" s="11" t="s">
        <v>141</v>
      </c>
      <c r="D67" s="11" t="s">
        <v>33</v>
      </c>
      <c r="E67" s="11" t="s">
        <v>34</v>
      </c>
      <c r="F67" s="11" t="s">
        <v>144</v>
      </c>
      <c r="G67" s="9" t="s">
        <v>36</v>
      </c>
      <c r="H67" s="9" t="s">
        <v>65</v>
      </c>
      <c r="I67" s="9" t="s">
        <v>151</v>
      </c>
      <c r="J67" s="11">
        <v>152</v>
      </c>
      <c r="K67" s="11" t="s">
        <v>198</v>
      </c>
      <c r="L67" s="11" t="s">
        <v>40</v>
      </c>
      <c r="M67" s="13">
        <v>2</v>
      </c>
      <c r="N67" s="16">
        <v>15000.0</v>
      </c>
      <c r="O67" s="16"/>
      <c r="P67" s="18">
        <f>IF(N67&gt;0, O67/N67, 0)</f>
        <v>0</v>
      </c>
      <c r="Q67" s="16">
        <f>N67-O67</f>
        <v>15000</v>
      </c>
      <c r="R67" s="16">
        <f>M67*N67</f>
        <v>30000</v>
      </c>
      <c r="S67" s="16">
        <f>M67*O67</f>
        <v>0</v>
      </c>
      <c r="T67" s="16">
        <f>M67*Q67</f>
        <v>30000</v>
      </c>
      <c r="U67" s="16"/>
      <c r="V67" s="16">
        <f>M67*U67</f>
        <v>0</v>
      </c>
      <c r="W67" s="16">
        <f>T67-V67</f>
        <v>30000</v>
      </c>
      <c r="X67" s="18">
        <f>IF(T67&gt;0, W67/T67, 0)</f>
        <v>1</v>
      </c>
      <c r="Y67" s="9" t="s">
        <v>60</v>
      </c>
      <c r="Z67" s="11" t="s">
        <v>42</v>
      </c>
      <c r="AA67" s="11" t="s">
        <v>43</v>
      </c>
      <c r="AB67" s="11" t="s">
        <v>44</v>
      </c>
      <c r="AC67" s="9" t="s">
        <v>146</v>
      </c>
    </row>
    <row r="68" spans="1:29">
      <c r="A68" s="10">
        <v>61</v>
      </c>
      <c r="B68" s="10" t="s">
        <v>199</v>
      </c>
      <c r="C68" s="10" t="s">
        <v>200</v>
      </c>
      <c r="D68" s="10" t="s">
        <v>201</v>
      </c>
      <c r="E68" s="10" t="s">
        <v>34</v>
      </c>
      <c r="F68" s="10" t="s">
        <v>35</v>
      </c>
      <c r="G68" s="8" t="s">
        <v>36</v>
      </c>
      <c r="H68" s="8" t="s">
        <v>53</v>
      </c>
      <c r="I68" s="8" t="s">
        <v>53</v>
      </c>
      <c r="J68" s="10">
        <v>158</v>
      </c>
      <c r="K68" s="10" t="s">
        <v>124</v>
      </c>
      <c r="L68" s="10" t="s">
        <v>40</v>
      </c>
      <c r="M68" s="12">
        <v>1</v>
      </c>
      <c r="N68" s="15">
        <v>8500.0</v>
      </c>
      <c r="O68" s="15"/>
      <c r="P68" s="17">
        <f>IF(N68&gt;0, O68/N68, 0)</f>
        <v>0</v>
      </c>
      <c r="Q68" s="15">
        <f>N68-O68</f>
        <v>8500</v>
      </c>
      <c r="R68" s="15">
        <f>M68*N68</f>
        <v>8500</v>
      </c>
      <c r="S68" s="15">
        <f>M68*O68</f>
        <v>0</v>
      </c>
      <c r="T68" s="15">
        <f>M68*Q68</f>
        <v>8500</v>
      </c>
      <c r="U68" s="15"/>
      <c r="V68" s="15">
        <f>M68*U68</f>
        <v>0</v>
      </c>
      <c r="W68" s="15">
        <f>T68-V68</f>
        <v>8500</v>
      </c>
      <c r="X68" s="17">
        <f>IF(T68&gt;0, W68/T68, 0)</f>
        <v>1</v>
      </c>
      <c r="Y68" s="8" t="s">
        <v>60</v>
      </c>
      <c r="Z68" s="10" t="s">
        <v>42</v>
      </c>
      <c r="AA68" s="10" t="s">
        <v>43</v>
      </c>
      <c r="AB68" s="10" t="s">
        <v>44</v>
      </c>
      <c r="AC68" s="8" t="s">
        <v>44</v>
      </c>
    </row>
    <row r="69" spans="1:29">
      <c r="A69" s="11">
        <v>62</v>
      </c>
      <c r="B69" s="11" t="s">
        <v>202</v>
      </c>
      <c r="C69" s="11" t="s">
        <v>200</v>
      </c>
      <c r="D69" s="11" t="s">
        <v>201</v>
      </c>
      <c r="E69" s="11" t="s">
        <v>34</v>
      </c>
      <c r="F69" s="11" t="s">
        <v>35</v>
      </c>
      <c r="G69" s="9" t="s">
        <v>36</v>
      </c>
      <c r="H69" s="9" t="s">
        <v>53</v>
      </c>
      <c r="I69" s="9" t="s">
        <v>53</v>
      </c>
      <c r="J69" s="11">
        <v>164</v>
      </c>
      <c r="K69" s="11" t="s">
        <v>63</v>
      </c>
      <c r="L69" s="11" t="s">
        <v>40</v>
      </c>
      <c r="M69" s="13">
        <v>1</v>
      </c>
      <c r="N69" s="16">
        <v>8500.0</v>
      </c>
      <c r="O69" s="16"/>
      <c r="P69" s="18">
        <f>IF(N69&gt;0, O69/N69, 0)</f>
        <v>0</v>
      </c>
      <c r="Q69" s="16">
        <f>N69-O69</f>
        <v>8500</v>
      </c>
      <c r="R69" s="16">
        <f>M69*N69</f>
        <v>8500</v>
      </c>
      <c r="S69" s="16">
        <f>M69*O69</f>
        <v>0</v>
      </c>
      <c r="T69" s="16">
        <f>M69*Q69</f>
        <v>8500</v>
      </c>
      <c r="U69" s="16"/>
      <c r="V69" s="16">
        <f>M69*U69</f>
        <v>0</v>
      </c>
      <c r="W69" s="16">
        <f>T69-V69</f>
        <v>8500</v>
      </c>
      <c r="X69" s="18">
        <f>IF(T69&gt;0, W69/T69, 0)</f>
        <v>1</v>
      </c>
      <c r="Y69" s="9" t="s">
        <v>60</v>
      </c>
      <c r="Z69" s="11" t="s">
        <v>42</v>
      </c>
      <c r="AA69" s="11" t="s">
        <v>43</v>
      </c>
      <c r="AB69" s="11" t="s">
        <v>44</v>
      </c>
      <c r="AC69" s="9" t="s">
        <v>44</v>
      </c>
    </row>
    <row r="70" spans="1:29">
      <c r="A70" s="10">
        <v>63</v>
      </c>
      <c r="B70" s="10" t="s">
        <v>203</v>
      </c>
      <c r="C70" s="10" t="s">
        <v>200</v>
      </c>
      <c r="D70" s="10" t="s">
        <v>201</v>
      </c>
      <c r="E70" s="10" t="s">
        <v>34</v>
      </c>
      <c r="F70" s="10" t="s">
        <v>144</v>
      </c>
      <c r="G70" s="8" t="s">
        <v>161</v>
      </c>
      <c r="H70" s="8" t="s">
        <v>162</v>
      </c>
      <c r="I70" s="8" t="s">
        <v>162</v>
      </c>
      <c r="J70" s="10" t="s">
        <v>44</v>
      </c>
      <c r="K70" s="10" t="s">
        <v>204</v>
      </c>
      <c r="L70" s="10" t="s">
        <v>40</v>
      </c>
      <c r="M70" s="12">
        <v>1</v>
      </c>
      <c r="N70" s="15">
        <v>5000.0</v>
      </c>
      <c r="O70" s="15"/>
      <c r="P70" s="17">
        <f>IF(N70&gt;0, O70/N70, 0)</f>
        <v>0</v>
      </c>
      <c r="Q70" s="15">
        <f>N70-O70</f>
        <v>5000</v>
      </c>
      <c r="R70" s="15">
        <f>M70*N70</f>
        <v>5000</v>
      </c>
      <c r="S70" s="15">
        <f>M70*O70</f>
        <v>0</v>
      </c>
      <c r="T70" s="15">
        <f>M70*Q70</f>
        <v>5000</v>
      </c>
      <c r="U70" s="15"/>
      <c r="V70" s="15">
        <f>M70*U70</f>
        <v>0</v>
      </c>
      <c r="W70" s="15">
        <f>T70-V70</f>
        <v>5000</v>
      </c>
      <c r="X70" s="17">
        <f>IF(T70&gt;0, W70/T70, 0)</f>
        <v>1</v>
      </c>
      <c r="Y70" s="8" t="s">
        <v>60</v>
      </c>
      <c r="Z70" s="10" t="s">
        <v>42</v>
      </c>
      <c r="AA70" s="10" t="s">
        <v>43</v>
      </c>
      <c r="AB70" s="10" t="s">
        <v>44</v>
      </c>
      <c r="AC70" s="8" t="s">
        <v>146</v>
      </c>
    </row>
    <row r="71" spans="1:29">
      <c r="A71" s="11">
        <v>64</v>
      </c>
      <c r="B71" s="11" t="s">
        <v>205</v>
      </c>
      <c r="C71" s="11" t="s">
        <v>200</v>
      </c>
      <c r="D71" s="11" t="s">
        <v>201</v>
      </c>
      <c r="E71" s="11" t="s">
        <v>34</v>
      </c>
      <c r="F71" s="11" t="s">
        <v>144</v>
      </c>
      <c r="G71" s="9" t="s">
        <v>36</v>
      </c>
      <c r="H71" s="9" t="s">
        <v>71</v>
      </c>
      <c r="I71" s="9" t="s">
        <v>71</v>
      </c>
      <c r="J71" s="11">
        <v>176</v>
      </c>
      <c r="K71" s="11" t="s">
        <v>206</v>
      </c>
      <c r="L71" s="11" t="s">
        <v>40</v>
      </c>
      <c r="M71" s="13">
        <v>1</v>
      </c>
      <c r="N71" s="16">
        <v>18000.0</v>
      </c>
      <c r="O71" s="16"/>
      <c r="P71" s="18">
        <f>IF(N71&gt;0, O71/N71, 0)</f>
        <v>0</v>
      </c>
      <c r="Q71" s="16">
        <f>N71-O71</f>
        <v>18000</v>
      </c>
      <c r="R71" s="16">
        <f>M71*N71</f>
        <v>18000</v>
      </c>
      <c r="S71" s="16">
        <f>M71*O71</f>
        <v>0</v>
      </c>
      <c r="T71" s="16">
        <f>M71*Q71</f>
        <v>18000</v>
      </c>
      <c r="U71" s="16"/>
      <c r="V71" s="16">
        <f>M71*U71</f>
        <v>0</v>
      </c>
      <c r="W71" s="16">
        <f>T71-V71</f>
        <v>18000</v>
      </c>
      <c r="X71" s="18">
        <f>IF(T71&gt;0, W71/T71, 0)</f>
        <v>1</v>
      </c>
      <c r="Y71" s="9" t="s">
        <v>60</v>
      </c>
      <c r="Z71" s="11" t="s">
        <v>42</v>
      </c>
      <c r="AA71" s="11" t="s">
        <v>43</v>
      </c>
      <c r="AB71" s="11" t="s">
        <v>44</v>
      </c>
      <c r="AC71" s="9" t="s">
        <v>146</v>
      </c>
    </row>
    <row r="72" spans="1:29">
      <c r="A72" s="10">
        <v>65</v>
      </c>
      <c r="B72" s="10" t="s">
        <v>207</v>
      </c>
      <c r="C72" s="10" t="s">
        <v>200</v>
      </c>
      <c r="D72" s="10" t="s">
        <v>201</v>
      </c>
      <c r="E72" s="10" t="s">
        <v>34</v>
      </c>
      <c r="F72" s="10" t="s">
        <v>35</v>
      </c>
      <c r="G72" s="8" t="s">
        <v>36</v>
      </c>
      <c r="H72" s="8" t="s">
        <v>53</v>
      </c>
      <c r="I72" s="8" t="s">
        <v>53</v>
      </c>
      <c r="J72" s="10">
        <v>158</v>
      </c>
      <c r="K72" s="10" t="s">
        <v>124</v>
      </c>
      <c r="L72" s="10" t="s">
        <v>40</v>
      </c>
      <c r="M72" s="12">
        <v>1</v>
      </c>
      <c r="N72" s="15">
        <v>8500.0</v>
      </c>
      <c r="O72" s="15"/>
      <c r="P72" s="17">
        <f>IF(N72&gt;0, O72/N72, 0)</f>
        <v>0</v>
      </c>
      <c r="Q72" s="15">
        <f>N72-O72</f>
        <v>8500</v>
      </c>
      <c r="R72" s="15">
        <f>M72*N72</f>
        <v>8500</v>
      </c>
      <c r="S72" s="15">
        <f>M72*O72</f>
        <v>0</v>
      </c>
      <c r="T72" s="15">
        <f>M72*Q72</f>
        <v>8500</v>
      </c>
      <c r="U72" s="15"/>
      <c r="V72" s="15">
        <f>M72*U72</f>
        <v>0</v>
      </c>
      <c r="W72" s="15">
        <f>T72-V72</f>
        <v>8500</v>
      </c>
      <c r="X72" s="17">
        <f>IF(T72&gt;0, W72/T72, 0)</f>
        <v>1</v>
      </c>
      <c r="Y72" s="8" t="s">
        <v>60</v>
      </c>
      <c r="Z72" s="10" t="s">
        <v>42</v>
      </c>
      <c r="AA72" s="10" t="s">
        <v>43</v>
      </c>
      <c r="AB72" s="10" t="s">
        <v>44</v>
      </c>
      <c r="AC72" s="8" t="s">
        <v>44</v>
      </c>
    </row>
    <row r="73" spans="1:29">
      <c r="A73" s="11">
        <v>66</v>
      </c>
      <c r="B73" s="11" t="s">
        <v>208</v>
      </c>
      <c r="C73" s="11" t="s">
        <v>200</v>
      </c>
      <c r="D73" s="11" t="s">
        <v>201</v>
      </c>
      <c r="E73" s="11" t="s">
        <v>34</v>
      </c>
      <c r="F73" s="11" t="s">
        <v>144</v>
      </c>
      <c r="G73" s="9" t="s">
        <v>36</v>
      </c>
      <c r="H73" s="9" t="s">
        <v>65</v>
      </c>
      <c r="I73" s="9" t="s">
        <v>151</v>
      </c>
      <c r="J73" s="11">
        <v>152</v>
      </c>
      <c r="K73" s="11" t="s">
        <v>198</v>
      </c>
      <c r="L73" s="11" t="s">
        <v>40</v>
      </c>
      <c r="M73" s="13">
        <v>1</v>
      </c>
      <c r="N73" s="16">
        <v>14000.0</v>
      </c>
      <c r="O73" s="16"/>
      <c r="P73" s="18">
        <f>IF(N73&gt;0, O73/N73, 0)</f>
        <v>0</v>
      </c>
      <c r="Q73" s="16">
        <f>N73-O73</f>
        <v>14000</v>
      </c>
      <c r="R73" s="16">
        <f>M73*N73</f>
        <v>14000</v>
      </c>
      <c r="S73" s="16">
        <f>M73*O73</f>
        <v>0</v>
      </c>
      <c r="T73" s="16">
        <f>M73*Q73</f>
        <v>14000</v>
      </c>
      <c r="U73" s="16"/>
      <c r="V73" s="16">
        <f>M73*U73</f>
        <v>0</v>
      </c>
      <c r="W73" s="16">
        <f>T73-V73</f>
        <v>14000</v>
      </c>
      <c r="X73" s="18">
        <f>IF(T73&gt;0, W73/T73, 0)</f>
        <v>1</v>
      </c>
      <c r="Y73" s="9" t="s">
        <v>60</v>
      </c>
      <c r="Z73" s="11" t="s">
        <v>42</v>
      </c>
      <c r="AA73" s="11" t="s">
        <v>43</v>
      </c>
      <c r="AB73" s="11" t="s">
        <v>44</v>
      </c>
      <c r="AC73" s="9" t="s">
        <v>146</v>
      </c>
    </row>
    <row r="74" spans="1:29">
      <c r="A74" s="10">
        <v>67</v>
      </c>
      <c r="B74" s="10" t="s">
        <v>209</v>
      </c>
      <c r="C74" s="10" t="s">
        <v>200</v>
      </c>
      <c r="D74" s="10" t="s">
        <v>201</v>
      </c>
      <c r="E74" s="10" t="s">
        <v>34</v>
      </c>
      <c r="F74" s="10" t="s">
        <v>35</v>
      </c>
      <c r="G74" s="8" t="s">
        <v>36</v>
      </c>
      <c r="H74" s="8" t="s">
        <v>71</v>
      </c>
      <c r="I74" s="8" t="s">
        <v>71</v>
      </c>
      <c r="J74" s="10">
        <v>152</v>
      </c>
      <c r="K74" s="10" t="s">
        <v>210</v>
      </c>
      <c r="L74" s="10" t="s">
        <v>40</v>
      </c>
      <c r="M74" s="12">
        <v>1</v>
      </c>
      <c r="N74" s="15">
        <v>16500.0</v>
      </c>
      <c r="O74" s="15"/>
      <c r="P74" s="17">
        <f>IF(N74&gt;0, O74/N74, 0)</f>
        <v>0</v>
      </c>
      <c r="Q74" s="15">
        <f>N74-O74</f>
        <v>16500</v>
      </c>
      <c r="R74" s="15">
        <f>M74*N74</f>
        <v>16500</v>
      </c>
      <c r="S74" s="15">
        <f>M74*O74</f>
        <v>0</v>
      </c>
      <c r="T74" s="15">
        <f>M74*Q74</f>
        <v>16500</v>
      </c>
      <c r="U74" s="15"/>
      <c r="V74" s="15">
        <f>M74*U74</f>
        <v>0</v>
      </c>
      <c r="W74" s="15">
        <f>T74-V74</f>
        <v>16500</v>
      </c>
      <c r="X74" s="17">
        <f>IF(T74&gt;0, W74/T74, 0)</f>
        <v>1</v>
      </c>
      <c r="Y74" s="8" t="s">
        <v>60</v>
      </c>
      <c r="Z74" s="10" t="s">
        <v>42</v>
      </c>
      <c r="AA74" s="10" t="s">
        <v>43</v>
      </c>
      <c r="AB74" s="10" t="s">
        <v>44</v>
      </c>
      <c r="AC74" s="8" t="s">
        <v>44</v>
      </c>
    </row>
    <row r="75" spans="1:29">
      <c r="A75" s="11">
        <v>68</v>
      </c>
      <c r="B75" s="11" t="s">
        <v>211</v>
      </c>
      <c r="C75" s="11" t="s">
        <v>200</v>
      </c>
      <c r="D75" s="11" t="s">
        <v>201</v>
      </c>
      <c r="E75" s="11" t="s">
        <v>34</v>
      </c>
      <c r="F75" s="11" t="s">
        <v>35</v>
      </c>
      <c r="G75" s="9" t="s">
        <v>52</v>
      </c>
      <c r="H75" s="9" t="s">
        <v>71</v>
      </c>
      <c r="I75" s="9" t="s">
        <v>71</v>
      </c>
      <c r="J75" s="11">
        <v>134</v>
      </c>
      <c r="K75" s="11" t="s">
        <v>212</v>
      </c>
      <c r="L75" s="11" t="s">
        <v>40</v>
      </c>
      <c r="M75" s="13">
        <v>1</v>
      </c>
      <c r="N75" s="16">
        <v>18000.0</v>
      </c>
      <c r="O75" s="16"/>
      <c r="P75" s="18">
        <f>IF(N75&gt;0, O75/N75, 0)</f>
        <v>0</v>
      </c>
      <c r="Q75" s="16">
        <f>N75-O75</f>
        <v>18000</v>
      </c>
      <c r="R75" s="16">
        <f>M75*N75</f>
        <v>18000</v>
      </c>
      <c r="S75" s="16">
        <f>M75*O75</f>
        <v>0</v>
      </c>
      <c r="T75" s="16">
        <f>M75*Q75</f>
        <v>18000</v>
      </c>
      <c r="U75" s="16"/>
      <c r="V75" s="16">
        <f>M75*U75</f>
        <v>0</v>
      </c>
      <c r="W75" s="16">
        <f>T75-V75</f>
        <v>18000</v>
      </c>
      <c r="X75" s="18">
        <f>IF(T75&gt;0, W75/T75, 0)</f>
        <v>1</v>
      </c>
      <c r="Y75" s="9" t="s">
        <v>60</v>
      </c>
      <c r="Z75" s="11" t="s">
        <v>42</v>
      </c>
      <c r="AA75" s="11" t="s">
        <v>43</v>
      </c>
      <c r="AB75" s="11" t="s">
        <v>44</v>
      </c>
      <c r="AC75" s="9" t="s">
        <v>44</v>
      </c>
    </row>
    <row r="76" spans="1:29">
      <c r="A76" s="10">
        <v>69</v>
      </c>
      <c r="B76" s="10" t="s">
        <v>213</v>
      </c>
      <c r="C76" s="10" t="s">
        <v>200</v>
      </c>
      <c r="D76" s="10" t="s">
        <v>201</v>
      </c>
      <c r="E76" s="10" t="s">
        <v>70</v>
      </c>
      <c r="F76" s="10" t="s">
        <v>35</v>
      </c>
      <c r="G76" s="8" t="s">
        <v>36</v>
      </c>
      <c r="H76" s="8" t="s">
        <v>37</v>
      </c>
      <c r="I76" s="8" t="s">
        <v>38</v>
      </c>
      <c r="J76" s="10">
        <v>170</v>
      </c>
      <c r="K76" s="10" t="s">
        <v>145</v>
      </c>
      <c r="L76" s="10" t="s">
        <v>40</v>
      </c>
      <c r="M76" s="12">
        <v>2</v>
      </c>
      <c r="N76" s="15">
        <v>9000.0</v>
      </c>
      <c r="O76" s="15"/>
      <c r="P76" s="17">
        <f>IF(N76&gt;0, O76/N76, 0)</f>
        <v>0</v>
      </c>
      <c r="Q76" s="15">
        <f>N76-O76</f>
        <v>9000</v>
      </c>
      <c r="R76" s="15">
        <f>M76*N76</f>
        <v>18000</v>
      </c>
      <c r="S76" s="15">
        <f>M76*O76</f>
        <v>0</v>
      </c>
      <c r="T76" s="15">
        <f>M76*Q76</f>
        <v>18000</v>
      </c>
      <c r="U76" s="15"/>
      <c r="V76" s="15">
        <f>M76*U76</f>
        <v>0</v>
      </c>
      <c r="W76" s="15">
        <f>T76-V76</f>
        <v>18000</v>
      </c>
      <c r="X76" s="17">
        <f>IF(T76&gt;0, W76/T76, 0)</f>
        <v>1</v>
      </c>
      <c r="Y76" s="8" t="s">
        <v>60</v>
      </c>
      <c r="Z76" s="10" t="s">
        <v>42</v>
      </c>
      <c r="AA76" s="10" t="s">
        <v>73</v>
      </c>
      <c r="AB76" s="10" t="s">
        <v>44</v>
      </c>
      <c r="AC76" s="8" t="s">
        <v>44</v>
      </c>
    </row>
    <row r="77" spans="1:29">
      <c r="A77" s="11">
        <v>70</v>
      </c>
      <c r="B77" s="11" t="s">
        <v>214</v>
      </c>
      <c r="C77" s="11" t="s">
        <v>200</v>
      </c>
      <c r="D77" s="11" t="s">
        <v>201</v>
      </c>
      <c r="E77" s="11" t="s">
        <v>34</v>
      </c>
      <c r="F77" s="11" t="s">
        <v>35</v>
      </c>
      <c r="G77" s="9" t="s">
        <v>36</v>
      </c>
      <c r="H77" s="9" t="s">
        <v>58</v>
      </c>
      <c r="I77" s="9" t="s">
        <v>58</v>
      </c>
      <c r="J77" s="11">
        <v>170</v>
      </c>
      <c r="K77" s="11" t="s">
        <v>215</v>
      </c>
      <c r="L77" s="11" t="s">
        <v>40</v>
      </c>
      <c r="M77" s="13">
        <v>1</v>
      </c>
      <c r="N77" s="16">
        <v>7500.0</v>
      </c>
      <c r="O77" s="16"/>
      <c r="P77" s="18">
        <f>IF(N77&gt;0, O77/N77, 0)</f>
        <v>0</v>
      </c>
      <c r="Q77" s="16">
        <f>N77-O77</f>
        <v>7500</v>
      </c>
      <c r="R77" s="16">
        <f>M77*N77</f>
        <v>7500</v>
      </c>
      <c r="S77" s="16">
        <f>M77*O77</f>
        <v>0</v>
      </c>
      <c r="T77" s="16">
        <f>M77*Q77</f>
        <v>7500</v>
      </c>
      <c r="U77" s="16"/>
      <c r="V77" s="16">
        <f>M77*U77</f>
        <v>0</v>
      </c>
      <c r="W77" s="16">
        <f>T77-V77</f>
        <v>7500</v>
      </c>
      <c r="X77" s="18">
        <f>IF(T77&gt;0, W77/T77, 0)</f>
        <v>1</v>
      </c>
      <c r="Y77" s="9" t="s">
        <v>60</v>
      </c>
      <c r="Z77" s="11" t="s">
        <v>42</v>
      </c>
      <c r="AA77" s="11" t="s">
        <v>43</v>
      </c>
      <c r="AB77" s="11" t="s">
        <v>44</v>
      </c>
      <c r="AC77" s="9" t="s">
        <v>44</v>
      </c>
    </row>
    <row r="78" spans="1:29">
      <c r="A78" s="10">
        <v>71</v>
      </c>
      <c r="B78" s="10" t="s">
        <v>216</v>
      </c>
      <c r="C78" s="10" t="s">
        <v>200</v>
      </c>
      <c r="D78" s="10" t="s">
        <v>201</v>
      </c>
      <c r="E78" s="10" t="s">
        <v>34</v>
      </c>
      <c r="F78" s="10" t="s">
        <v>35</v>
      </c>
      <c r="G78" s="8" t="s">
        <v>36</v>
      </c>
      <c r="H78" s="8" t="s">
        <v>53</v>
      </c>
      <c r="I78" s="8" t="s">
        <v>53</v>
      </c>
      <c r="J78" s="10">
        <v>164</v>
      </c>
      <c r="K78" s="10" t="s">
        <v>63</v>
      </c>
      <c r="L78" s="10" t="s">
        <v>40</v>
      </c>
      <c r="M78" s="12">
        <v>1</v>
      </c>
      <c r="N78" s="15">
        <v>8500.0</v>
      </c>
      <c r="O78" s="15"/>
      <c r="P78" s="17">
        <f>IF(N78&gt;0, O78/N78, 0)</f>
        <v>0</v>
      </c>
      <c r="Q78" s="15">
        <f>N78-O78</f>
        <v>8500</v>
      </c>
      <c r="R78" s="15">
        <f>M78*N78</f>
        <v>8500</v>
      </c>
      <c r="S78" s="15">
        <f>M78*O78</f>
        <v>0</v>
      </c>
      <c r="T78" s="15">
        <f>M78*Q78</f>
        <v>8500</v>
      </c>
      <c r="U78" s="15"/>
      <c r="V78" s="15">
        <f>M78*U78</f>
        <v>0</v>
      </c>
      <c r="W78" s="15">
        <f>T78-V78</f>
        <v>8500</v>
      </c>
      <c r="X78" s="17">
        <f>IF(T78&gt;0, W78/T78, 0)</f>
        <v>1</v>
      </c>
      <c r="Y78" s="8" t="s">
        <v>60</v>
      </c>
      <c r="Z78" s="10" t="s">
        <v>42</v>
      </c>
      <c r="AA78" s="10" t="s">
        <v>43</v>
      </c>
      <c r="AB78" s="10" t="s">
        <v>44</v>
      </c>
      <c r="AC78" s="8" t="s">
        <v>44</v>
      </c>
    </row>
    <row r="79" spans="1:29">
      <c r="A79" s="11">
        <v>72</v>
      </c>
      <c r="B79" s="11" t="s">
        <v>217</v>
      </c>
      <c r="C79" s="11" t="s">
        <v>200</v>
      </c>
      <c r="D79" s="11" t="s">
        <v>201</v>
      </c>
      <c r="E79" s="11" t="s">
        <v>34</v>
      </c>
      <c r="F79" s="11" t="s">
        <v>35</v>
      </c>
      <c r="G79" s="9" t="s">
        <v>36</v>
      </c>
      <c r="H79" s="9" t="s">
        <v>37</v>
      </c>
      <c r="I79" s="9" t="s">
        <v>38</v>
      </c>
      <c r="J79" s="11">
        <v>170</v>
      </c>
      <c r="K79" s="11" t="s">
        <v>145</v>
      </c>
      <c r="L79" s="11" t="s">
        <v>40</v>
      </c>
      <c r="M79" s="13">
        <v>1</v>
      </c>
      <c r="N79" s="16">
        <v>9000.0</v>
      </c>
      <c r="O79" s="16"/>
      <c r="P79" s="18">
        <f>IF(N79&gt;0, O79/N79, 0)</f>
        <v>0</v>
      </c>
      <c r="Q79" s="16">
        <f>N79-O79</f>
        <v>9000</v>
      </c>
      <c r="R79" s="16">
        <f>M79*N79</f>
        <v>9000</v>
      </c>
      <c r="S79" s="16">
        <f>M79*O79</f>
        <v>0</v>
      </c>
      <c r="T79" s="16">
        <f>M79*Q79</f>
        <v>9000</v>
      </c>
      <c r="U79" s="16"/>
      <c r="V79" s="16">
        <f>M79*U79</f>
        <v>0</v>
      </c>
      <c r="W79" s="16">
        <f>T79-V79</f>
        <v>9000</v>
      </c>
      <c r="X79" s="18">
        <f>IF(T79&gt;0, W79/T79, 0)</f>
        <v>1</v>
      </c>
      <c r="Y79" s="9" t="s">
        <v>60</v>
      </c>
      <c r="Z79" s="11" t="s">
        <v>42</v>
      </c>
      <c r="AA79" s="11" t="s">
        <v>43</v>
      </c>
      <c r="AB79" s="11" t="s">
        <v>44</v>
      </c>
      <c r="AC79" s="9" t="s">
        <v>44</v>
      </c>
    </row>
    <row r="80" spans="1:29">
      <c r="A80" s="10">
        <v>73</v>
      </c>
      <c r="B80" s="10" t="s">
        <v>218</v>
      </c>
      <c r="C80" s="10" t="s">
        <v>200</v>
      </c>
      <c r="D80" s="10" t="s">
        <v>201</v>
      </c>
      <c r="E80" s="10" t="s">
        <v>34</v>
      </c>
      <c r="F80" s="10" t="s">
        <v>35</v>
      </c>
      <c r="G80" s="8" t="s">
        <v>36</v>
      </c>
      <c r="H80" s="8" t="s">
        <v>47</v>
      </c>
      <c r="I80" s="8" t="s">
        <v>48</v>
      </c>
      <c r="J80" s="10">
        <v>170</v>
      </c>
      <c r="K80" s="10" t="s">
        <v>184</v>
      </c>
      <c r="L80" s="10" t="s">
        <v>40</v>
      </c>
      <c r="M80" s="12">
        <v>1</v>
      </c>
      <c r="N80" s="15">
        <v>18000.0</v>
      </c>
      <c r="O80" s="15"/>
      <c r="P80" s="17">
        <f>IF(N80&gt;0, O80/N80, 0)</f>
        <v>0</v>
      </c>
      <c r="Q80" s="15">
        <f>N80-O80</f>
        <v>18000</v>
      </c>
      <c r="R80" s="15">
        <f>M80*N80</f>
        <v>18000</v>
      </c>
      <c r="S80" s="15">
        <f>M80*O80</f>
        <v>0</v>
      </c>
      <c r="T80" s="15">
        <f>M80*Q80</f>
        <v>18000</v>
      </c>
      <c r="U80" s="15"/>
      <c r="V80" s="15">
        <f>M80*U80</f>
        <v>0</v>
      </c>
      <c r="W80" s="15">
        <f>T80-V80</f>
        <v>18000</v>
      </c>
      <c r="X80" s="17">
        <f>IF(T80&gt;0, W80/T80, 0)</f>
        <v>1</v>
      </c>
      <c r="Y80" s="8" t="s">
        <v>60</v>
      </c>
      <c r="Z80" s="10" t="s">
        <v>42</v>
      </c>
      <c r="AA80" s="10" t="s">
        <v>43</v>
      </c>
      <c r="AB80" s="10" t="s">
        <v>44</v>
      </c>
      <c r="AC80" s="8" t="s">
        <v>44</v>
      </c>
    </row>
    <row r="81" spans="1:29">
      <c r="A81" s="11">
        <v>74</v>
      </c>
      <c r="B81" s="11" t="s">
        <v>219</v>
      </c>
      <c r="C81" s="11" t="s">
        <v>200</v>
      </c>
      <c r="D81" s="11" t="s">
        <v>201</v>
      </c>
      <c r="E81" s="11" t="s">
        <v>34</v>
      </c>
      <c r="F81" s="11" t="s">
        <v>144</v>
      </c>
      <c r="G81" s="9" t="s">
        <v>36</v>
      </c>
      <c r="H81" s="9" t="s">
        <v>65</v>
      </c>
      <c r="I81" s="9" t="s">
        <v>151</v>
      </c>
      <c r="J81" s="11">
        <v>164</v>
      </c>
      <c r="K81" s="11" t="s">
        <v>220</v>
      </c>
      <c r="L81" s="11" t="s">
        <v>40</v>
      </c>
      <c r="M81" s="13">
        <v>1</v>
      </c>
      <c r="N81" s="16">
        <v>15000.0</v>
      </c>
      <c r="O81" s="16"/>
      <c r="P81" s="18">
        <f>IF(N81&gt;0, O81/N81, 0)</f>
        <v>0</v>
      </c>
      <c r="Q81" s="16">
        <f>N81-O81</f>
        <v>15000</v>
      </c>
      <c r="R81" s="16">
        <f>M81*N81</f>
        <v>15000</v>
      </c>
      <c r="S81" s="16">
        <f>M81*O81</f>
        <v>0</v>
      </c>
      <c r="T81" s="16">
        <f>M81*Q81</f>
        <v>15000</v>
      </c>
      <c r="U81" s="16"/>
      <c r="V81" s="16">
        <f>M81*U81</f>
        <v>0</v>
      </c>
      <c r="W81" s="16">
        <f>T81-V81</f>
        <v>15000</v>
      </c>
      <c r="X81" s="18">
        <f>IF(T81&gt;0, W81/T81, 0)</f>
        <v>1</v>
      </c>
      <c r="Y81" s="9" t="s">
        <v>60</v>
      </c>
      <c r="Z81" s="11" t="s">
        <v>42</v>
      </c>
      <c r="AA81" s="11" t="s">
        <v>43</v>
      </c>
      <c r="AB81" s="11" t="s">
        <v>44</v>
      </c>
      <c r="AC81" s="9" t="s">
        <v>146</v>
      </c>
    </row>
    <row r="82" spans="1:29">
      <c r="A82" s="10">
        <v>75</v>
      </c>
      <c r="B82" s="10" t="s">
        <v>221</v>
      </c>
      <c r="C82" s="10" t="s">
        <v>200</v>
      </c>
      <c r="D82" s="10" t="s">
        <v>201</v>
      </c>
      <c r="E82" s="10" t="s">
        <v>34</v>
      </c>
      <c r="F82" s="10" t="s">
        <v>35</v>
      </c>
      <c r="G82" s="8" t="s">
        <v>36</v>
      </c>
      <c r="H82" s="8" t="s">
        <v>53</v>
      </c>
      <c r="I82" s="8" t="s">
        <v>53</v>
      </c>
      <c r="J82" s="10">
        <v>164</v>
      </c>
      <c r="K82" s="10" t="s">
        <v>63</v>
      </c>
      <c r="L82" s="10" t="s">
        <v>40</v>
      </c>
      <c r="M82" s="12">
        <v>1</v>
      </c>
      <c r="N82" s="15">
        <v>10000.0</v>
      </c>
      <c r="O82" s="15"/>
      <c r="P82" s="17">
        <f>IF(N82&gt;0, O82/N82, 0)</f>
        <v>0</v>
      </c>
      <c r="Q82" s="15">
        <f>N82-O82</f>
        <v>10000</v>
      </c>
      <c r="R82" s="15">
        <f>M82*N82</f>
        <v>10000</v>
      </c>
      <c r="S82" s="15">
        <f>M82*O82</f>
        <v>0</v>
      </c>
      <c r="T82" s="15">
        <f>M82*Q82</f>
        <v>10000</v>
      </c>
      <c r="U82" s="15"/>
      <c r="V82" s="15">
        <f>M82*U82</f>
        <v>0</v>
      </c>
      <c r="W82" s="15">
        <f>T82-V82</f>
        <v>10000</v>
      </c>
      <c r="X82" s="17">
        <f>IF(T82&gt;0, W82/T82, 0)</f>
        <v>1</v>
      </c>
      <c r="Y82" s="8" t="s">
        <v>60</v>
      </c>
      <c r="Z82" s="10" t="s">
        <v>42</v>
      </c>
      <c r="AA82" s="10" t="s">
        <v>43</v>
      </c>
      <c r="AB82" s="10" t="s">
        <v>44</v>
      </c>
      <c r="AC82" s="8" t="s">
        <v>44</v>
      </c>
    </row>
    <row r="83" spans="1:29">
      <c r="A83" s="11">
        <v>76</v>
      </c>
      <c r="B83" s="11" t="s">
        <v>222</v>
      </c>
      <c r="C83" s="11" t="s">
        <v>200</v>
      </c>
      <c r="D83" s="11" t="s">
        <v>201</v>
      </c>
      <c r="E83" s="11" t="s">
        <v>34</v>
      </c>
      <c r="F83" s="11" t="s">
        <v>35</v>
      </c>
      <c r="G83" s="9" t="s">
        <v>36</v>
      </c>
      <c r="H83" s="9" t="s">
        <v>71</v>
      </c>
      <c r="I83" s="9" t="s">
        <v>71</v>
      </c>
      <c r="J83" s="11">
        <v>164</v>
      </c>
      <c r="K83" s="11" t="s">
        <v>206</v>
      </c>
      <c r="L83" s="11" t="s">
        <v>40</v>
      </c>
      <c r="M83" s="13">
        <v>1</v>
      </c>
      <c r="N83" s="16">
        <v>18000.0</v>
      </c>
      <c r="O83" s="16"/>
      <c r="P83" s="18">
        <f>IF(N83&gt;0, O83/N83, 0)</f>
        <v>0</v>
      </c>
      <c r="Q83" s="16">
        <f>N83-O83</f>
        <v>18000</v>
      </c>
      <c r="R83" s="16">
        <f>M83*N83</f>
        <v>18000</v>
      </c>
      <c r="S83" s="16">
        <f>M83*O83</f>
        <v>0</v>
      </c>
      <c r="T83" s="16">
        <f>M83*Q83</f>
        <v>18000</v>
      </c>
      <c r="U83" s="16"/>
      <c r="V83" s="16">
        <f>M83*U83</f>
        <v>0</v>
      </c>
      <c r="W83" s="16">
        <f>T83-V83</f>
        <v>18000</v>
      </c>
      <c r="X83" s="18">
        <f>IF(T83&gt;0, W83/T83, 0)</f>
        <v>1</v>
      </c>
      <c r="Y83" s="9" t="s">
        <v>60</v>
      </c>
      <c r="Z83" s="11" t="s">
        <v>42</v>
      </c>
      <c r="AA83" s="11" t="s">
        <v>43</v>
      </c>
      <c r="AB83" s="11" t="s">
        <v>44</v>
      </c>
      <c r="AC83" s="9" t="s">
        <v>44</v>
      </c>
    </row>
    <row r="84" spans="1:29">
      <c r="A84" s="10">
        <v>77</v>
      </c>
      <c r="B84" s="10" t="s">
        <v>223</v>
      </c>
      <c r="C84" s="10" t="s">
        <v>200</v>
      </c>
      <c r="D84" s="10" t="s">
        <v>201</v>
      </c>
      <c r="E84" s="10" t="s">
        <v>34</v>
      </c>
      <c r="F84" s="10" t="s">
        <v>144</v>
      </c>
      <c r="G84" s="8" t="s">
        <v>52</v>
      </c>
      <c r="H84" s="8" t="s">
        <v>65</v>
      </c>
      <c r="I84" s="8" t="s">
        <v>151</v>
      </c>
      <c r="J84" s="10">
        <v>140</v>
      </c>
      <c r="K84" s="10" t="s">
        <v>224</v>
      </c>
      <c r="L84" s="10" t="s">
        <v>40</v>
      </c>
      <c r="M84" s="12">
        <v>1</v>
      </c>
      <c r="N84" s="15">
        <v>12000.0</v>
      </c>
      <c r="O84" s="15"/>
      <c r="P84" s="17">
        <f>IF(N84&gt;0, O84/N84, 0)</f>
        <v>0</v>
      </c>
      <c r="Q84" s="15">
        <f>N84-O84</f>
        <v>12000</v>
      </c>
      <c r="R84" s="15">
        <f>M84*N84</f>
        <v>12000</v>
      </c>
      <c r="S84" s="15">
        <f>M84*O84</f>
        <v>0</v>
      </c>
      <c r="T84" s="15">
        <f>M84*Q84</f>
        <v>12000</v>
      </c>
      <c r="U84" s="15"/>
      <c r="V84" s="15">
        <f>M84*U84</f>
        <v>0</v>
      </c>
      <c r="W84" s="15">
        <f>T84-V84</f>
        <v>12000</v>
      </c>
      <c r="X84" s="17">
        <f>IF(T84&gt;0, W84/T84, 0)</f>
        <v>1</v>
      </c>
      <c r="Y84" s="8" t="s">
        <v>60</v>
      </c>
      <c r="Z84" s="10" t="s">
        <v>42</v>
      </c>
      <c r="AA84" s="10" t="s">
        <v>43</v>
      </c>
      <c r="AB84" s="10" t="s">
        <v>44</v>
      </c>
      <c r="AC84" s="8" t="s">
        <v>146</v>
      </c>
    </row>
    <row r="85" spans="1:29">
      <c r="A85" s="11">
        <v>78</v>
      </c>
      <c r="B85" s="11" t="s">
        <v>225</v>
      </c>
      <c r="C85" s="11" t="s">
        <v>200</v>
      </c>
      <c r="D85" s="11" t="s">
        <v>201</v>
      </c>
      <c r="E85" s="11" t="s">
        <v>34</v>
      </c>
      <c r="F85" s="11" t="s">
        <v>35</v>
      </c>
      <c r="G85" s="9" t="s">
        <v>52</v>
      </c>
      <c r="H85" s="9" t="s">
        <v>37</v>
      </c>
      <c r="I85" s="9" t="s">
        <v>38</v>
      </c>
      <c r="J85" s="11">
        <v>140</v>
      </c>
      <c r="K85" s="11" t="s">
        <v>226</v>
      </c>
      <c r="L85" s="11" t="s">
        <v>55</v>
      </c>
      <c r="M85" s="13">
        <v>1</v>
      </c>
      <c r="N85" s="16">
        <v>7000.0</v>
      </c>
      <c r="O85" s="16"/>
      <c r="P85" s="18">
        <f>IF(N85&gt;0, O85/N85, 0)</f>
        <v>0</v>
      </c>
      <c r="Q85" s="16">
        <f>N85-O85</f>
        <v>7000</v>
      </c>
      <c r="R85" s="16">
        <f>M85*N85</f>
        <v>7000</v>
      </c>
      <c r="S85" s="16">
        <f>M85*O85</f>
        <v>0</v>
      </c>
      <c r="T85" s="16">
        <f>M85*Q85</f>
        <v>7000</v>
      </c>
      <c r="U85" s="16"/>
      <c r="V85" s="16">
        <f>M85*U85</f>
        <v>0</v>
      </c>
      <c r="W85" s="16">
        <f>T85-V85</f>
        <v>7000</v>
      </c>
      <c r="X85" s="18">
        <f>IF(T85&gt;0, W85/T85, 0)</f>
        <v>1</v>
      </c>
      <c r="Y85" s="9" t="s">
        <v>60</v>
      </c>
      <c r="Z85" s="11" t="s">
        <v>42</v>
      </c>
      <c r="AA85" s="11" t="s">
        <v>43</v>
      </c>
      <c r="AB85" s="11" t="s">
        <v>44</v>
      </c>
      <c r="AC85" s="9" t="s">
        <v>44</v>
      </c>
    </row>
    <row r="86" spans="1:29">
      <c r="A86" s="10">
        <v>79</v>
      </c>
      <c r="B86" s="10" t="s">
        <v>227</v>
      </c>
      <c r="C86" s="10" t="s">
        <v>200</v>
      </c>
      <c r="D86" s="10" t="s">
        <v>201</v>
      </c>
      <c r="E86" s="10" t="s">
        <v>34</v>
      </c>
      <c r="F86" s="10" t="s">
        <v>35</v>
      </c>
      <c r="G86" s="8" t="s">
        <v>52</v>
      </c>
      <c r="H86" s="8" t="s">
        <v>71</v>
      </c>
      <c r="I86" s="8" t="s">
        <v>71</v>
      </c>
      <c r="J86" s="10">
        <v>140</v>
      </c>
      <c r="K86" s="10" t="s">
        <v>228</v>
      </c>
      <c r="L86" s="10" t="s">
        <v>40</v>
      </c>
      <c r="M86" s="12">
        <v>1</v>
      </c>
      <c r="N86" s="15">
        <v>16000.0</v>
      </c>
      <c r="O86" s="15"/>
      <c r="P86" s="17">
        <f>IF(N86&gt;0, O86/N86, 0)</f>
        <v>0</v>
      </c>
      <c r="Q86" s="15">
        <f>N86-O86</f>
        <v>16000</v>
      </c>
      <c r="R86" s="15">
        <f>M86*N86</f>
        <v>16000</v>
      </c>
      <c r="S86" s="15">
        <f>M86*O86</f>
        <v>0</v>
      </c>
      <c r="T86" s="15">
        <f>M86*Q86</f>
        <v>16000</v>
      </c>
      <c r="U86" s="15"/>
      <c r="V86" s="15">
        <f>M86*U86</f>
        <v>0</v>
      </c>
      <c r="W86" s="15">
        <f>T86-V86</f>
        <v>16000</v>
      </c>
      <c r="X86" s="17">
        <f>IF(T86&gt;0, W86/T86, 0)</f>
        <v>1</v>
      </c>
      <c r="Y86" s="8" t="s">
        <v>60</v>
      </c>
      <c r="Z86" s="10" t="s">
        <v>42</v>
      </c>
      <c r="AA86" s="10" t="s">
        <v>43</v>
      </c>
      <c r="AB86" s="10" t="s">
        <v>44</v>
      </c>
      <c r="AC86" s="8" t="s">
        <v>44</v>
      </c>
    </row>
    <row r="87" spans="1:29">
      <c r="A87" s="11">
        <v>80</v>
      </c>
      <c r="B87" s="11" t="s">
        <v>229</v>
      </c>
      <c r="C87" s="11" t="s">
        <v>200</v>
      </c>
      <c r="D87" s="11" t="s">
        <v>201</v>
      </c>
      <c r="E87" s="11" t="s">
        <v>34</v>
      </c>
      <c r="F87" s="11" t="s">
        <v>35</v>
      </c>
      <c r="G87" s="9" t="s">
        <v>52</v>
      </c>
      <c r="H87" s="9" t="s">
        <v>47</v>
      </c>
      <c r="I87" s="9" t="s">
        <v>48</v>
      </c>
      <c r="J87" s="11">
        <v>146</v>
      </c>
      <c r="K87" s="11" t="s">
        <v>142</v>
      </c>
      <c r="L87" s="11" t="s">
        <v>40</v>
      </c>
      <c r="M87" s="13">
        <v>1</v>
      </c>
      <c r="N87" s="16">
        <v>18000.0</v>
      </c>
      <c r="O87" s="16"/>
      <c r="P87" s="18">
        <f>IF(N87&gt;0, O87/N87, 0)</f>
        <v>0</v>
      </c>
      <c r="Q87" s="16">
        <f>N87-O87</f>
        <v>18000</v>
      </c>
      <c r="R87" s="16">
        <f>M87*N87</f>
        <v>18000</v>
      </c>
      <c r="S87" s="16">
        <f>M87*O87</f>
        <v>0</v>
      </c>
      <c r="T87" s="16">
        <f>M87*Q87</f>
        <v>18000</v>
      </c>
      <c r="U87" s="16"/>
      <c r="V87" s="16">
        <f>M87*U87</f>
        <v>0</v>
      </c>
      <c r="W87" s="16">
        <f>T87-V87</f>
        <v>18000</v>
      </c>
      <c r="X87" s="18">
        <f>IF(T87&gt;0, W87/T87, 0)</f>
        <v>1</v>
      </c>
      <c r="Y87" s="9" t="s">
        <v>60</v>
      </c>
      <c r="Z87" s="11" t="s">
        <v>42</v>
      </c>
      <c r="AA87" s="11" t="s">
        <v>43</v>
      </c>
      <c r="AB87" s="11" t="s">
        <v>44</v>
      </c>
      <c r="AC87" s="9" t="s">
        <v>44</v>
      </c>
    </row>
    <row r="88" spans="1:29">
      <c r="A88" s="10">
        <v>81</v>
      </c>
      <c r="B88" s="10" t="s">
        <v>230</v>
      </c>
      <c r="C88" s="10" t="s">
        <v>200</v>
      </c>
      <c r="D88" s="10" t="s">
        <v>201</v>
      </c>
      <c r="E88" s="10" t="s">
        <v>34</v>
      </c>
      <c r="F88" s="10" t="s">
        <v>35</v>
      </c>
      <c r="G88" s="8" t="s">
        <v>52</v>
      </c>
      <c r="H88" s="8" t="s">
        <v>65</v>
      </c>
      <c r="I88" s="8" t="s">
        <v>151</v>
      </c>
      <c r="J88" s="10">
        <v>110</v>
      </c>
      <c r="K88" s="10" t="s">
        <v>231</v>
      </c>
      <c r="L88" s="10" t="s">
        <v>40</v>
      </c>
      <c r="M88" s="12">
        <v>1</v>
      </c>
      <c r="N88" s="15">
        <v>9000.0</v>
      </c>
      <c r="O88" s="15"/>
      <c r="P88" s="17">
        <f>IF(N88&gt;0, O88/N88, 0)</f>
        <v>0</v>
      </c>
      <c r="Q88" s="15">
        <f>N88-O88</f>
        <v>9000</v>
      </c>
      <c r="R88" s="15">
        <f>M88*N88</f>
        <v>9000</v>
      </c>
      <c r="S88" s="15">
        <f>M88*O88</f>
        <v>0</v>
      </c>
      <c r="T88" s="15">
        <f>M88*Q88</f>
        <v>9000</v>
      </c>
      <c r="U88" s="15"/>
      <c r="V88" s="15">
        <f>M88*U88</f>
        <v>0</v>
      </c>
      <c r="W88" s="15">
        <f>T88-V88</f>
        <v>9000</v>
      </c>
      <c r="X88" s="17">
        <f>IF(T88&gt;0, W88/T88, 0)</f>
        <v>1</v>
      </c>
      <c r="Y88" s="8" t="s">
        <v>60</v>
      </c>
      <c r="Z88" s="10" t="s">
        <v>42</v>
      </c>
      <c r="AA88" s="10" t="s">
        <v>43</v>
      </c>
      <c r="AB88" s="10" t="s">
        <v>44</v>
      </c>
      <c r="AC88" s="8" t="s">
        <v>44</v>
      </c>
    </row>
    <row r="89" spans="1:29">
      <c r="A89" s="11">
        <v>82</v>
      </c>
      <c r="B89" s="11" t="s">
        <v>232</v>
      </c>
      <c r="C89" s="11" t="s">
        <v>200</v>
      </c>
      <c r="D89" s="11" t="s">
        <v>201</v>
      </c>
      <c r="E89" s="11" t="s">
        <v>34</v>
      </c>
      <c r="F89" s="11" t="s">
        <v>35</v>
      </c>
      <c r="G89" s="9" t="s">
        <v>52</v>
      </c>
      <c r="H89" s="9" t="s">
        <v>53</v>
      </c>
      <c r="I89" s="9" t="s">
        <v>53</v>
      </c>
      <c r="J89" s="11">
        <v>110</v>
      </c>
      <c r="K89" s="11" t="s">
        <v>233</v>
      </c>
      <c r="L89" s="11" t="s">
        <v>55</v>
      </c>
      <c r="M89" s="13">
        <v>1</v>
      </c>
      <c r="N89" s="16">
        <v>8000.0</v>
      </c>
      <c r="O89" s="16"/>
      <c r="P89" s="18">
        <f>IF(N89&gt;0, O89/N89, 0)</f>
        <v>0</v>
      </c>
      <c r="Q89" s="16">
        <f>N89-O89</f>
        <v>8000</v>
      </c>
      <c r="R89" s="16">
        <f>M89*N89</f>
        <v>8000</v>
      </c>
      <c r="S89" s="16">
        <f>M89*O89</f>
        <v>0</v>
      </c>
      <c r="T89" s="16">
        <f>M89*Q89</f>
        <v>8000</v>
      </c>
      <c r="U89" s="16"/>
      <c r="V89" s="16">
        <f>M89*U89</f>
        <v>0</v>
      </c>
      <c r="W89" s="16">
        <f>T89-V89</f>
        <v>8000</v>
      </c>
      <c r="X89" s="18">
        <f>IF(T89&gt;0, W89/T89, 0)</f>
        <v>1</v>
      </c>
      <c r="Y89" s="9" t="s">
        <v>60</v>
      </c>
      <c r="Z89" s="11" t="s">
        <v>42</v>
      </c>
      <c r="AA89" s="11" t="s">
        <v>43</v>
      </c>
      <c r="AB89" s="11" t="s">
        <v>44</v>
      </c>
      <c r="AC89" s="9" t="s">
        <v>44</v>
      </c>
    </row>
    <row r="90" spans="1:29">
      <c r="A90" s="10">
        <v>83</v>
      </c>
      <c r="B90" s="10" t="s">
        <v>234</v>
      </c>
      <c r="C90" s="10" t="s">
        <v>200</v>
      </c>
      <c r="D90" s="10" t="s">
        <v>201</v>
      </c>
      <c r="E90" s="10" t="s">
        <v>34</v>
      </c>
      <c r="F90" s="10" t="s">
        <v>35</v>
      </c>
      <c r="G90" s="8" t="s">
        <v>52</v>
      </c>
      <c r="H90" s="8" t="s">
        <v>37</v>
      </c>
      <c r="I90" s="8" t="s">
        <v>75</v>
      </c>
      <c r="J90" s="10">
        <v>116</v>
      </c>
      <c r="K90" s="10" t="s">
        <v>91</v>
      </c>
      <c r="L90" s="10" t="s">
        <v>55</v>
      </c>
      <c r="M90" s="12">
        <v>1</v>
      </c>
      <c r="N90" s="15">
        <v>8000.0</v>
      </c>
      <c r="O90" s="15"/>
      <c r="P90" s="17">
        <f>IF(N90&gt;0, O90/N90, 0)</f>
        <v>0</v>
      </c>
      <c r="Q90" s="15">
        <f>N90-O90</f>
        <v>8000</v>
      </c>
      <c r="R90" s="15">
        <f>M90*N90</f>
        <v>8000</v>
      </c>
      <c r="S90" s="15">
        <f>M90*O90</f>
        <v>0</v>
      </c>
      <c r="T90" s="15">
        <f>M90*Q90</f>
        <v>8000</v>
      </c>
      <c r="U90" s="15"/>
      <c r="V90" s="15">
        <f>M90*U90</f>
        <v>0</v>
      </c>
      <c r="W90" s="15">
        <f>T90-V90</f>
        <v>8000</v>
      </c>
      <c r="X90" s="17">
        <f>IF(T90&gt;0, W90/T90, 0)</f>
        <v>1</v>
      </c>
      <c r="Y90" s="8" t="s">
        <v>60</v>
      </c>
      <c r="Z90" s="10" t="s">
        <v>42</v>
      </c>
      <c r="AA90" s="10" t="s">
        <v>43</v>
      </c>
      <c r="AB90" s="10" t="s">
        <v>44</v>
      </c>
      <c r="AC90" s="8" t="s">
        <v>44</v>
      </c>
    </row>
    <row r="91" spans="1:29">
      <c r="A91" s="11">
        <v>84</v>
      </c>
      <c r="B91" s="11" t="s">
        <v>235</v>
      </c>
      <c r="C91" s="11" t="s">
        <v>200</v>
      </c>
      <c r="D91" s="11" t="s">
        <v>201</v>
      </c>
      <c r="E91" s="11" t="s">
        <v>34</v>
      </c>
      <c r="F91" s="11" t="s">
        <v>35</v>
      </c>
      <c r="G91" s="9" t="s">
        <v>36</v>
      </c>
      <c r="H91" s="9" t="s">
        <v>65</v>
      </c>
      <c r="I91" s="9" t="s">
        <v>151</v>
      </c>
      <c r="J91" s="11">
        <v>176</v>
      </c>
      <c r="K91" s="11" t="s">
        <v>236</v>
      </c>
      <c r="L91" s="11" t="s">
        <v>40</v>
      </c>
      <c r="M91" s="13">
        <v>1</v>
      </c>
      <c r="N91" s="16">
        <v>15000.0</v>
      </c>
      <c r="O91" s="16"/>
      <c r="P91" s="18">
        <f>IF(N91&gt;0, O91/N91, 0)</f>
        <v>0</v>
      </c>
      <c r="Q91" s="16">
        <f>N91-O91</f>
        <v>15000</v>
      </c>
      <c r="R91" s="16">
        <f>M91*N91</f>
        <v>15000</v>
      </c>
      <c r="S91" s="16">
        <f>M91*O91</f>
        <v>0</v>
      </c>
      <c r="T91" s="16">
        <f>M91*Q91</f>
        <v>15000</v>
      </c>
      <c r="U91" s="16"/>
      <c r="V91" s="16">
        <f>M91*U91</f>
        <v>0</v>
      </c>
      <c r="W91" s="16">
        <f>T91-V91</f>
        <v>15000</v>
      </c>
      <c r="X91" s="18">
        <f>IF(T91&gt;0, W91/T91, 0)</f>
        <v>1</v>
      </c>
      <c r="Y91" s="9" t="s">
        <v>60</v>
      </c>
      <c r="Z91" s="11" t="s">
        <v>42</v>
      </c>
      <c r="AA91" s="11" t="s">
        <v>43</v>
      </c>
      <c r="AB91" s="11" t="s">
        <v>44</v>
      </c>
      <c r="AC91" s="9" t="s">
        <v>44</v>
      </c>
    </row>
    <row r="92" spans="1:29">
      <c r="A92" s="10">
        <v>85</v>
      </c>
      <c r="B92" s="10" t="s">
        <v>237</v>
      </c>
      <c r="C92" s="10" t="s">
        <v>200</v>
      </c>
      <c r="D92" s="10" t="s">
        <v>201</v>
      </c>
      <c r="E92" s="10" t="s">
        <v>34</v>
      </c>
      <c r="F92" s="10" t="s">
        <v>35</v>
      </c>
      <c r="G92" s="8" t="s">
        <v>36</v>
      </c>
      <c r="H92" s="8" t="s">
        <v>53</v>
      </c>
      <c r="I92" s="8" t="s">
        <v>53</v>
      </c>
      <c r="J92" s="10">
        <v>158</v>
      </c>
      <c r="K92" s="10" t="s">
        <v>124</v>
      </c>
      <c r="L92" s="10" t="s">
        <v>40</v>
      </c>
      <c r="M92" s="12">
        <v>1</v>
      </c>
      <c r="N92" s="15">
        <v>8500.0</v>
      </c>
      <c r="O92" s="15"/>
      <c r="P92" s="17">
        <f>IF(N92&gt;0, O92/N92, 0)</f>
        <v>0</v>
      </c>
      <c r="Q92" s="15">
        <f>N92-O92</f>
        <v>8500</v>
      </c>
      <c r="R92" s="15">
        <f>M92*N92</f>
        <v>8500</v>
      </c>
      <c r="S92" s="15">
        <f>M92*O92</f>
        <v>0</v>
      </c>
      <c r="T92" s="15">
        <f>M92*Q92</f>
        <v>8500</v>
      </c>
      <c r="U92" s="15"/>
      <c r="V92" s="15">
        <f>M92*U92</f>
        <v>0</v>
      </c>
      <c r="W92" s="15">
        <f>T92-V92</f>
        <v>8500</v>
      </c>
      <c r="X92" s="17">
        <f>IF(T92&gt;0, W92/T92, 0)</f>
        <v>1</v>
      </c>
      <c r="Y92" s="8" t="s">
        <v>60</v>
      </c>
      <c r="Z92" s="10" t="s">
        <v>42</v>
      </c>
      <c r="AA92" s="10" t="s">
        <v>43</v>
      </c>
      <c r="AB92" s="10" t="s">
        <v>44</v>
      </c>
      <c r="AC92" s="8" t="s">
        <v>44</v>
      </c>
    </row>
    <row r="93" spans="1:29">
      <c r="A93" s="11">
        <v>86</v>
      </c>
      <c r="B93" s="11" t="s">
        <v>238</v>
      </c>
      <c r="C93" s="11" t="s">
        <v>200</v>
      </c>
      <c r="D93" s="11" t="s">
        <v>201</v>
      </c>
      <c r="E93" s="11" t="s">
        <v>34</v>
      </c>
      <c r="F93" s="11" t="s">
        <v>35</v>
      </c>
      <c r="G93" s="9" t="s">
        <v>36</v>
      </c>
      <c r="H93" s="9" t="s">
        <v>53</v>
      </c>
      <c r="I93" s="9" t="s">
        <v>53</v>
      </c>
      <c r="J93" s="11">
        <v>158</v>
      </c>
      <c r="K93" s="11" t="s">
        <v>124</v>
      </c>
      <c r="L93" s="11" t="s">
        <v>40</v>
      </c>
      <c r="M93" s="13">
        <v>1</v>
      </c>
      <c r="N93" s="16">
        <v>8500.0</v>
      </c>
      <c r="O93" s="16"/>
      <c r="P93" s="18">
        <f>IF(N93&gt;0, O93/N93, 0)</f>
        <v>0</v>
      </c>
      <c r="Q93" s="16">
        <f>N93-O93</f>
        <v>8500</v>
      </c>
      <c r="R93" s="16">
        <f>M93*N93</f>
        <v>8500</v>
      </c>
      <c r="S93" s="16">
        <f>M93*O93</f>
        <v>0</v>
      </c>
      <c r="T93" s="16">
        <f>M93*Q93</f>
        <v>8500</v>
      </c>
      <c r="U93" s="16"/>
      <c r="V93" s="16">
        <f>M93*U93</f>
        <v>0</v>
      </c>
      <c r="W93" s="16">
        <f>T93-V93</f>
        <v>8500</v>
      </c>
      <c r="X93" s="18">
        <f>IF(T93&gt;0, W93/T93, 0)</f>
        <v>1</v>
      </c>
      <c r="Y93" s="9" t="s">
        <v>60</v>
      </c>
      <c r="Z93" s="11" t="s">
        <v>42</v>
      </c>
      <c r="AA93" s="11" t="s">
        <v>43</v>
      </c>
      <c r="AB93" s="11" t="s">
        <v>44</v>
      </c>
      <c r="AC93" s="9" t="s">
        <v>44</v>
      </c>
    </row>
    <row r="94" spans="1:29">
      <c r="A94" s="10">
        <v>87</v>
      </c>
      <c r="B94" s="10" t="s">
        <v>239</v>
      </c>
      <c r="C94" s="10" t="s">
        <v>200</v>
      </c>
      <c r="D94" s="10" t="s">
        <v>201</v>
      </c>
      <c r="E94" s="10" t="s">
        <v>34</v>
      </c>
      <c r="F94" s="10" t="s">
        <v>144</v>
      </c>
      <c r="G94" s="8" t="s">
        <v>52</v>
      </c>
      <c r="H94" s="8" t="s">
        <v>65</v>
      </c>
      <c r="I94" s="8" t="s">
        <v>240</v>
      </c>
      <c r="J94" s="10">
        <v>146</v>
      </c>
      <c r="K94" s="10" t="s">
        <v>241</v>
      </c>
      <c r="L94" s="10" t="s">
        <v>40</v>
      </c>
      <c r="M94" s="12">
        <v>1</v>
      </c>
      <c r="N94" s="15">
        <v>12000.0</v>
      </c>
      <c r="O94" s="15"/>
      <c r="P94" s="17">
        <f>IF(N94&gt;0, O94/N94, 0)</f>
        <v>0</v>
      </c>
      <c r="Q94" s="15">
        <f>N94-O94</f>
        <v>12000</v>
      </c>
      <c r="R94" s="15">
        <f>M94*N94</f>
        <v>12000</v>
      </c>
      <c r="S94" s="15">
        <f>M94*O94</f>
        <v>0</v>
      </c>
      <c r="T94" s="15">
        <f>M94*Q94</f>
        <v>12000</v>
      </c>
      <c r="U94" s="15"/>
      <c r="V94" s="15">
        <f>M94*U94</f>
        <v>0</v>
      </c>
      <c r="W94" s="15">
        <f>T94-V94</f>
        <v>12000</v>
      </c>
      <c r="X94" s="17">
        <f>IF(T94&gt;0, W94/T94, 0)</f>
        <v>1</v>
      </c>
      <c r="Y94" s="8" t="s">
        <v>60</v>
      </c>
      <c r="Z94" s="10" t="s">
        <v>42</v>
      </c>
      <c r="AA94" s="10" t="s">
        <v>43</v>
      </c>
      <c r="AB94" s="10" t="s">
        <v>44</v>
      </c>
      <c r="AC94" s="8" t="s">
        <v>146</v>
      </c>
    </row>
    <row r="95" spans="1:29">
      <c r="A95" s="11">
        <v>88</v>
      </c>
      <c r="B95" s="11" t="s">
        <v>242</v>
      </c>
      <c r="C95" s="11" t="s">
        <v>200</v>
      </c>
      <c r="D95" s="11" t="s">
        <v>201</v>
      </c>
      <c r="E95" s="11" t="s">
        <v>34</v>
      </c>
      <c r="F95" s="11" t="s">
        <v>144</v>
      </c>
      <c r="G95" s="9" t="s">
        <v>52</v>
      </c>
      <c r="H95" s="9" t="s">
        <v>65</v>
      </c>
      <c r="I95" s="9" t="s">
        <v>151</v>
      </c>
      <c r="J95" s="11">
        <v>140</v>
      </c>
      <c r="K95" s="11" t="s">
        <v>224</v>
      </c>
      <c r="L95" s="11" t="s">
        <v>40</v>
      </c>
      <c r="M95" s="13">
        <v>1</v>
      </c>
      <c r="N95" s="16">
        <v>12000.0</v>
      </c>
      <c r="O95" s="16"/>
      <c r="P95" s="18">
        <f>IF(N95&gt;0, O95/N95, 0)</f>
        <v>0</v>
      </c>
      <c r="Q95" s="16">
        <f>N95-O95</f>
        <v>12000</v>
      </c>
      <c r="R95" s="16">
        <f>M95*N95</f>
        <v>12000</v>
      </c>
      <c r="S95" s="16">
        <f>M95*O95</f>
        <v>0</v>
      </c>
      <c r="T95" s="16">
        <f>M95*Q95</f>
        <v>12000</v>
      </c>
      <c r="U95" s="16"/>
      <c r="V95" s="16">
        <f>M95*U95</f>
        <v>0</v>
      </c>
      <c r="W95" s="16">
        <f>T95-V95</f>
        <v>12000</v>
      </c>
      <c r="X95" s="18">
        <f>IF(T95&gt;0, W95/T95, 0)</f>
        <v>1</v>
      </c>
      <c r="Y95" s="9" t="s">
        <v>60</v>
      </c>
      <c r="Z95" s="11" t="s">
        <v>42</v>
      </c>
      <c r="AA95" s="11" t="s">
        <v>43</v>
      </c>
      <c r="AB95" s="11" t="s">
        <v>44</v>
      </c>
      <c r="AC95" s="9" t="s">
        <v>146</v>
      </c>
    </row>
    <row r="96" spans="1:29">
      <c r="A96" s="10">
        <v>89</v>
      </c>
      <c r="B96" s="10" t="s">
        <v>243</v>
      </c>
      <c r="C96" s="10" t="s">
        <v>200</v>
      </c>
      <c r="D96" s="10" t="s">
        <v>201</v>
      </c>
      <c r="E96" s="10" t="s">
        <v>34</v>
      </c>
      <c r="F96" s="10" t="s">
        <v>144</v>
      </c>
      <c r="G96" s="8" t="s">
        <v>52</v>
      </c>
      <c r="H96" s="8" t="s">
        <v>65</v>
      </c>
      <c r="I96" s="8" t="s">
        <v>151</v>
      </c>
      <c r="J96" s="10">
        <v>122</v>
      </c>
      <c r="K96" s="10" t="s">
        <v>244</v>
      </c>
      <c r="L96" s="10" t="s">
        <v>40</v>
      </c>
      <c r="M96" s="12">
        <v>1</v>
      </c>
      <c r="N96" s="15">
        <v>12000.0</v>
      </c>
      <c r="O96" s="15"/>
      <c r="P96" s="17">
        <f>IF(N96&gt;0, O96/N96, 0)</f>
        <v>0</v>
      </c>
      <c r="Q96" s="15">
        <f>N96-O96</f>
        <v>12000</v>
      </c>
      <c r="R96" s="15">
        <f>M96*N96</f>
        <v>12000</v>
      </c>
      <c r="S96" s="15">
        <f>M96*O96</f>
        <v>0</v>
      </c>
      <c r="T96" s="15">
        <f>M96*Q96</f>
        <v>12000</v>
      </c>
      <c r="U96" s="15"/>
      <c r="V96" s="15">
        <f>M96*U96</f>
        <v>0</v>
      </c>
      <c r="W96" s="15">
        <f>T96-V96</f>
        <v>12000</v>
      </c>
      <c r="X96" s="17">
        <f>IF(T96&gt;0, W96/T96, 0)</f>
        <v>1</v>
      </c>
      <c r="Y96" s="8" t="s">
        <v>60</v>
      </c>
      <c r="Z96" s="10" t="s">
        <v>42</v>
      </c>
      <c r="AA96" s="10" t="s">
        <v>43</v>
      </c>
      <c r="AB96" s="10" t="s">
        <v>44</v>
      </c>
      <c r="AC96" s="8" t="s">
        <v>146</v>
      </c>
    </row>
    <row r="97" spans="1:29">
      <c r="A97" s="11">
        <v>90</v>
      </c>
      <c r="B97" s="11" t="s">
        <v>245</v>
      </c>
      <c r="C97" s="11" t="s">
        <v>200</v>
      </c>
      <c r="D97" s="11" t="s">
        <v>201</v>
      </c>
      <c r="E97" s="11" t="s">
        <v>34</v>
      </c>
      <c r="F97" s="11" t="s">
        <v>35</v>
      </c>
      <c r="G97" s="9" t="s">
        <v>52</v>
      </c>
      <c r="H97" s="9" t="s">
        <v>47</v>
      </c>
      <c r="I97" s="9" t="s">
        <v>48</v>
      </c>
      <c r="J97" s="11">
        <v>128</v>
      </c>
      <c r="K97" s="11" t="s">
        <v>186</v>
      </c>
      <c r="L97" s="11" t="s">
        <v>40</v>
      </c>
      <c r="M97" s="13">
        <v>1</v>
      </c>
      <c r="N97" s="16">
        <v>18000.0</v>
      </c>
      <c r="O97" s="16"/>
      <c r="P97" s="18">
        <f>IF(N97&gt;0, O97/N97, 0)</f>
        <v>0</v>
      </c>
      <c r="Q97" s="16">
        <f>N97-O97</f>
        <v>18000</v>
      </c>
      <c r="R97" s="16">
        <f>M97*N97</f>
        <v>18000</v>
      </c>
      <c r="S97" s="16">
        <f>M97*O97</f>
        <v>0</v>
      </c>
      <c r="T97" s="16">
        <f>M97*Q97</f>
        <v>18000</v>
      </c>
      <c r="U97" s="16"/>
      <c r="V97" s="16">
        <f>M97*U97</f>
        <v>0</v>
      </c>
      <c r="W97" s="16">
        <f>T97-V97</f>
        <v>18000</v>
      </c>
      <c r="X97" s="18">
        <f>IF(T97&gt;0, W97/T97, 0)</f>
        <v>1</v>
      </c>
      <c r="Y97" s="9" t="s">
        <v>60</v>
      </c>
      <c r="Z97" s="11" t="s">
        <v>42</v>
      </c>
      <c r="AA97" s="11" t="s">
        <v>43</v>
      </c>
      <c r="AB97" s="11" t="s">
        <v>44</v>
      </c>
      <c r="AC97" s="9" t="s">
        <v>44</v>
      </c>
    </row>
    <row r="98" spans="1:29">
      <c r="A98" s="10">
        <v>91</v>
      </c>
      <c r="B98" s="10" t="s">
        <v>246</v>
      </c>
      <c r="C98" s="10" t="s">
        <v>200</v>
      </c>
      <c r="D98" s="10" t="s">
        <v>201</v>
      </c>
      <c r="E98" s="10" t="s">
        <v>34</v>
      </c>
      <c r="F98" s="10" t="s">
        <v>35</v>
      </c>
      <c r="G98" s="8" t="s">
        <v>52</v>
      </c>
      <c r="H98" s="8" t="s">
        <v>37</v>
      </c>
      <c r="I98" s="8" t="s">
        <v>75</v>
      </c>
      <c r="J98" s="10">
        <v>128</v>
      </c>
      <c r="K98" s="10" t="s">
        <v>188</v>
      </c>
      <c r="L98" s="10" t="s">
        <v>55</v>
      </c>
      <c r="M98" s="12">
        <v>1</v>
      </c>
      <c r="N98" s="15">
        <v>8000.0</v>
      </c>
      <c r="O98" s="15"/>
      <c r="P98" s="17">
        <f>IF(N98&gt;0, O98/N98, 0)</f>
        <v>0</v>
      </c>
      <c r="Q98" s="15">
        <f>N98-O98</f>
        <v>8000</v>
      </c>
      <c r="R98" s="15">
        <f>M98*N98</f>
        <v>8000</v>
      </c>
      <c r="S98" s="15">
        <f>M98*O98</f>
        <v>0</v>
      </c>
      <c r="T98" s="15">
        <f>M98*Q98</f>
        <v>8000</v>
      </c>
      <c r="U98" s="15"/>
      <c r="V98" s="15">
        <f>M98*U98</f>
        <v>0</v>
      </c>
      <c r="W98" s="15">
        <f>T98-V98</f>
        <v>8000</v>
      </c>
      <c r="X98" s="17">
        <f>IF(T98&gt;0, W98/T98, 0)</f>
        <v>1</v>
      </c>
      <c r="Y98" s="8" t="s">
        <v>60</v>
      </c>
      <c r="Z98" s="10" t="s">
        <v>42</v>
      </c>
      <c r="AA98" s="10" t="s">
        <v>43</v>
      </c>
      <c r="AB98" s="10" t="s">
        <v>44</v>
      </c>
      <c r="AC98" s="8" t="s">
        <v>44</v>
      </c>
    </row>
    <row r="99" spans="1:29">
      <c r="A99" s="11">
        <v>92</v>
      </c>
      <c r="B99" s="11" t="s">
        <v>247</v>
      </c>
      <c r="C99" s="11" t="s">
        <v>200</v>
      </c>
      <c r="D99" s="11" t="s">
        <v>201</v>
      </c>
      <c r="E99" s="11" t="s">
        <v>34</v>
      </c>
      <c r="F99" s="11" t="s">
        <v>144</v>
      </c>
      <c r="G99" s="9" t="s">
        <v>52</v>
      </c>
      <c r="H99" s="9" t="s">
        <v>65</v>
      </c>
      <c r="I99" s="9" t="s">
        <v>151</v>
      </c>
      <c r="J99" s="11">
        <v>146</v>
      </c>
      <c r="K99" s="11" t="s">
        <v>170</v>
      </c>
      <c r="L99" s="11" t="s">
        <v>40</v>
      </c>
      <c r="M99" s="13">
        <v>1</v>
      </c>
      <c r="N99" s="16">
        <v>12000.0</v>
      </c>
      <c r="O99" s="16"/>
      <c r="P99" s="18">
        <f>IF(N99&gt;0, O99/N99, 0)</f>
        <v>0</v>
      </c>
      <c r="Q99" s="16">
        <f>N99-O99</f>
        <v>12000</v>
      </c>
      <c r="R99" s="16">
        <f>M99*N99</f>
        <v>12000</v>
      </c>
      <c r="S99" s="16">
        <f>M99*O99</f>
        <v>0</v>
      </c>
      <c r="T99" s="16">
        <f>M99*Q99</f>
        <v>12000</v>
      </c>
      <c r="U99" s="16"/>
      <c r="V99" s="16">
        <f>M99*U99</f>
        <v>0</v>
      </c>
      <c r="W99" s="16">
        <f>T99-V99</f>
        <v>12000</v>
      </c>
      <c r="X99" s="18">
        <f>IF(T99&gt;0, W99/T99, 0)</f>
        <v>1</v>
      </c>
      <c r="Y99" s="9" t="s">
        <v>60</v>
      </c>
      <c r="Z99" s="11" t="s">
        <v>42</v>
      </c>
      <c r="AA99" s="11" t="s">
        <v>43</v>
      </c>
      <c r="AB99" s="11" t="s">
        <v>44</v>
      </c>
      <c r="AC99" s="9" t="s">
        <v>146</v>
      </c>
    </row>
    <row r="100" spans="1:29">
      <c r="A100" s="10">
        <v>93</v>
      </c>
      <c r="B100" s="10" t="s">
        <v>248</v>
      </c>
      <c r="C100" s="10" t="s">
        <v>200</v>
      </c>
      <c r="D100" s="10" t="s">
        <v>201</v>
      </c>
      <c r="E100" s="10" t="s">
        <v>34</v>
      </c>
      <c r="F100" s="10" t="s">
        <v>144</v>
      </c>
      <c r="G100" s="8" t="s">
        <v>52</v>
      </c>
      <c r="H100" s="8" t="s">
        <v>65</v>
      </c>
      <c r="I100" s="8" t="s">
        <v>151</v>
      </c>
      <c r="J100" s="10">
        <v>134</v>
      </c>
      <c r="K100" s="10" t="s">
        <v>249</v>
      </c>
      <c r="L100" s="10" t="s">
        <v>40</v>
      </c>
      <c r="M100" s="12">
        <v>1</v>
      </c>
      <c r="N100" s="15">
        <v>12000.0</v>
      </c>
      <c r="O100" s="15"/>
      <c r="P100" s="17">
        <f>IF(N100&gt;0, O100/N100, 0)</f>
        <v>0</v>
      </c>
      <c r="Q100" s="15">
        <f>N100-O100</f>
        <v>12000</v>
      </c>
      <c r="R100" s="15">
        <f>M100*N100</f>
        <v>12000</v>
      </c>
      <c r="S100" s="15">
        <f>M100*O100</f>
        <v>0</v>
      </c>
      <c r="T100" s="15">
        <f>M100*Q100</f>
        <v>12000</v>
      </c>
      <c r="U100" s="15"/>
      <c r="V100" s="15">
        <f>M100*U100</f>
        <v>0</v>
      </c>
      <c r="W100" s="15">
        <f>T100-V100</f>
        <v>12000</v>
      </c>
      <c r="X100" s="17">
        <f>IF(T100&gt;0, W100/T100, 0)</f>
        <v>1</v>
      </c>
      <c r="Y100" s="8" t="s">
        <v>60</v>
      </c>
      <c r="Z100" s="10" t="s">
        <v>42</v>
      </c>
      <c r="AA100" s="10" t="s">
        <v>43</v>
      </c>
      <c r="AB100" s="10" t="s">
        <v>44</v>
      </c>
      <c r="AC100" s="8" t="s">
        <v>146</v>
      </c>
    </row>
    <row r="101" spans="1:29">
      <c r="A101" s="11">
        <v>94</v>
      </c>
      <c r="B101" s="11" t="s">
        <v>250</v>
      </c>
      <c r="C101" s="11" t="s">
        <v>200</v>
      </c>
      <c r="D101" s="11" t="s">
        <v>201</v>
      </c>
      <c r="E101" s="11" t="s">
        <v>34</v>
      </c>
      <c r="F101" s="11" t="s">
        <v>35</v>
      </c>
      <c r="G101" s="9" t="s">
        <v>52</v>
      </c>
      <c r="H101" s="9" t="s">
        <v>37</v>
      </c>
      <c r="I101" s="9" t="s">
        <v>75</v>
      </c>
      <c r="J101" s="11">
        <v>134</v>
      </c>
      <c r="K101" s="11" t="s">
        <v>149</v>
      </c>
      <c r="L101" s="11" t="s">
        <v>55</v>
      </c>
      <c r="M101" s="13">
        <v>2</v>
      </c>
      <c r="N101" s="16">
        <v>8000.0</v>
      </c>
      <c r="O101" s="16"/>
      <c r="P101" s="18">
        <f>IF(N101&gt;0, O101/N101, 0)</f>
        <v>0</v>
      </c>
      <c r="Q101" s="16">
        <f>N101-O101</f>
        <v>8000</v>
      </c>
      <c r="R101" s="16">
        <f>M101*N101</f>
        <v>16000</v>
      </c>
      <c r="S101" s="16">
        <f>M101*O101</f>
        <v>0</v>
      </c>
      <c r="T101" s="16">
        <f>M101*Q101</f>
        <v>16000</v>
      </c>
      <c r="U101" s="16"/>
      <c r="V101" s="16">
        <f>M101*U101</f>
        <v>0</v>
      </c>
      <c r="W101" s="16">
        <f>T101-V101</f>
        <v>16000</v>
      </c>
      <c r="X101" s="18">
        <f>IF(T101&gt;0, W101/T101, 0)</f>
        <v>1</v>
      </c>
      <c r="Y101" s="9" t="s">
        <v>60</v>
      </c>
      <c r="Z101" s="11" t="s">
        <v>42</v>
      </c>
      <c r="AA101" s="11" t="s">
        <v>43</v>
      </c>
      <c r="AB101" s="11" t="s">
        <v>44</v>
      </c>
      <c r="AC101" s="9" t="s">
        <v>44</v>
      </c>
    </row>
    <row r="102" spans="1:29">
      <c r="A102" s="10">
        <v>95</v>
      </c>
      <c r="B102" s="10" t="s">
        <v>251</v>
      </c>
      <c r="C102" s="10" t="s">
        <v>200</v>
      </c>
      <c r="D102" s="10" t="s">
        <v>201</v>
      </c>
      <c r="E102" s="10" t="s">
        <v>34</v>
      </c>
      <c r="F102" s="10" t="s">
        <v>35</v>
      </c>
      <c r="G102" s="8" t="s">
        <v>52</v>
      </c>
      <c r="H102" s="8" t="s">
        <v>37</v>
      </c>
      <c r="I102" s="8" t="s">
        <v>75</v>
      </c>
      <c r="J102" s="10">
        <v>134</v>
      </c>
      <c r="K102" s="10" t="s">
        <v>149</v>
      </c>
      <c r="L102" s="10" t="s">
        <v>55</v>
      </c>
      <c r="M102" s="12">
        <v>1</v>
      </c>
      <c r="N102" s="15">
        <v>8000.0</v>
      </c>
      <c r="O102" s="15"/>
      <c r="P102" s="17">
        <f>IF(N102&gt;0, O102/N102, 0)</f>
        <v>0</v>
      </c>
      <c r="Q102" s="15">
        <f>N102-O102</f>
        <v>8000</v>
      </c>
      <c r="R102" s="15">
        <f>M102*N102</f>
        <v>8000</v>
      </c>
      <c r="S102" s="15">
        <f>M102*O102</f>
        <v>0</v>
      </c>
      <c r="T102" s="15">
        <f>M102*Q102</f>
        <v>8000</v>
      </c>
      <c r="U102" s="15"/>
      <c r="V102" s="15">
        <f>M102*U102</f>
        <v>0</v>
      </c>
      <c r="W102" s="15">
        <f>T102-V102</f>
        <v>8000</v>
      </c>
      <c r="X102" s="17">
        <f>IF(T102&gt;0, W102/T102, 0)</f>
        <v>1</v>
      </c>
      <c r="Y102" s="8" t="s">
        <v>60</v>
      </c>
      <c r="Z102" s="10" t="s">
        <v>42</v>
      </c>
      <c r="AA102" s="10" t="s">
        <v>43</v>
      </c>
      <c r="AB102" s="10" t="s">
        <v>44</v>
      </c>
      <c r="AC102" s="8" t="s">
        <v>44</v>
      </c>
    </row>
    <row r="103" spans="1:29">
      <c r="A103" s="11">
        <v>96</v>
      </c>
      <c r="B103" s="11" t="s">
        <v>252</v>
      </c>
      <c r="C103" s="11" t="s">
        <v>200</v>
      </c>
      <c r="D103" s="11" t="s">
        <v>201</v>
      </c>
      <c r="E103" s="11" t="s">
        <v>70</v>
      </c>
      <c r="F103" s="11" t="s">
        <v>144</v>
      </c>
      <c r="G103" s="9" t="s">
        <v>52</v>
      </c>
      <c r="H103" s="9" t="s">
        <v>65</v>
      </c>
      <c r="I103" s="9" t="s">
        <v>151</v>
      </c>
      <c r="J103" s="11">
        <v>146</v>
      </c>
      <c r="K103" s="11" t="s">
        <v>170</v>
      </c>
      <c r="L103" s="11" t="s">
        <v>40</v>
      </c>
      <c r="M103" s="13">
        <v>1</v>
      </c>
      <c r="N103" s="16">
        <v>12000.0</v>
      </c>
      <c r="O103" s="16"/>
      <c r="P103" s="18">
        <f>IF(N103&gt;0, O103/N103, 0)</f>
        <v>0</v>
      </c>
      <c r="Q103" s="16">
        <f>N103-O103</f>
        <v>12000</v>
      </c>
      <c r="R103" s="16">
        <f>M103*N103</f>
        <v>12000</v>
      </c>
      <c r="S103" s="16">
        <f>M103*O103</f>
        <v>0</v>
      </c>
      <c r="T103" s="16">
        <f>M103*Q103</f>
        <v>12000</v>
      </c>
      <c r="U103" s="16"/>
      <c r="V103" s="16">
        <f>M103*U103</f>
        <v>0</v>
      </c>
      <c r="W103" s="16">
        <f>T103-V103</f>
        <v>12000</v>
      </c>
      <c r="X103" s="18">
        <f>IF(T103&gt;0, W103/T103, 0)</f>
        <v>1</v>
      </c>
      <c r="Y103" s="9" t="s">
        <v>60</v>
      </c>
      <c r="Z103" s="11" t="s">
        <v>42</v>
      </c>
      <c r="AA103" s="11" t="s">
        <v>73</v>
      </c>
      <c r="AB103" s="11" t="s">
        <v>44</v>
      </c>
      <c r="AC103" s="9" t="s">
        <v>146</v>
      </c>
    </row>
    <row r="104" spans="1:29">
      <c r="A104" s="10">
        <v>97</v>
      </c>
      <c r="B104" s="10" t="s">
        <v>253</v>
      </c>
      <c r="C104" s="10" t="s">
        <v>200</v>
      </c>
      <c r="D104" s="10" t="s">
        <v>201</v>
      </c>
      <c r="E104" s="10" t="s">
        <v>34</v>
      </c>
      <c r="F104" s="10" t="s">
        <v>144</v>
      </c>
      <c r="G104" s="8" t="s">
        <v>52</v>
      </c>
      <c r="H104" s="8" t="s">
        <v>65</v>
      </c>
      <c r="I104" s="8" t="s">
        <v>151</v>
      </c>
      <c r="J104" s="10">
        <v>158</v>
      </c>
      <c r="K104" s="10" t="s">
        <v>254</v>
      </c>
      <c r="L104" s="10" t="s">
        <v>40</v>
      </c>
      <c r="M104" s="12">
        <v>1</v>
      </c>
      <c r="N104" s="15">
        <v>12000.0</v>
      </c>
      <c r="O104" s="15"/>
      <c r="P104" s="17">
        <f>IF(N104&gt;0, O104/N104, 0)</f>
        <v>0</v>
      </c>
      <c r="Q104" s="15">
        <f>N104-O104</f>
        <v>12000</v>
      </c>
      <c r="R104" s="15">
        <f>M104*N104</f>
        <v>12000</v>
      </c>
      <c r="S104" s="15">
        <f>M104*O104</f>
        <v>0</v>
      </c>
      <c r="T104" s="15">
        <f>M104*Q104</f>
        <v>12000</v>
      </c>
      <c r="U104" s="15"/>
      <c r="V104" s="15">
        <f>M104*U104</f>
        <v>0</v>
      </c>
      <c r="W104" s="15">
        <f>T104-V104</f>
        <v>12000</v>
      </c>
      <c r="X104" s="17">
        <f>IF(T104&gt;0, W104/T104, 0)</f>
        <v>1</v>
      </c>
      <c r="Y104" s="8" t="s">
        <v>60</v>
      </c>
      <c r="Z104" s="10" t="s">
        <v>42</v>
      </c>
      <c r="AA104" s="10" t="s">
        <v>43</v>
      </c>
      <c r="AB104" s="10" t="s">
        <v>44</v>
      </c>
      <c r="AC104" s="8" t="s">
        <v>146</v>
      </c>
    </row>
    <row r="105" spans="1:29">
      <c r="A105" s="11">
        <v>98</v>
      </c>
      <c r="B105" s="11" t="s">
        <v>255</v>
      </c>
      <c r="C105" s="11" t="s">
        <v>200</v>
      </c>
      <c r="D105" s="11" t="s">
        <v>201</v>
      </c>
      <c r="E105" s="11" t="s">
        <v>34</v>
      </c>
      <c r="F105" s="11" t="s">
        <v>144</v>
      </c>
      <c r="G105" s="9" t="s">
        <v>52</v>
      </c>
      <c r="H105" s="9" t="s">
        <v>65</v>
      </c>
      <c r="I105" s="9" t="s">
        <v>151</v>
      </c>
      <c r="J105" s="11">
        <v>122</v>
      </c>
      <c r="K105" s="11" t="s">
        <v>244</v>
      </c>
      <c r="L105" s="11" t="s">
        <v>40</v>
      </c>
      <c r="M105" s="13">
        <v>1</v>
      </c>
      <c r="N105" s="16">
        <v>12000.0</v>
      </c>
      <c r="O105" s="16"/>
      <c r="P105" s="18">
        <f>IF(N105&gt;0, O105/N105, 0)</f>
        <v>0</v>
      </c>
      <c r="Q105" s="16">
        <f>N105-O105</f>
        <v>12000</v>
      </c>
      <c r="R105" s="16">
        <f>M105*N105</f>
        <v>12000</v>
      </c>
      <c r="S105" s="16">
        <f>M105*O105</f>
        <v>0</v>
      </c>
      <c r="T105" s="16">
        <f>M105*Q105</f>
        <v>12000</v>
      </c>
      <c r="U105" s="16"/>
      <c r="V105" s="16">
        <f>M105*U105</f>
        <v>0</v>
      </c>
      <c r="W105" s="16">
        <f>T105-V105</f>
        <v>12000</v>
      </c>
      <c r="X105" s="18">
        <f>IF(T105&gt;0, W105/T105, 0)</f>
        <v>1</v>
      </c>
      <c r="Y105" s="9" t="s">
        <v>60</v>
      </c>
      <c r="Z105" s="11" t="s">
        <v>42</v>
      </c>
      <c r="AA105" s="11" t="s">
        <v>43</v>
      </c>
      <c r="AB105" s="11" t="s">
        <v>44</v>
      </c>
      <c r="AC105" s="9" t="s">
        <v>146</v>
      </c>
    </row>
    <row r="106" spans="1:29">
      <c r="A106" s="10">
        <v>99</v>
      </c>
      <c r="B106" s="10" t="s">
        <v>256</v>
      </c>
      <c r="C106" s="10" t="s">
        <v>200</v>
      </c>
      <c r="D106" s="10" t="s">
        <v>201</v>
      </c>
      <c r="E106" s="10" t="s">
        <v>34</v>
      </c>
      <c r="F106" s="10" t="s">
        <v>35</v>
      </c>
      <c r="G106" s="8" t="s">
        <v>52</v>
      </c>
      <c r="H106" s="8" t="s">
        <v>53</v>
      </c>
      <c r="I106" s="8" t="s">
        <v>53</v>
      </c>
      <c r="J106" s="10">
        <v>146</v>
      </c>
      <c r="K106" s="10" t="s">
        <v>257</v>
      </c>
      <c r="L106" s="10" t="s">
        <v>55</v>
      </c>
      <c r="M106" s="12">
        <v>1</v>
      </c>
      <c r="N106" s="15">
        <v>8000.0</v>
      </c>
      <c r="O106" s="15"/>
      <c r="P106" s="17">
        <f>IF(N106&gt;0, O106/N106, 0)</f>
        <v>0</v>
      </c>
      <c r="Q106" s="15">
        <f>N106-O106</f>
        <v>8000</v>
      </c>
      <c r="R106" s="15">
        <f>M106*N106</f>
        <v>8000</v>
      </c>
      <c r="S106" s="15">
        <f>M106*O106</f>
        <v>0</v>
      </c>
      <c r="T106" s="15">
        <f>M106*Q106</f>
        <v>8000</v>
      </c>
      <c r="U106" s="15"/>
      <c r="V106" s="15">
        <f>M106*U106</f>
        <v>0</v>
      </c>
      <c r="W106" s="15">
        <f>T106-V106</f>
        <v>8000</v>
      </c>
      <c r="X106" s="17">
        <f>IF(T106&gt;0, W106/T106, 0)</f>
        <v>1</v>
      </c>
      <c r="Y106" s="8" t="s">
        <v>60</v>
      </c>
      <c r="Z106" s="10" t="s">
        <v>42</v>
      </c>
      <c r="AA106" s="10" t="s">
        <v>43</v>
      </c>
      <c r="AB106" s="10" t="s">
        <v>44</v>
      </c>
      <c r="AC106" s="8" t="s">
        <v>44</v>
      </c>
    </row>
    <row r="107" spans="1:29">
      <c r="A107" s="11">
        <v>100</v>
      </c>
      <c r="B107" s="11" t="s">
        <v>258</v>
      </c>
      <c r="C107" s="11" t="s">
        <v>200</v>
      </c>
      <c r="D107" s="11" t="s">
        <v>201</v>
      </c>
      <c r="E107" s="11" t="s">
        <v>34</v>
      </c>
      <c r="F107" s="11" t="s">
        <v>35</v>
      </c>
      <c r="G107" s="9" t="s">
        <v>52</v>
      </c>
      <c r="H107" s="9" t="s">
        <v>53</v>
      </c>
      <c r="I107" s="9" t="s">
        <v>53</v>
      </c>
      <c r="J107" s="11">
        <v>122</v>
      </c>
      <c r="K107" s="11" t="s">
        <v>84</v>
      </c>
      <c r="L107" s="11" t="s">
        <v>55</v>
      </c>
      <c r="M107" s="13">
        <v>1</v>
      </c>
      <c r="N107" s="16">
        <v>8000.0</v>
      </c>
      <c r="O107" s="16"/>
      <c r="P107" s="18">
        <f>IF(N107&gt;0, O107/N107, 0)</f>
        <v>0</v>
      </c>
      <c r="Q107" s="16">
        <f>N107-O107</f>
        <v>8000</v>
      </c>
      <c r="R107" s="16">
        <f>M107*N107</f>
        <v>8000</v>
      </c>
      <c r="S107" s="16">
        <f>M107*O107</f>
        <v>0</v>
      </c>
      <c r="T107" s="16">
        <f>M107*Q107</f>
        <v>8000</v>
      </c>
      <c r="U107" s="16"/>
      <c r="V107" s="16">
        <f>M107*U107</f>
        <v>0</v>
      </c>
      <c r="W107" s="16">
        <f>T107-V107</f>
        <v>8000</v>
      </c>
      <c r="X107" s="18">
        <f>IF(T107&gt;0, W107/T107, 0)</f>
        <v>1</v>
      </c>
      <c r="Y107" s="9" t="s">
        <v>60</v>
      </c>
      <c r="Z107" s="11" t="s">
        <v>42</v>
      </c>
      <c r="AA107" s="11" t="s">
        <v>43</v>
      </c>
      <c r="AB107" s="11" t="s">
        <v>44</v>
      </c>
      <c r="AC107" s="9" t="s">
        <v>44</v>
      </c>
    </row>
    <row r="108" spans="1:29">
      <c r="A108" s="10">
        <v>101</v>
      </c>
      <c r="B108" s="10" t="s">
        <v>259</v>
      </c>
      <c r="C108" s="10" t="s">
        <v>200</v>
      </c>
      <c r="D108" s="10" t="s">
        <v>201</v>
      </c>
      <c r="E108" s="10" t="s">
        <v>34</v>
      </c>
      <c r="F108" s="10" t="s">
        <v>35</v>
      </c>
      <c r="G108" s="8" t="s">
        <v>52</v>
      </c>
      <c r="H108" s="8" t="s">
        <v>37</v>
      </c>
      <c r="I108" s="8" t="s">
        <v>38</v>
      </c>
      <c r="J108" s="10">
        <v>146</v>
      </c>
      <c r="K108" s="10" t="s">
        <v>260</v>
      </c>
      <c r="L108" s="10" t="s">
        <v>55</v>
      </c>
      <c r="M108" s="12">
        <v>1</v>
      </c>
      <c r="N108" s="15">
        <v>7000.0</v>
      </c>
      <c r="O108" s="15"/>
      <c r="P108" s="17">
        <f>IF(N108&gt;0, O108/N108, 0)</f>
        <v>0</v>
      </c>
      <c r="Q108" s="15">
        <f>N108-O108</f>
        <v>7000</v>
      </c>
      <c r="R108" s="15">
        <f>M108*N108</f>
        <v>7000</v>
      </c>
      <c r="S108" s="15">
        <f>M108*O108</f>
        <v>0</v>
      </c>
      <c r="T108" s="15">
        <f>M108*Q108</f>
        <v>7000</v>
      </c>
      <c r="U108" s="15"/>
      <c r="V108" s="15">
        <f>M108*U108</f>
        <v>0</v>
      </c>
      <c r="W108" s="15">
        <f>T108-V108</f>
        <v>7000</v>
      </c>
      <c r="X108" s="17">
        <f>IF(T108&gt;0, W108/T108, 0)</f>
        <v>1</v>
      </c>
      <c r="Y108" s="8" t="s">
        <v>60</v>
      </c>
      <c r="Z108" s="10" t="s">
        <v>42</v>
      </c>
      <c r="AA108" s="10" t="s">
        <v>43</v>
      </c>
      <c r="AB108" s="10" t="s">
        <v>44</v>
      </c>
      <c r="AC108" s="8" t="s">
        <v>44</v>
      </c>
    </row>
    <row r="109" spans="1:29">
      <c r="A109" s="11">
        <v>102</v>
      </c>
      <c r="B109" s="11" t="s">
        <v>261</v>
      </c>
      <c r="C109" s="11" t="s">
        <v>200</v>
      </c>
      <c r="D109" s="11" t="s">
        <v>201</v>
      </c>
      <c r="E109" s="11" t="s">
        <v>34</v>
      </c>
      <c r="F109" s="11" t="s">
        <v>35</v>
      </c>
      <c r="G109" s="9" t="s">
        <v>52</v>
      </c>
      <c r="H109" s="9" t="s">
        <v>37</v>
      </c>
      <c r="I109" s="9" t="s">
        <v>38</v>
      </c>
      <c r="J109" s="11">
        <v>122</v>
      </c>
      <c r="K109" s="11" t="s">
        <v>107</v>
      </c>
      <c r="L109" s="11" t="s">
        <v>55</v>
      </c>
      <c r="M109" s="13">
        <v>1</v>
      </c>
      <c r="N109" s="16">
        <v>7000.0</v>
      </c>
      <c r="O109" s="16"/>
      <c r="P109" s="18">
        <f>IF(N109&gt;0, O109/N109, 0)</f>
        <v>0</v>
      </c>
      <c r="Q109" s="16">
        <f>N109-O109</f>
        <v>7000</v>
      </c>
      <c r="R109" s="16">
        <f>M109*N109</f>
        <v>7000</v>
      </c>
      <c r="S109" s="16">
        <f>M109*O109</f>
        <v>0</v>
      </c>
      <c r="T109" s="16">
        <f>M109*Q109</f>
        <v>7000</v>
      </c>
      <c r="U109" s="16"/>
      <c r="V109" s="16">
        <f>M109*U109</f>
        <v>0</v>
      </c>
      <c r="W109" s="16">
        <f>T109-V109</f>
        <v>7000</v>
      </c>
      <c r="X109" s="18">
        <f>IF(T109&gt;0, W109/T109, 0)</f>
        <v>1</v>
      </c>
      <c r="Y109" s="9" t="s">
        <v>60</v>
      </c>
      <c r="Z109" s="11" t="s">
        <v>42</v>
      </c>
      <c r="AA109" s="11" t="s">
        <v>43</v>
      </c>
      <c r="AB109" s="11" t="s">
        <v>44</v>
      </c>
      <c r="AC109" s="9" t="s">
        <v>44</v>
      </c>
    </row>
    <row r="110" spans="1:29">
      <c r="A110" s="10">
        <v>103</v>
      </c>
      <c r="B110" s="10" t="s">
        <v>262</v>
      </c>
      <c r="C110" s="10" t="s">
        <v>200</v>
      </c>
      <c r="D110" s="10" t="s">
        <v>201</v>
      </c>
      <c r="E110" s="10" t="s">
        <v>34</v>
      </c>
      <c r="F110" s="10" t="s">
        <v>144</v>
      </c>
      <c r="G110" s="8" t="s">
        <v>36</v>
      </c>
      <c r="H110" s="8" t="s">
        <v>71</v>
      </c>
      <c r="I110" s="8" t="s">
        <v>71</v>
      </c>
      <c r="J110" s="10">
        <v>158</v>
      </c>
      <c r="K110" s="10" t="s">
        <v>263</v>
      </c>
      <c r="L110" s="10" t="s">
        <v>40</v>
      </c>
      <c r="M110" s="12">
        <v>1</v>
      </c>
      <c r="N110" s="15">
        <v>18000.0</v>
      </c>
      <c r="O110" s="15"/>
      <c r="P110" s="17">
        <f>IF(N110&gt;0, O110/N110, 0)</f>
        <v>0</v>
      </c>
      <c r="Q110" s="15">
        <f>N110-O110</f>
        <v>18000</v>
      </c>
      <c r="R110" s="15">
        <f>M110*N110</f>
        <v>18000</v>
      </c>
      <c r="S110" s="15">
        <f>M110*O110</f>
        <v>0</v>
      </c>
      <c r="T110" s="15">
        <f>M110*Q110</f>
        <v>18000</v>
      </c>
      <c r="U110" s="15"/>
      <c r="V110" s="15">
        <f>M110*U110</f>
        <v>0</v>
      </c>
      <c r="W110" s="15">
        <f>T110-V110</f>
        <v>18000</v>
      </c>
      <c r="X110" s="17">
        <f>IF(T110&gt;0, W110/T110, 0)</f>
        <v>1</v>
      </c>
      <c r="Y110" s="8" t="s">
        <v>60</v>
      </c>
      <c r="Z110" s="10" t="s">
        <v>42</v>
      </c>
      <c r="AA110" s="10" t="s">
        <v>43</v>
      </c>
      <c r="AB110" s="10" t="s">
        <v>44</v>
      </c>
      <c r="AC110" s="8" t="s">
        <v>146</v>
      </c>
    </row>
    <row r="111" spans="1:29">
      <c r="A111" s="11">
        <v>104</v>
      </c>
      <c r="B111" s="11" t="s">
        <v>264</v>
      </c>
      <c r="C111" s="11" t="s">
        <v>200</v>
      </c>
      <c r="D111" s="11" t="s">
        <v>201</v>
      </c>
      <c r="E111" s="11" t="s">
        <v>34</v>
      </c>
      <c r="F111" s="11" t="s">
        <v>144</v>
      </c>
      <c r="G111" s="9" t="s">
        <v>36</v>
      </c>
      <c r="H111" s="9" t="s">
        <v>37</v>
      </c>
      <c r="I111" s="9" t="s">
        <v>75</v>
      </c>
      <c r="J111" s="11">
        <v>152</v>
      </c>
      <c r="K111" s="11" t="s">
        <v>265</v>
      </c>
      <c r="L111" s="11" t="s">
        <v>40</v>
      </c>
      <c r="M111" s="13">
        <v>2</v>
      </c>
      <c r="N111" s="16">
        <v>10000.0</v>
      </c>
      <c r="O111" s="16"/>
      <c r="P111" s="18">
        <f>IF(N111&gt;0, O111/N111, 0)</f>
        <v>0</v>
      </c>
      <c r="Q111" s="16">
        <f>N111-O111</f>
        <v>10000</v>
      </c>
      <c r="R111" s="16">
        <f>M111*N111</f>
        <v>20000</v>
      </c>
      <c r="S111" s="16">
        <f>M111*O111</f>
        <v>0</v>
      </c>
      <c r="T111" s="16">
        <f>M111*Q111</f>
        <v>20000</v>
      </c>
      <c r="U111" s="16"/>
      <c r="V111" s="16">
        <f>M111*U111</f>
        <v>0</v>
      </c>
      <c r="W111" s="16">
        <f>T111-V111</f>
        <v>20000</v>
      </c>
      <c r="X111" s="18">
        <f>IF(T111&gt;0, W111/T111, 0)</f>
        <v>1</v>
      </c>
      <c r="Y111" s="9" t="s">
        <v>60</v>
      </c>
      <c r="Z111" s="11" t="s">
        <v>42</v>
      </c>
      <c r="AA111" s="11" t="s">
        <v>43</v>
      </c>
      <c r="AB111" s="11" t="s">
        <v>44</v>
      </c>
      <c r="AC111" s="9" t="s">
        <v>146</v>
      </c>
    </row>
    <row r="112" spans="1:29">
      <c r="A112" s="10">
        <v>105</v>
      </c>
      <c r="B112" s="10" t="s">
        <v>266</v>
      </c>
      <c r="C112" s="10" t="s">
        <v>200</v>
      </c>
      <c r="D112" s="10" t="s">
        <v>201</v>
      </c>
      <c r="E112" s="10" t="s">
        <v>34</v>
      </c>
      <c r="F112" s="10" t="s">
        <v>35</v>
      </c>
      <c r="G112" s="8" t="s">
        <v>36</v>
      </c>
      <c r="H112" s="8" t="s">
        <v>71</v>
      </c>
      <c r="I112" s="8" t="s">
        <v>71</v>
      </c>
      <c r="J112" s="10">
        <v>146</v>
      </c>
      <c r="K112" s="10" t="s">
        <v>267</v>
      </c>
      <c r="L112" s="10" t="s">
        <v>40</v>
      </c>
      <c r="M112" s="12">
        <v>1</v>
      </c>
      <c r="N112" s="15">
        <v>16000.0</v>
      </c>
      <c r="O112" s="15"/>
      <c r="P112" s="17">
        <f>IF(N112&gt;0, O112/N112, 0)</f>
        <v>0</v>
      </c>
      <c r="Q112" s="15">
        <f>N112-O112</f>
        <v>16000</v>
      </c>
      <c r="R112" s="15">
        <f>M112*N112</f>
        <v>16000</v>
      </c>
      <c r="S112" s="15">
        <f>M112*O112</f>
        <v>0</v>
      </c>
      <c r="T112" s="15">
        <f>M112*Q112</f>
        <v>16000</v>
      </c>
      <c r="U112" s="15"/>
      <c r="V112" s="15">
        <f>M112*U112</f>
        <v>0</v>
      </c>
      <c r="W112" s="15">
        <f>T112-V112</f>
        <v>16000</v>
      </c>
      <c r="X112" s="17">
        <f>IF(T112&gt;0, W112/T112, 0)</f>
        <v>1</v>
      </c>
      <c r="Y112" s="8" t="s">
        <v>60</v>
      </c>
      <c r="Z112" s="10" t="s">
        <v>42</v>
      </c>
      <c r="AA112" s="10" t="s">
        <v>43</v>
      </c>
      <c r="AB112" s="10" t="s">
        <v>44</v>
      </c>
      <c r="AC112" s="8" t="s">
        <v>44</v>
      </c>
    </row>
    <row r="113" spans="1:29">
      <c r="A113" s="11">
        <v>106</v>
      </c>
      <c r="B113" s="11" t="s">
        <v>268</v>
      </c>
      <c r="C113" s="11" t="s">
        <v>200</v>
      </c>
      <c r="D113" s="11" t="s">
        <v>201</v>
      </c>
      <c r="E113" s="11" t="s">
        <v>34</v>
      </c>
      <c r="F113" s="11" t="s">
        <v>35</v>
      </c>
      <c r="G113" s="9" t="s">
        <v>52</v>
      </c>
      <c r="H113" s="9" t="s">
        <v>47</v>
      </c>
      <c r="I113" s="9" t="s">
        <v>48</v>
      </c>
      <c r="J113" s="11">
        <v>146</v>
      </c>
      <c r="K113" s="11" t="s">
        <v>142</v>
      </c>
      <c r="L113" s="11" t="s">
        <v>40</v>
      </c>
      <c r="M113" s="13">
        <v>1</v>
      </c>
      <c r="N113" s="16">
        <v>18000.0</v>
      </c>
      <c r="O113" s="16"/>
      <c r="P113" s="18">
        <f>IF(N113&gt;0, O113/N113, 0)</f>
        <v>0</v>
      </c>
      <c r="Q113" s="16">
        <f>N113-O113</f>
        <v>18000</v>
      </c>
      <c r="R113" s="16">
        <f>M113*N113</f>
        <v>18000</v>
      </c>
      <c r="S113" s="16">
        <f>M113*O113</f>
        <v>0</v>
      </c>
      <c r="T113" s="16">
        <f>M113*Q113</f>
        <v>18000</v>
      </c>
      <c r="U113" s="16"/>
      <c r="V113" s="16">
        <f>M113*U113</f>
        <v>0</v>
      </c>
      <c r="W113" s="16">
        <f>T113-V113</f>
        <v>18000</v>
      </c>
      <c r="X113" s="18">
        <f>IF(T113&gt;0, W113/T113, 0)</f>
        <v>1</v>
      </c>
      <c r="Y113" s="9" t="s">
        <v>60</v>
      </c>
      <c r="Z113" s="11" t="s">
        <v>42</v>
      </c>
      <c r="AA113" s="11" t="s">
        <v>43</v>
      </c>
      <c r="AB113" s="11" t="s">
        <v>44</v>
      </c>
      <c r="AC113" s="9" t="s">
        <v>44</v>
      </c>
    </row>
    <row r="114" spans="1:29">
      <c r="A114" s="10">
        <v>107</v>
      </c>
      <c r="B114" s="10" t="s">
        <v>269</v>
      </c>
      <c r="C114" s="10" t="s">
        <v>200</v>
      </c>
      <c r="D114" s="10" t="s">
        <v>201</v>
      </c>
      <c r="E114" s="10" t="s">
        <v>34</v>
      </c>
      <c r="F114" s="10" t="s">
        <v>144</v>
      </c>
      <c r="G114" s="8" t="s">
        <v>36</v>
      </c>
      <c r="H114" s="8" t="s">
        <v>37</v>
      </c>
      <c r="I114" s="8" t="s">
        <v>38</v>
      </c>
      <c r="J114" s="10">
        <v>164</v>
      </c>
      <c r="K114" s="10" t="s">
        <v>79</v>
      </c>
      <c r="L114" s="10" t="s">
        <v>40</v>
      </c>
      <c r="M114" s="12">
        <v>2</v>
      </c>
      <c r="N114" s="15">
        <v>10000.0</v>
      </c>
      <c r="O114" s="15"/>
      <c r="P114" s="17">
        <f>IF(N114&gt;0, O114/N114, 0)</f>
        <v>0</v>
      </c>
      <c r="Q114" s="15">
        <f>N114-O114</f>
        <v>10000</v>
      </c>
      <c r="R114" s="15">
        <f>M114*N114</f>
        <v>20000</v>
      </c>
      <c r="S114" s="15">
        <f>M114*O114</f>
        <v>0</v>
      </c>
      <c r="T114" s="15">
        <f>M114*Q114</f>
        <v>20000</v>
      </c>
      <c r="U114" s="15"/>
      <c r="V114" s="15">
        <f>M114*U114</f>
        <v>0</v>
      </c>
      <c r="W114" s="15">
        <f>T114-V114</f>
        <v>20000</v>
      </c>
      <c r="X114" s="17">
        <f>IF(T114&gt;0, W114/T114, 0)</f>
        <v>1</v>
      </c>
      <c r="Y114" s="8" t="s">
        <v>60</v>
      </c>
      <c r="Z114" s="10" t="s">
        <v>42</v>
      </c>
      <c r="AA114" s="10" t="s">
        <v>43</v>
      </c>
      <c r="AB114" s="10" t="s">
        <v>44</v>
      </c>
      <c r="AC114" s="8" t="s">
        <v>146</v>
      </c>
    </row>
    <row r="115" spans="1:29">
      <c r="A115" s="11">
        <v>108</v>
      </c>
      <c r="B115" s="11" t="s">
        <v>270</v>
      </c>
      <c r="C115" s="11" t="s">
        <v>200</v>
      </c>
      <c r="D115" s="11" t="s">
        <v>201</v>
      </c>
      <c r="E115" s="11" t="s">
        <v>34</v>
      </c>
      <c r="F115" s="11" t="s">
        <v>35</v>
      </c>
      <c r="G115" s="9" t="s">
        <v>52</v>
      </c>
      <c r="H115" s="9" t="s">
        <v>37</v>
      </c>
      <c r="I115" s="9" t="s">
        <v>38</v>
      </c>
      <c r="J115" s="11">
        <v>152</v>
      </c>
      <c r="K115" s="11" t="s">
        <v>154</v>
      </c>
      <c r="L115" s="11" t="s">
        <v>55</v>
      </c>
      <c r="M115" s="13">
        <v>3</v>
      </c>
      <c r="N115" s="16">
        <v>7000.0</v>
      </c>
      <c r="O115" s="16"/>
      <c r="P115" s="18">
        <f>IF(N115&gt;0, O115/N115, 0)</f>
        <v>0</v>
      </c>
      <c r="Q115" s="16">
        <f>N115-O115</f>
        <v>7000</v>
      </c>
      <c r="R115" s="16">
        <f>M115*N115</f>
        <v>21000</v>
      </c>
      <c r="S115" s="16">
        <f>M115*O115</f>
        <v>0</v>
      </c>
      <c r="T115" s="16">
        <f>M115*Q115</f>
        <v>21000</v>
      </c>
      <c r="U115" s="16"/>
      <c r="V115" s="16">
        <f>M115*U115</f>
        <v>0</v>
      </c>
      <c r="W115" s="16">
        <f>T115-V115</f>
        <v>21000</v>
      </c>
      <c r="X115" s="18">
        <f>IF(T115&gt;0, W115/T115, 0)</f>
        <v>1</v>
      </c>
      <c r="Y115" s="9" t="s">
        <v>60</v>
      </c>
      <c r="Z115" s="11" t="s">
        <v>42</v>
      </c>
      <c r="AA115" s="11" t="s">
        <v>43</v>
      </c>
      <c r="AB115" s="11" t="s">
        <v>44</v>
      </c>
      <c r="AC115" s="9" t="s">
        <v>44</v>
      </c>
    </row>
    <row r="116" spans="1:29">
      <c r="A116" s="10">
        <v>109</v>
      </c>
      <c r="B116" s="10" t="s">
        <v>271</v>
      </c>
      <c r="C116" s="10" t="s">
        <v>200</v>
      </c>
      <c r="D116" s="10" t="s">
        <v>201</v>
      </c>
      <c r="E116" s="10" t="s">
        <v>34</v>
      </c>
      <c r="F116" s="10" t="s">
        <v>35</v>
      </c>
      <c r="G116" s="8" t="s">
        <v>52</v>
      </c>
      <c r="H116" s="8" t="s">
        <v>37</v>
      </c>
      <c r="I116" s="8" t="s">
        <v>75</v>
      </c>
      <c r="J116" s="10">
        <v>134</v>
      </c>
      <c r="K116" s="10" t="s">
        <v>149</v>
      </c>
      <c r="L116" s="10" t="s">
        <v>55</v>
      </c>
      <c r="M116" s="12">
        <v>1</v>
      </c>
      <c r="N116" s="15">
        <v>10000.0</v>
      </c>
      <c r="O116" s="15"/>
      <c r="P116" s="17">
        <f>IF(N116&gt;0, O116/N116, 0)</f>
        <v>0</v>
      </c>
      <c r="Q116" s="15">
        <f>N116-O116</f>
        <v>10000</v>
      </c>
      <c r="R116" s="15">
        <f>M116*N116</f>
        <v>10000</v>
      </c>
      <c r="S116" s="15">
        <f>M116*O116</f>
        <v>0</v>
      </c>
      <c r="T116" s="15">
        <f>M116*Q116</f>
        <v>10000</v>
      </c>
      <c r="U116" s="15"/>
      <c r="V116" s="15">
        <f>M116*U116</f>
        <v>0</v>
      </c>
      <c r="W116" s="15">
        <f>T116-V116</f>
        <v>10000</v>
      </c>
      <c r="X116" s="17">
        <f>IF(T116&gt;0, W116/T116, 0)</f>
        <v>1</v>
      </c>
      <c r="Y116" s="8" t="s">
        <v>60</v>
      </c>
      <c r="Z116" s="10" t="s">
        <v>42</v>
      </c>
      <c r="AA116" s="10" t="s">
        <v>43</v>
      </c>
      <c r="AB116" s="10" t="s">
        <v>44</v>
      </c>
      <c r="AC116" s="8" t="s">
        <v>44</v>
      </c>
    </row>
    <row r="117" spans="1:29">
      <c r="A117" s="11">
        <v>110</v>
      </c>
      <c r="B117" s="11" t="s">
        <v>272</v>
      </c>
      <c r="C117" s="11" t="s">
        <v>200</v>
      </c>
      <c r="D117" s="11" t="s">
        <v>201</v>
      </c>
      <c r="E117" s="11" t="s">
        <v>34</v>
      </c>
      <c r="F117" s="11" t="s">
        <v>35</v>
      </c>
      <c r="G117" s="9" t="s">
        <v>52</v>
      </c>
      <c r="H117" s="9" t="s">
        <v>71</v>
      </c>
      <c r="I117" s="9" t="s">
        <v>71</v>
      </c>
      <c r="J117" s="11">
        <v>134</v>
      </c>
      <c r="K117" s="11" t="s">
        <v>212</v>
      </c>
      <c r="L117" s="11" t="s">
        <v>40</v>
      </c>
      <c r="M117" s="13">
        <v>1</v>
      </c>
      <c r="N117" s="16">
        <v>16000.0</v>
      </c>
      <c r="O117" s="16"/>
      <c r="P117" s="18">
        <f>IF(N117&gt;0, O117/N117, 0)</f>
        <v>0</v>
      </c>
      <c r="Q117" s="16">
        <f>N117-O117</f>
        <v>16000</v>
      </c>
      <c r="R117" s="16">
        <f>M117*N117</f>
        <v>16000</v>
      </c>
      <c r="S117" s="16">
        <f>M117*O117</f>
        <v>0</v>
      </c>
      <c r="T117" s="16">
        <f>M117*Q117</f>
        <v>16000</v>
      </c>
      <c r="U117" s="16"/>
      <c r="V117" s="16">
        <f>M117*U117</f>
        <v>0</v>
      </c>
      <c r="W117" s="16">
        <f>T117-V117</f>
        <v>16000</v>
      </c>
      <c r="X117" s="18">
        <f>IF(T117&gt;0, W117/T117, 0)</f>
        <v>1</v>
      </c>
      <c r="Y117" s="9" t="s">
        <v>60</v>
      </c>
      <c r="Z117" s="11" t="s">
        <v>42</v>
      </c>
      <c r="AA117" s="11" t="s">
        <v>43</v>
      </c>
      <c r="AB117" s="11" t="s">
        <v>44</v>
      </c>
      <c r="AC117" s="9" t="s">
        <v>44</v>
      </c>
    </row>
    <row r="118" spans="1:29">
      <c r="A118" s="10">
        <v>111</v>
      </c>
      <c r="B118" s="10" t="s">
        <v>273</v>
      </c>
      <c r="C118" s="10" t="s">
        <v>200</v>
      </c>
      <c r="D118" s="10" t="s">
        <v>201</v>
      </c>
      <c r="E118" s="10" t="s">
        <v>34</v>
      </c>
      <c r="F118" s="10" t="s">
        <v>35</v>
      </c>
      <c r="G118" s="8" t="s">
        <v>36</v>
      </c>
      <c r="H118" s="8" t="s">
        <v>58</v>
      </c>
      <c r="I118" s="8" t="s">
        <v>58</v>
      </c>
      <c r="J118" s="10">
        <v>164</v>
      </c>
      <c r="K118" s="10" t="s">
        <v>59</v>
      </c>
      <c r="L118" s="10" t="s">
        <v>40</v>
      </c>
      <c r="M118" s="12">
        <v>1</v>
      </c>
      <c r="N118" s="15">
        <v>7500.0</v>
      </c>
      <c r="O118" s="15"/>
      <c r="P118" s="17">
        <f>IF(N118&gt;0, O118/N118, 0)</f>
        <v>0</v>
      </c>
      <c r="Q118" s="15">
        <f>N118-O118</f>
        <v>7500</v>
      </c>
      <c r="R118" s="15">
        <f>M118*N118</f>
        <v>7500</v>
      </c>
      <c r="S118" s="15">
        <f>M118*O118</f>
        <v>0</v>
      </c>
      <c r="T118" s="15">
        <f>M118*Q118</f>
        <v>7500</v>
      </c>
      <c r="U118" s="15"/>
      <c r="V118" s="15">
        <f>M118*U118</f>
        <v>0</v>
      </c>
      <c r="W118" s="15">
        <f>T118-V118</f>
        <v>7500</v>
      </c>
      <c r="X118" s="17">
        <f>IF(T118&gt;0, W118/T118, 0)</f>
        <v>1</v>
      </c>
      <c r="Y118" s="8" t="s">
        <v>60</v>
      </c>
      <c r="Z118" s="10" t="s">
        <v>42</v>
      </c>
      <c r="AA118" s="10" t="s">
        <v>43</v>
      </c>
      <c r="AB118" s="10" t="s">
        <v>44</v>
      </c>
      <c r="AC118" s="8" t="s">
        <v>44</v>
      </c>
    </row>
    <row r="119" spans="1:29">
      <c r="A119" s="11">
        <v>112</v>
      </c>
      <c r="B119" s="11" t="s">
        <v>274</v>
      </c>
      <c r="C119" s="11" t="s">
        <v>200</v>
      </c>
      <c r="D119" s="11" t="s">
        <v>201</v>
      </c>
      <c r="E119" s="11" t="s">
        <v>34</v>
      </c>
      <c r="F119" s="11" t="s">
        <v>35</v>
      </c>
      <c r="G119" s="9" t="s">
        <v>36</v>
      </c>
      <c r="H119" s="9" t="s">
        <v>53</v>
      </c>
      <c r="I119" s="9" t="s">
        <v>53</v>
      </c>
      <c r="J119" s="11">
        <v>158</v>
      </c>
      <c r="K119" s="11" t="s">
        <v>124</v>
      </c>
      <c r="L119" s="11" t="s">
        <v>40</v>
      </c>
      <c r="M119" s="13">
        <v>1</v>
      </c>
      <c r="N119" s="16">
        <v>8500.0</v>
      </c>
      <c r="O119" s="16"/>
      <c r="P119" s="18">
        <f>IF(N119&gt;0, O119/N119, 0)</f>
        <v>0</v>
      </c>
      <c r="Q119" s="16">
        <f>N119-O119</f>
        <v>8500</v>
      </c>
      <c r="R119" s="16">
        <f>M119*N119</f>
        <v>8500</v>
      </c>
      <c r="S119" s="16">
        <f>M119*O119</f>
        <v>0</v>
      </c>
      <c r="T119" s="16">
        <f>M119*Q119</f>
        <v>8500</v>
      </c>
      <c r="U119" s="16"/>
      <c r="V119" s="16">
        <f>M119*U119</f>
        <v>0</v>
      </c>
      <c r="W119" s="16">
        <f>T119-V119</f>
        <v>8500</v>
      </c>
      <c r="X119" s="18">
        <f>IF(T119&gt;0, W119/T119, 0)</f>
        <v>1</v>
      </c>
      <c r="Y119" s="9" t="s">
        <v>60</v>
      </c>
      <c r="Z119" s="11" t="s">
        <v>42</v>
      </c>
      <c r="AA119" s="11" t="s">
        <v>43</v>
      </c>
      <c r="AB119" s="11" t="s">
        <v>44</v>
      </c>
      <c r="AC119" s="9" t="s">
        <v>44</v>
      </c>
    </row>
    <row r="120" spans="1:29">
      <c r="A120" s="10">
        <v>113</v>
      </c>
      <c r="B120" s="10" t="s">
        <v>275</v>
      </c>
      <c r="C120" s="10" t="s">
        <v>200</v>
      </c>
      <c r="D120" s="10" t="s">
        <v>201</v>
      </c>
      <c r="E120" s="10" t="s">
        <v>34</v>
      </c>
      <c r="F120" s="10" t="s">
        <v>144</v>
      </c>
      <c r="G120" s="8" t="s">
        <v>52</v>
      </c>
      <c r="H120" s="8" t="s">
        <v>65</v>
      </c>
      <c r="I120" s="8" t="s">
        <v>151</v>
      </c>
      <c r="J120" s="10">
        <v>134</v>
      </c>
      <c r="K120" s="10" t="s">
        <v>249</v>
      </c>
      <c r="L120" s="10" t="s">
        <v>40</v>
      </c>
      <c r="M120" s="12">
        <v>1</v>
      </c>
      <c r="N120" s="15">
        <v>12000.0</v>
      </c>
      <c r="O120" s="15">
        <v>1200.0</v>
      </c>
      <c r="P120" s="17">
        <f>IF(N120&gt;0, O120/N120, 0)</f>
        <v>0.1</v>
      </c>
      <c r="Q120" s="15">
        <f>N120-O120</f>
        <v>10800</v>
      </c>
      <c r="R120" s="15">
        <f>M120*N120</f>
        <v>12000</v>
      </c>
      <c r="S120" s="15">
        <f>M120*O120</f>
        <v>1200</v>
      </c>
      <c r="T120" s="15">
        <f>M120*Q120</f>
        <v>10800</v>
      </c>
      <c r="U120" s="15"/>
      <c r="V120" s="15">
        <f>M120*U120</f>
        <v>0</v>
      </c>
      <c r="W120" s="15">
        <f>T120-V120</f>
        <v>10800</v>
      </c>
      <c r="X120" s="17">
        <f>IF(T120&gt;0, W120/T120, 0)</f>
        <v>1</v>
      </c>
      <c r="Y120" s="8" t="s">
        <v>60</v>
      </c>
      <c r="Z120" s="10" t="s">
        <v>42</v>
      </c>
      <c r="AA120" s="10" t="s">
        <v>43</v>
      </c>
      <c r="AB120" s="10" t="s">
        <v>44</v>
      </c>
      <c r="AC120" s="8" t="s">
        <v>146</v>
      </c>
    </row>
    <row r="121" spans="1:29">
      <c r="A121" s="11">
        <v>114</v>
      </c>
      <c r="B121" s="11" t="s">
        <v>276</v>
      </c>
      <c r="C121" s="11" t="s">
        <v>200</v>
      </c>
      <c r="D121" s="11" t="s">
        <v>201</v>
      </c>
      <c r="E121" s="11" t="s">
        <v>34</v>
      </c>
      <c r="F121" s="11" t="s">
        <v>35</v>
      </c>
      <c r="G121" s="9" t="s">
        <v>52</v>
      </c>
      <c r="H121" s="9" t="s">
        <v>37</v>
      </c>
      <c r="I121" s="9" t="s">
        <v>75</v>
      </c>
      <c r="J121" s="11">
        <v>134</v>
      </c>
      <c r="K121" s="11" t="s">
        <v>149</v>
      </c>
      <c r="L121" s="11" t="s">
        <v>55</v>
      </c>
      <c r="M121" s="13">
        <v>2</v>
      </c>
      <c r="N121" s="16">
        <v>8000.0</v>
      </c>
      <c r="O121" s="16"/>
      <c r="P121" s="18">
        <f>IF(N121&gt;0, O121/N121, 0)</f>
        <v>0</v>
      </c>
      <c r="Q121" s="16">
        <f>N121-O121</f>
        <v>8000</v>
      </c>
      <c r="R121" s="16">
        <f>M121*N121</f>
        <v>16000</v>
      </c>
      <c r="S121" s="16">
        <f>M121*O121</f>
        <v>0</v>
      </c>
      <c r="T121" s="16">
        <f>M121*Q121</f>
        <v>16000</v>
      </c>
      <c r="U121" s="16"/>
      <c r="V121" s="16">
        <f>M121*U121</f>
        <v>0</v>
      </c>
      <c r="W121" s="16">
        <f>T121-V121</f>
        <v>16000</v>
      </c>
      <c r="X121" s="18">
        <f>IF(T121&gt;0, W121/T121, 0)</f>
        <v>1</v>
      </c>
      <c r="Y121" s="9" t="s">
        <v>60</v>
      </c>
      <c r="Z121" s="11" t="s">
        <v>42</v>
      </c>
      <c r="AA121" s="11" t="s">
        <v>43</v>
      </c>
      <c r="AB121" s="11" t="s">
        <v>44</v>
      </c>
      <c r="AC121" s="9" t="s">
        <v>44</v>
      </c>
    </row>
    <row r="122" spans="1:29">
      <c r="A122" s="10">
        <v>115</v>
      </c>
      <c r="B122" s="10" t="s">
        <v>277</v>
      </c>
      <c r="C122" s="10" t="s">
        <v>200</v>
      </c>
      <c r="D122" s="10" t="s">
        <v>201</v>
      </c>
      <c r="E122" s="10" t="s">
        <v>34</v>
      </c>
      <c r="F122" s="10" t="s">
        <v>144</v>
      </c>
      <c r="G122" s="8" t="s">
        <v>52</v>
      </c>
      <c r="H122" s="8" t="s">
        <v>65</v>
      </c>
      <c r="I122" s="8" t="s">
        <v>151</v>
      </c>
      <c r="J122" s="10">
        <v>134</v>
      </c>
      <c r="K122" s="10" t="s">
        <v>249</v>
      </c>
      <c r="L122" s="10" t="s">
        <v>40</v>
      </c>
      <c r="M122" s="12">
        <v>1</v>
      </c>
      <c r="N122" s="15">
        <v>12000.0</v>
      </c>
      <c r="O122" s="15"/>
      <c r="P122" s="17">
        <f>IF(N122&gt;0, O122/N122, 0)</f>
        <v>0</v>
      </c>
      <c r="Q122" s="15">
        <f>N122-O122</f>
        <v>12000</v>
      </c>
      <c r="R122" s="15">
        <f>M122*N122</f>
        <v>12000</v>
      </c>
      <c r="S122" s="15">
        <f>M122*O122</f>
        <v>0</v>
      </c>
      <c r="T122" s="15">
        <f>M122*Q122</f>
        <v>12000</v>
      </c>
      <c r="U122" s="15"/>
      <c r="V122" s="15">
        <f>M122*U122</f>
        <v>0</v>
      </c>
      <c r="W122" s="15">
        <f>T122-V122</f>
        <v>12000</v>
      </c>
      <c r="X122" s="17">
        <f>IF(T122&gt;0, W122/T122, 0)</f>
        <v>1</v>
      </c>
      <c r="Y122" s="8" t="s">
        <v>60</v>
      </c>
      <c r="Z122" s="10" t="s">
        <v>42</v>
      </c>
      <c r="AA122" s="10" t="s">
        <v>43</v>
      </c>
      <c r="AB122" s="10" t="s">
        <v>44</v>
      </c>
      <c r="AC122" s="8" t="s">
        <v>278</v>
      </c>
    </row>
    <row r="123" spans="1:29">
      <c r="A123" s="11">
        <v>116</v>
      </c>
      <c r="B123" s="11" t="s">
        <v>279</v>
      </c>
      <c r="C123" s="11" t="s">
        <v>200</v>
      </c>
      <c r="D123" s="11" t="s">
        <v>201</v>
      </c>
      <c r="E123" s="11" t="s">
        <v>34</v>
      </c>
      <c r="F123" s="11" t="s">
        <v>144</v>
      </c>
      <c r="G123" s="9" t="s">
        <v>161</v>
      </c>
      <c r="H123" s="9" t="s">
        <v>162</v>
      </c>
      <c r="I123" s="9" t="s">
        <v>162</v>
      </c>
      <c r="J123" s="11" t="s">
        <v>44</v>
      </c>
      <c r="K123" s="11" t="s">
        <v>280</v>
      </c>
      <c r="L123" s="11" t="s">
        <v>40</v>
      </c>
      <c r="M123" s="13">
        <v>1</v>
      </c>
      <c r="N123" s="16">
        <v>5000.0</v>
      </c>
      <c r="O123" s="16"/>
      <c r="P123" s="18">
        <f>IF(N123&gt;0, O123/N123, 0)</f>
        <v>0</v>
      </c>
      <c r="Q123" s="16">
        <f>N123-O123</f>
        <v>5000</v>
      </c>
      <c r="R123" s="16">
        <f>M123*N123</f>
        <v>5000</v>
      </c>
      <c r="S123" s="16">
        <f>M123*O123</f>
        <v>0</v>
      </c>
      <c r="T123" s="16">
        <f>M123*Q123</f>
        <v>5000</v>
      </c>
      <c r="U123" s="16"/>
      <c r="V123" s="16">
        <f>M123*U123</f>
        <v>0</v>
      </c>
      <c r="W123" s="16">
        <f>T123-V123</f>
        <v>5000</v>
      </c>
      <c r="X123" s="18">
        <f>IF(T123&gt;0, W123/T123, 0)</f>
        <v>1</v>
      </c>
      <c r="Y123" s="9" t="s">
        <v>60</v>
      </c>
      <c r="Z123" s="11" t="s">
        <v>42</v>
      </c>
      <c r="AA123" s="11" t="s">
        <v>43</v>
      </c>
      <c r="AB123" s="11" t="s">
        <v>44</v>
      </c>
      <c r="AC123" s="9" t="s">
        <v>146</v>
      </c>
    </row>
    <row r="124" spans="1:29">
      <c r="A124" s="10">
        <v>117</v>
      </c>
      <c r="B124" s="10" t="s">
        <v>281</v>
      </c>
      <c r="C124" s="10" t="s">
        <v>200</v>
      </c>
      <c r="D124" s="10" t="s">
        <v>201</v>
      </c>
      <c r="E124" s="10" t="s">
        <v>34</v>
      </c>
      <c r="F124" s="10" t="s">
        <v>35</v>
      </c>
      <c r="G124" s="8" t="s">
        <v>52</v>
      </c>
      <c r="H124" s="8" t="s">
        <v>53</v>
      </c>
      <c r="I124" s="8" t="s">
        <v>53</v>
      </c>
      <c r="J124" s="10">
        <v>140</v>
      </c>
      <c r="K124" s="10" t="s">
        <v>282</v>
      </c>
      <c r="L124" s="10" t="s">
        <v>55</v>
      </c>
      <c r="M124" s="12">
        <v>2</v>
      </c>
      <c r="N124" s="15">
        <v>8000.0</v>
      </c>
      <c r="O124" s="15"/>
      <c r="P124" s="17">
        <f>IF(N124&gt;0, O124/N124, 0)</f>
        <v>0</v>
      </c>
      <c r="Q124" s="15">
        <f>N124-O124</f>
        <v>8000</v>
      </c>
      <c r="R124" s="15">
        <f>M124*N124</f>
        <v>16000</v>
      </c>
      <c r="S124" s="15">
        <f>M124*O124</f>
        <v>0</v>
      </c>
      <c r="T124" s="15">
        <f>M124*Q124</f>
        <v>16000</v>
      </c>
      <c r="U124" s="15"/>
      <c r="V124" s="15">
        <f>M124*U124</f>
        <v>0</v>
      </c>
      <c r="W124" s="15">
        <f>T124-V124</f>
        <v>16000</v>
      </c>
      <c r="X124" s="17">
        <f>IF(T124&gt;0, W124/T124, 0)</f>
        <v>1</v>
      </c>
      <c r="Y124" s="8" t="s">
        <v>60</v>
      </c>
      <c r="Z124" s="10" t="s">
        <v>42</v>
      </c>
      <c r="AA124" s="10" t="s">
        <v>43</v>
      </c>
      <c r="AB124" s="10" t="s">
        <v>44</v>
      </c>
      <c r="AC124" s="8" t="s">
        <v>44</v>
      </c>
    </row>
    <row r="125" spans="1:29">
      <c r="A125" s="11">
        <v>118</v>
      </c>
      <c r="B125" s="11" t="s">
        <v>283</v>
      </c>
      <c r="C125" s="11" t="s">
        <v>200</v>
      </c>
      <c r="D125" s="11" t="s">
        <v>201</v>
      </c>
      <c r="E125" s="11" t="s">
        <v>34</v>
      </c>
      <c r="F125" s="11" t="s">
        <v>35</v>
      </c>
      <c r="G125" s="9" t="s">
        <v>52</v>
      </c>
      <c r="H125" s="9" t="s">
        <v>58</v>
      </c>
      <c r="I125" s="9" t="s">
        <v>58</v>
      </c>
      <c r="J125" s="11">
        <v>134</v>
      </c>
      <c r="K125" s="11" t="s">
        <v>284</v>
      </c>
      <c r="L125" s="11" t="s">
        <v>40</v>
      </c>
      <c r="M125" s="13">
        <v>2</v>
      </c>
      <c r="N125" s="16">
        <v>8000.0</v>
      </c>
      <c r="O125" s="16"/>
      <c r="P125" s="18">
        <f>IF(N125&gt;0, O125/N125, 0)</f>
        <v>0</v>
      </c>
      <c r="Q125" s="16">
        <f>N125-O125</f>
        <v>8000</v>
      </c>
      <c r="R125" s="16">
        <f>M125*N125</f>
        <v>16000</v>
      </c>
      <c r="S125" s="16">
        <f>M125*O125</f>
        <v>0</v>
      </c>
      <c r="T125" s="16">
        <f>M125*Q125</f>
        <v>16000</v>
      </c>
      <c r="U125" s="16"/>
      <c r="V125" s="16">
        <f>M125*U125</f>
        <v>0</v>
      </c>
      <c r="W125" s="16">
        <f>T125-V125</f>
        <v>16000</v>
      </c>
      <c r="X125" s="18">
        <f>IF(T125&gt;0, W125/T125, 0)</f>
        <v>1</v>
      </c>
      <c r="Y125" s="9" t="s">
        <v>60</v>
      </c>
      <c r="Z125" s="11" t="s">
        <v>42</v>
      </c>
      <c r="AA125" s="11" t="s">
        <v>43</v>
      </c>
      <c r="AB125" s="11" t="s">
        <v>44</v>
      </c>
      <c r="AC125" s="9" t="s">
        <v>44</v>
      </c>
    </row>
    <row r="126" spans="1:29">
      <c r="A126" s="10">
        <v>119</v>
      </c>
      <c r="B126" s="10" t="s">
        <v>285</v>
      </c>
      <c r="C126" s="10" t="s">
        <v>200</v>
      </c>
      <c r="D126" s="10" t="s">
        <v>201</v>
      </c>
      <c r="E126" s="10" t="s">
        <v>34</v>
      </c>
      <c r="F126" s="10" t="s">
        <v>144</v>
      </c>
      <c r="G126" s="8" t="s">
        <v>36</v>
      </c>
      <c r="H126" s="8" t="s">
        <v>71</v>
      </c>
      <c r="I126" s="8" t="s">
        <v>286</v>
      </c>
      <c r="J126" s="10">
        <v>140</v>
      </c>
      <c r="K126" s="10" t="s">
        <v>287</v>
      </c>
      <c r="L126" s="10" t="s">
        <v>40</v>
      </c>
      <c r="M126" s="12">
        <v>1</v>
      </c>
      <c r="N126" s="15">
        <v>18000.0</v>
      </c>
      <c r="O126" s="15"/>
      <c r="P126" s="17">
        <f>IF(N126&gt;0, O126/N126, 0)</f>
        <v>0</v>
      </c>
      <c r="Q126" s="15">
        <f>N126-O126</f>
        <v>18000</v>
      </c>
      <c r="R126" s="15">
        <f>M126*N126</f>
        <v>18000</v>
      </c>
      <c r="S126" s="15">
        <f>M126*O126</f>
        <v>0</v>
      </c>
      <c r="T126" s="15">
        <f>M126*Q126</f>
        <v>18000</v>
      </c>
      <c r="U126" s="15"/>
      <c r="V126" s="15">
        <f>M126*U126</f>
        <v>0</v>
      </c>
      <c r="W126" s="15">
        <f>T126-V126</f>
        <v>18000</v>
      </c>
      <c r="X126" s="17">
        <f>IF(T126&gt;0, W126/T126, 0)</f>
        <v>1</v>
      </c>
      <c r="Y126" s="8" t="s">
        <v>60</v>
      </c>
      <c r="Z126" s="10" t="s">
        <v>42</v>
      </c>
      <c r="AA126" s="10" t="s">
        <v>43</v>
      </c>
      <c r="AB126" s="10" t="s">
        <v>44</v>
      </c>
      <c r="AC126" s="8" t="s">
        <v>146</v>
      </c>
    </row>
    <row r="127" spans="1:29">
      <c r="A127" s="11">
        <v>120</v>
      </c>
      <c r="B127" s="11" t="s">
        <v>288</v>
      </c>
      <c r="C127" s="11" t="s">
        <v>200</v>
      </c>
      <c r="D127" s="11" t="s">
        <v>201</v>
      </c>
      <c r="E127" s="11" t="s">
        <v>34</v>
      </c>
      <c r="F127" s="11" t="s">
        <v>35</v>
      </c>
      <c r="G127" s="9" t="s">
        <v>36</v>
      </c>
      <c r="H127" s="9" t="s">
        <v>53</v>
      </c>
      <c r="I127" s="9" t="s">
        <v>53</v>
      </c>
      <c r="J127" s="11">
        <v>158</v>
      </c>
      <c r="K127" s="11" t="s">
        <v>124</v>
      </c>
      <c r="L127" s="11" t="s">
        <v>40</v>
      </c>
      <c r="M127" s="13">
        <v>1</v>
      </c>
      <c r="N127" s="16">
        <v>8500.0</v>
      </c>
      <c r="O127" s="16"/>
      <c r="P127" s="18">
        <f>IF(N127&gt;0, O127/N127, 0)</f>
        <v>0</v>
      </c>
      <c r="Q127" s="16">
        <f>N127-O127</f>
        <v>8500</v>
      </c>
      <c r="R127" s="16">
        <f>M127*N127</f>
        <v>8500</v>
      </c>
      <c r="S127" s="16">
        <f>M127*O127</f>
        <v>0</v>
      </c>
      <c r="T127" s="16">
        <f>M127*Q127</f>
        <v>8500</v>
      </c>
      <c r="U127" s="16"/>
      <c r="V127" s="16">
        <f>M127*U127</f>
        <v>0</v>
      </c>
      <c r="W127" s="16">
        <f>T127-V127</f>
        <v>8500</v>
      </c>
      <c r="X127" s="18">
        <f>IF(T127&gt;0, W127/T127, 0)</f>
        <v>1</v>
      </c>
      <c r="Y127" s="9" t="s">
        <v>60</v>
      </c>
      <c r="Z127" s="11" t="s">
        <v>42</v>
      </c>
      <c r="AA127" s="11" t="s">
        <v>43</v>
      </c>
      <c r="AB127" s="11" t="s">
        <v>44</v>
      </c>
      <c r="AC127" s="9" t="s">
        <v>44</v>
      </c>
    </row>
    <row r="128" spans="1:29">
      <c r="A128" s="10">
        <v>121</v>
      </c>
      <c r="B128" s="10" t="s">
        <v>289</v>
      </c>
      <c r="C128" s="10" t="s">
        <v>200</v>
      </c>
      <c r="D128" s="10" t="s">
        <v>201</v>
      </c>
      <c r="E128" s="10" t="s">
        <v>34</v>
      </c>
      <c r="F128" s="10" t="s">
        <v>35</v>
      </c>
      <c r="G128" s="8" t="s">
        <v>36</v>
      </c>
      <c r="H128" s="8" t="s">
        <v>37</v>
      </c>
      <c r="I128" s="8" t="s">
        <v>38</v>
      </c>
      <c r="J128" s="10">
        <v>170</v>
      </c>
      <c r="K128" s="10" t="s">
        <v>145</v>
      </c>
      <c r="L128" s="10" t="s">
        <v>40</v>
      </c>
      <c r="M128" s="12">
        <v>1</v>
      </c>
      <c r="N128" s="15">
        <v>8000.0</v>
      </c>
      <c r="O128" s="15"/>
      <c r="P128" s="17">
        <f>IF(N128&gt;0, O128/N128, 0)</f>
        <v>0</v>
      </c>
      <c r="Q128" s="15">
        <f>N128-O128</f>
        <v>8000</v>
      </c>
      <c r="R128" s="15">
        <f>M128*N128</f>
        <v>8000</v>
      </c>
      <c r="S128" s="15">
        <f>M128*O128</f>
        <v>0</v>
      </c>
      <c r="T128" s="15">
        <f>M128*Q128</f>
        <v>8000</v>
      </c>
      <c r="U128" s="15"/>
      <c r="V128" s="15">
        <f>M128*U128</f>
        <v>0</v>
      </c>
      <c r="W128" s="15">
        <f>T128-V128</f>
        <v>8000</v>
      </c>
      <c r="X128" s="17">
        <f>IF(T128&gt;0, W128/T128, 0)</f>
        <v>1</v>
      </c>
      <c r="Y128" s="8" t="s">
        <v>60</v>
      </c>
      <c r="Z128" s="10" t="s">
        <v>42</v>
      </c>
      <c r="AA128" s="10" t="s">
        <v>43</v>
      </c>
      <c r="AB128" s="10" t="s">
        <v>44</v>
      </c>
      <c r="AC128" s="8" t="s">
        <v>44</v>
      </c>
    </row>
    <row r="129" spans="1:29">
      <c r="A129" s="11">
        <v>122</v>
      </c>
      <c r="B129" s="11" t="s">
        <v>290</v>
      </c>
      <c r="C129" s="11" t="s">
        <v>200</v>
      </c>
      <c r="D129" s="11" t="s">
        <v>201</v>
      </c>
      <c r="E129" s="11" t="s">
        <v>34</v>
      </c>
      <c r="F129" s="11" t="s">
        <v>35</v>
      </c>
      <c r="G129" s="9" t="s">
        <v>36</v>
      </c>
      <c r="H129" s="9" t="s">
        <v>53</v>
      </c>
      <c r="I129" s="9" t="s">
        <v>53</v>
      </c>
      <c r="J129" s="11">
        <v>164</v>
      </c>
      <c r="K129" s="11" t="s">
        <v>63</v>
      </c>
      <c r="L129" s="11" t="s">
        <v>40</v>
      </c>
      <c r="M129" s="13">
        <v>1</v>
      </c>
      <c r="N129" s="16">
        <v>8500.0</v>
      </c>
      <c r="O129" s="16"/>
      <c r="P129" s="18">
        <f>IF(N129&gt;0, O129/N129, 0)</f>
        <v>0</v>
      </c>
      <c r="Q129" s="16">
        <f>N129-O129</f>
        <v>8500</v>
      </c>
      <c r="R129" s="16">
        <f>M129*N129</f>
        <v>8500</v>
      </c>
      <c r="S129" s="16">
        <f>M129*O129</f>
        <v>0</v>
      </c>
      <c r="T129" s="16">
        <f>M129*Q129</f>
        <v>8500</v>
      </c>
      <c r="U129" s="16"/>
      <c r="V129" s="16">
        <f>M129*U129</f>
        <v>0</v>
      </c>
      <c r="W129" s="16">
        <f>T129-V129</f>
        <v>8500</v>
      </c>
      <c r="X129" s="18">
        <f>IF(T129&gt;0, W129/T129, 0)</f>
        <v>1</v>
      </c>
      <c r="Y129" s="9" t="s">
        <v>60</v>
      </c>
      <c r="Z129" s="11" t="s">
        <v>42</v>
      </c>
      <c r="AA129" s="11" t="s">
        <v>43</v>
      </c>
      <c r="AB129" s="11" t="s">
        <v>44</v>
      </c>
      <c r="AC129" s="9" t="s">
        <v>44</v>
      </c>
    </row>
    <row r="130" spans="1:29">
      <c r="A130" s="10">
        <v>123</v>
      </c>
      <c r="B130" s="10" t="s">
        <v>291</v>
      </c>
      <c r="C130" s="10" t="s">
        <v>200</v>
      </c>
      <c r="D130" s="10" t="s">
        <v>201</v>
      </c>
      <c r="E130" s="10" t="s">
        <v>34</v>
      </c>
      <c r="F130" s="10" t="s">
        <v>35</v>
      </c>
      <c r="G130" s="8" t="s">
        <v>52</v>
      </c>
      <c r="H130" s="8" t="s">
        <v>37</v>
      </c>
      <c r="I130" s="8" t="s">
        <v>38</v>
      </c>
      <c r="J130" s="10">
        <v>140</v>
      </c>
      <c r="K130" s="10" t="s">
        <v>226</v>
      </c>
      <c r="L130" s="10" t="s">
        <v>55</v>
      </c>
      <c r="M130" s="12">
        <v>3</v>
      </c>
      <c r="N130" s="15">
        <v>7000.0</v>
      </c>
      <c r="O130" s="15"/>
      <c r="P130" s="17">
        <f>IF(N130&gt;0, O130/N130, 0)</f>
        <v>0</v>
      </c>
      <c r="Q130" s="15">
        <f>N130-O130</f>
        <v>7000</v>
      </c>
      <c r="R130" s="15">
        <f>M130*N130</f>
        <v>21000</v>
      </c>
      <c r="S130" s="15">
        <f>M130*O130</f>
        <v>0</v>
      </c>
      <c r="T130" s="15">
        <f>M130*Q130</f>
        <v>21000</v>
      </c>
      <c r="U130" s="15"/>
      <c r="V130" s="15">
        <f>M130*U130</f>
        <v>0</v>
      </c>
      <c r="W130" s="15">
        <f>T130-V130</f>
        <v>21000</v>
      </c>
      <c r="X130" s="17">
        <f>IF(T130&gt;0, W130/T130, 0)</f>
        <v>1</v>
      </c>
      <c r="Y130" s="8" t="s">
        <v>60</v>
      </c>
      <c r="Z130" s="10" t="s">
        <v>42</v>
      </c>
      <c r="AA130" s="10" t="s">
        <v>43</v>
      </c>
      <c r="AB130" s="10" t="s">
        <v>44</v>
      </c>
      <c r="AC130" s="8" t="s">
        <v>44</v>
      </c>
    </row>
    <row r="131" spans="1:29">
      <c r="A131" s="11">
        <v>124</v>
      </c>
      <c r="B131" s="11" t="s">
        <v>292</v>
      </c>
      <c r="C131" s="11" t="s">
        <v>200</v>
      </c>
      <c r="D131" s="11" t="s">
        <v>201</v>
      </c>
      <c r="E131" s="11" t="s">
        <v>34</v>
      </c>
      <c r="F131" s="11" t="s">
        <v>35</v>
      </c>
      <c r="G131" s="9" t="s">
        <v>52</v>
      </c>
      <c r="H131" s="9" t="s">
        <v>47</v>
      </c>
      <c r="I131" s="9" t="s">
        <v>48</v>
      </c>
      <c r="J131" s="11">
        <v>128</v>
      </c>
      <c r="K131" s="11" t="s">
        <v>186</v>
      </c>
      <c r="L131" s="11" t="s">
        <v>40</v>
      </c>
      <c r="M131" s="13">
        <v>1</v>
      </c>
      <c r="N131" s="16">
        <v>18000.0</v>
      </c>
      <c r="O131" s="16"/>
      <c r="P131" s="18">
        <f>IF(N131&gt;0, O131/N131, 0)</f>
        <v>0</v>
      </c>
      <c r="Q131" s="16">
        <f>N131-O131</f>
        <v>18000</v>
      </c>
      <c r="R131" s="16">
        <f>M131*N131</f>
        <v>18000</v>
      </c>
      <c r="S131" s="16">
        <f>M131*O131</f>
        <v>0</v>
      </c>
      <c r="T131" s="16">
        <f>M131*Q131</f>
        <v>18000</v>
      </c>
      <c r="U131" s="16"/>
      <c r="V131" s="16">
        <f>M131*U131</f>
        <v>0</v>
      </c>
      <c r="W131" s="16">
        <f>T131-V131</f>
        <v>18000</v>
      </c>
      <c r="X131" s="18">
        <f>IF(T131&gt;0, W131/T131, 0)</f>
        <v>1</v>
      </c>
      <c r="Y131" s="9" t="s">
        <v>60</v>
      </c>
      <c r="Z131" s="11" t="s">
        <v>42</v>
      </c>
      <c r="AA131" s="11" t="s">
        <v>43</v>
      </c>
      <c r="AB131" s="11" t="s">
        <v>44</v>
      </c>
      <c r="AC131" s="9" t="s">
        <v>44</v>
      </c>
    </row>
    <row r="132" spans="1:29">
      <c r="A132" s="10">
        <v>125</v>
      </c>
      <c r="B132" s="10" t="s">
        <v>293</v>
      </c>
      <c r="C132" s="10" t="s">
        <v>200</v>
      </c>
      <c r="D132" s="10" t="s">
        <v>201</v>
      </c>
      <c r="E132" s="10" t="s">
        <v>70</v>
      </c>
      <c r="F132" s="10" t="s">
        <v>35</v>
      </c>
      <c r="G132" s="8" t="s">
        <v>36</v>
      </c>
      <c r="H132" s="8" t="s">
        <v>37</v>
      </c>
      <c r="I132" s="8" t="s">
        <v>75</v>
      </c>
      <c r="J132" s="10">
        <v>158</v>
      </c>
      <c r="K132" s="10" t="s">
        <v>294</v>
      </c>
      <c r="L132" s="10" t="s">
        <v>40</v>
      </c>
      <c r="M132" s="12">
        <v>2</v>
      </c>
      <c r="N132" s="15">
        <v>11000.0</v>
      </c>
      <c r="O132" s="15"/>
      <c r="P132" s="17">
        <f>IF(N132&gt;0, O132/N132, 0)</f>
        <v>0</v>
      </c>
      <c r="Q132" s="15">
        <f>N132-O132</f>
        <v>11000</v>
      </c>
      <c r="R132" s="15">
        <f>M132*N132</f>
        <v>22000</v>
      </c>
      <c r="S132" s="15">
        <f>M132*O132</f>
        <v>0</v>
      </c>
      <c r="T132" s="15">
        <f>M132*Q132</f>
        <v>22000</v>
      </c>
      <c r="U132" s="15"/>
      <c r="V132" s="15">
        <f>M132*U132</f>
        <v>0</v>
      </c>
      <c r="W132" s="15">
        <f>T132-V132</f>
        <v>22000</v>
      </c>
      <c r="X132" s="17">
        <f>IF(T132&gt;0, W132/T132, 0)</f>
        <v>1</v>
      </c>
      <c r="Y132" s="8" t="s">
        <v>60</v>
      </c>
      <c r="Z132" s="10" t="s">
        <v>42</v>
      </c>
      <c r="AA132" s="10" t="s">
        <v>73</v>
      </c>
      <c r="AB132" s="10" t="s">
        <v>44</v>
      </c>
      <c r="AC132" s="8" t="s">
        <v>44</v>
      </c>
    </row>
    <row r="133" spans="1:29">
      <c r="A133" s="11">
        <v>126</v>
      </c>
      <c r="B133" s="11" t="s">
        <v>295</v>
      </c>
      <c r="C133" s="11" t="s">
        <v>200</v>
      </c>
      <c r="D133" s="11" t="s">
        <v>201</v>
      </c>
      <c r="E133" s="11" t="s">
        <v>34</v>
      </c>
      <c r="F133" s="11" t="s">
        <v>144</v>
      </c>
      <c r="G133" s="9" t="s">
        <v>36</v>
      </c>
      <c r="H133" s="9" t="s">
        <v>71</v>
      </c>
      <c r="I133" s="9" t="s">
        <v>71</v>
      </c>
      <c r="J133" s="11">
        <v>158</v>
      </c>
      <c r="K133" s="11" t="s">
        <v>263</v>
      </c>
      <c r="L133" s="11" t="s">
        <v>40</v>
      </c>
      <c r="M133" s="13">
        <v>1</v>
      </c>
      <c r="N133" s="16">
        <v>18000.0</v>
      </c>
      <c r="O133" s="16"/>
      <c r="P133" s="18">
        <f>IF(N133&gt;0, O133/N133, 0)</f>
        <v>0</v>
      </c>
      <c r="Q133" s="16">
        <f>N133-O133</f>
        <v>18000</v>
      </c>
      <c r="R133" s="16">
        <f>M133*N133</f>
        <v>18000</v>
      </c>
      <c r="S133" s="16">
        <f>M133*O133</f>
        <v>0</v>
      </c>
      <c r="T133" s="16">
        <f>M133*Q133</f>
        <v>18000</v>
      </c>
      <c r="U133" s="16"/>
      <c r="V133" s="16">
        <f>M133*U133</f>
        <v>0</v>
      </c>
      <c r="W133" s="16">
        <f>T133-V133</f>
        <v>18000</v>
      </c>
      <c r="X133" s="18">
        <f>IF(T133&gt;0, W133/T133, 0)</f>
        <v>1</v>
      </c>
      <c r="Y133" s="9" t="s">
        <v>60</v>
      </c>
      <c r="Z133" s="11" t="s">
        <v>42</v>
      </c>
      <c r="AA133" s="11" t="s">
        <v>43</v>
      </c>
      <c r="AB133" s="11" t="s">
        <v>44</v>
      </c>
      <c r="AC133" s="9" t="s">
        <v>146</v>
      </c>
    </row>
    <row r="134" spans="1:29">
      <c r="A134" s="10">
        <v>127</v>
      </c>
      <c r="B134" s="10" t="s">
        <v>296</v>
      </c>
      <c r="C134" s="10" t="s">
        <v>200</v>
      </c>
      <c r="D134" s="10" t="s">
        <v>201</v>
      </c>
      <c r="E134" s="10" t="s">
        <v>34</v>
      </c>
      <c r="F134" s="10" t="s">
        <v>144</v>
      </c>
      <c r="G134" s="8" t="s">
        <v>161</v>
      </c>
      <c r="H134" s="8" t="s">
        <v>162</v>
      </c>
      <c r="I134" s="8" t="s">
        <v>162</v>
      </c>
      <c r="J134" s="10" t="s">
        <v>44</v>
      </c>
      <c r="K134" s="10" t="s">
        <v>297</v>
      </c>
      <c r="L134" s="10" t="s">
        <v>40</v>
      </c>
      <c r="M134" s="12">
        <v>1</v>
      </c>
      <c r="N134" s="15">
        <v>5000.0</v>
      </c>
      <c r="O134" s="15"/>
      <c r="P134" s="17">
        <f>IF(N134&gt;0, O134/N134, 0)</f>
        <v>0</v>
      </c>
      <c r="Q134" s="15">
        <f>N134-O134</f>
        <v>5000</v>
      </c>
      <c r="R134" s="15">
        <f>M134*N134</f>
        <v>5000</v>
      </c>
      <c r="S134" s="15">
        <f>M134*O134</f>
        <v>0</v>
      </c>
      <c r="T134" s="15">
        <f>M134*Q134</f>
        <v>5000</v>
      </c>
      <c r="U134" s="15"/>
      <c r="V134" s="15">
        <f>M134*U134</f>
        <v>0</v>
      </c>
      <c r="W134" s="15">
        <f>T134-V134</f>
        <v>5000</v>
      </c>
      <c r="X134" s="17">
        <f>IF(T134&gt;0, W134/T134, 0)</f>
        <v>1</v>
      </c>
      <c r="Y134" s="8" t="s">
        <v>60</v>
      </c>
      <c r="Z134" s="10" t="s">
        <v>42</v>
      </c>
      <c r="AA134" s="10" t="s">
        <v>43</v>
      </c>
      <c r="AB134" s="10" t="s">
        <v>44</v>
      </c>
      <c r="AC134" s="8" t="s">
        <v>146</v>
      </c>
    </row>
    <row r="135" spans="1:29">
      <c r="A135" s="11">
        <v>128</v>
      </c>
      <c r="B135" s="11" t="s">
        <v>298</v>
      </c>
      <c r="C135" s="11" t="s">
        <v>200</v>
      </c>
      <c r="D135" s="11" t="s">
        <v>201</v>
      </c>
      <c r="E135" s="11" t="s">
        <v>70</v>
      </c>
      <c r="F135" s="11" t="s">
        <v>35</v>
      </c>
      <c r="G135" s="9" t="s">
        <v>36</v>
      </c>
      <c r="H135" s="9" t="s">
        <v>71</v>
      </c>
      <c r="I135" s="9" t="s">
        <v>71</v>
      </c>
      <c r="J135" s="11">
        <v>164</v>
      </c>
      <c r="K135" s="11" t="s">
        <v>72</v>
      </c>
      <c r="L135" s="11" t="s">
        <v>40</v>
      </c>
      <c r="M135" s="13">
        <v>1</v>
      </c>
      <c r="N135" s="16">
        <v>18000.0</v>
      </c>
      <c r="O135" s="16"/>
      <c r="P135" s="18">
        <f>IF(N135&gt;0, O135/N135, 0)</f>
        <v>0</v>
      </c>
      <c r="Q135" s="16">
        <f>N135-O135</f>
        <v>18000</v>
      </c>
      <c r="R135" s="16">
        <f>M135*N135</f>
        <v>18000</v>
      </c>
      <c r="S135" s="16">
        <f>M135*O135</f>
        <v>0</v>
      </c>
      <c r="T135" s="16">
        <f>M135*Q135</f>
        <v>18000</v>
      </c>
      <c r="U135" s="16"/>
      <c r="V135" s="16">
        <f>M135*U135</f>
        <v>0</v>
      </c>
      <c r="W135" s="16">
        <f>T135-V135</f>
        <v>18000</v>
      </c>
      <c r="X135" s="18">
        <f>IF(T135&gt;0, W135/T135, 0)</f>
        <v>1</v>
      </c>
      <c r="Y135" s="9" t="s">
        <v>60</v>
      </c>
      <c r="Z135" s="11" t="s">
        <v>42</v>
      </c>
      <c r="AA135" s="11" t="s">
        <v>73</v>
      </c>
      <c r="AB135" s="11" t="s">
        <v>44</v>
      </c>
      <c r="AC135" s="9" t="s">
        <v>44</v>
      </c>
    </row>
    <row r="136" spans="1:29">
      <c r="A136" s="10">
        <v>129</v>
      </c>
      <c r="B136" s="10" t="s">
        <v>299</v>
      </c>
      <c r="C136" s="10" t="s">
        <v>200</v>
      </c>
      <c r="D136" s="10" t="s">
        <v>201</v>
      </c>
      <c r="E136" s="10" t="s">
        <v>70</v>
      </c>
      <c r="F136" s="10" t="s">
        <v>35</v>
      </c>
      <c r="G136" s="8" t="s">
        <v>36</v>
      </c>
      <c r="H136" s="8" t="s">
        <v>37</v>
      </c>
      <c r="I136" s="8" t="s">
        <v>38</v>
      </c>
      <c r="J136" s="10">
        <v>158</v>
      </c>
      <c r="K136" s="10" t="s">
        <v>39</v>
      </c>
      <c r="L136" s="10" t="s">
        <v>40</v>
      </c>
      <c r="M136" s="12">
        <v>1</v>
      </c>
      <c r="N136" s="15">
        <v>10000.0</v>
      </c>
      <c r="O136" s="15"/>
      <c r="P136" s="17">
        <f>IF(N136&gt;0, O136/N136, 0)</f>
        <v>0</v>
      </c>
      <c r="Q136" s="15">
        <f>N136-O136</f>
        <v>10000</v>
      </c>
      <c r="R136" s="15">
        <f>M136*N136</f>
        <v>10000</v>
      </c>
      <c r="S136" s="15">
        <f>M136*O136</f>
        <v>0</v>
      </c>
      <c r="T136" s="15">
        <f>M136*Q136</f>
        <v>10000</v>
      </c>
      <c r="U136" s="15"/>
      <c r="V136" s="15">
        <f>M136*U136</f>
        <v>0</v>
      </c>
      <c r="W136" s="15">
        <f>T136-V136</f>
        <v>10000</v>
      </c>
      <c r="X136" s="17">
        <f>IF(T136&gt;0, W136/T136, 0)</f>
        <v>1</v>
      </c>
      <c r="Y136" s="8" t="s">
        <v>60</v>
      </c>
      <c r="Z136" s="10" t="s">
        <v>42</v>
      </c>
      <c r="AA136" s="10" t="s">
        <v>73</v>
      </c>
      <c r="AB136" s="10" t="s">
        <v>44</v>
      </c>
      <c r="AC136" s="8" t="s">
        <v>44</v>
      </c>
    </row>
    <row r="137" spans="1:29">
      <c r="A137" s="11">
        <v>130</v>
      </c>
      <c r="B137" s="11" t="s">
        <v>300</v>
      </c>
      <c r="C137" s="11" t="s">
        <v>200</v>
      </c>
      <c r="D137" s="11" t="s">
        <v>201</v>
      </c>
      <c r="E137" s="11" t="s">
        <v>34</v>
      </c>
      <c r="F137" s="11" t="s">
        <v>35</v>
      </c>
      <c r="G137" s="9" t="s">
        <v>36</v>
      </c>
      <c r="H137" s="9" t="s">
        <v>58</v>
      </c>
      <c r="I137" s="9" t="s">
        <v>58</v>
      </c>
      <c r="J137" s="11">
        <v>158</v>
      </c>
      <c r="K137" s="11" t="s">
        <v>130</v>
      </c>
      <c r="L137" s="11" t="s">
        <v>40</v>
      </c>
      <c r="M137" s="13">
        <v>1</v>
      </c>
      <c r="N137" s="16">
        <v>9000.0</v>
      </c>
      <c r="O137" s="16"/>
      <c r="P137" s="18">
        <f>IF(N137&gt;0, O137/N137, 0)</f>
        <v>0</v>
      </c>
      <c r="Q137" s="16">
        <f>N137-O137</f>
        <v>9000</v>
      </c>
      <c r="R137" s="16">
        <f>M137*N137</f>
        <v>9000</v>
      </c>
      <c r="S137" s="16">
        <f>M137*O137</f>
        <v>0</v>
      </c>
      <c r="T137" s="16">
        <f>M137*Q137</f>
        <v>9000</v>
      </c>
      <c r="U137" s="16"/>
      <c r="V137" s="16">
        <f>M137*U137</f>
        <v>0</v>
      </c>
      <c r="W137" s="16">
        <f>T137-V137</f>
        <v>9000</v>
      </c>
      <c r="X137" s="18">
        <f>IF(T137&gt;0, W137/T137, 0)</f>
        <v>1</v>
      </c>
      <c r="Y137" s="9" t="s">
        <v>60</v>
      </c>
      <c r="Z137" s="11" t="s">
        <v>42</v>
      </c>
      <c r="AA137" s="11" t="s">
        <v>43</v>
      </c>
      <c r="AB137" s="11" t="s">
        <v>44</v>
      </c>
      <c r="AC137" s="9" t="s">
        <v>44</v>
      </c>
    </row>
    <row r="138" spans="1:29">
      <c r="A138" s="10">
        <v>131</v>
      </c>
      <c r="B138" s="10" t="s">
        <v>301</v>
      </c>
      <c r="C138" s="10" t="s">
        <v>200</v>
      </c>
      <c r="D138" s="10" t="s">
        <v>201</v>
      </c>
      <c r="E138" s="10" t="s">
        <v>34</v>
      </c>
      <c r="F138" s="10" t="s">
        <v>35</v>
      </c>
      <c r="G138" s="8" t="s">
        <v>36</v>
      </c>
      <c r="H138" s="8" t="s">
        <v>53</v>
      </c>
      <c r="I138" s="8" t="s">
        <v>53</v>
      </c>
      <c r="J138" s="10">
        <v>164</v>
      </c>
      <c r="K138" s="10" t="s">
        <v>63</v>
      </c>
      <c r="L138" s="10" t="s">
        <v>40</v>
      </c>
      <c r="M138" s="12">
        <v>1</v>
      </c>
      <c r="N138" s="15">
        <v>10000.0</v>
      </c>
      <c r="O138" s="15"/>
      <c r="P138" s="17">
        <f>IF(N138&gt;0, O138/N138, 0)</f>
        <v>0</v>
      </c>
      <c r="Q138" s="15">
        <f>N138-O138</f>
        <v>10000</v>
      </c>
      <c r="R138" s="15">
        <f>M138*N138</f>
        <v>10000</v>
      </c>
      <c r="S138" s="15">
        <f>M138*O138</f>
        <v>0</v>
      </c>
      <c r="T138" s="15">
        <f>M138*Q138</f>
        <v>10000</v>
      </c>
      <c r="U138" s="15"/>
      <c r="V138" s="15">
        <f>M138*U138</f>
        <v>0</v>
      </c>
      <c r="W138" s="15">
        <f>T138-V138</f>
        <v>10000</v>
      </c>
      <c r="X138" s="17">
        <f>IF(T138&gt;0, W138/T138, 0)</f>
        <v>1</v>
      </c>
      <c r="Y138" s="8" t="s">
        <v>60</v>
      </c>
      <c r="Z138" s="10" t="s">
        <v>42</v>
      </c>
      <c r="AA138" s="10" t="s">
        <v>43</v>
      </c>
      <c r="AB138" s="10" t="s">
        <v>44</v>
      </c>
      <c r="AC138" s="8" t="s">
        <v>44</v>
      </c>
    </row>
    <row r="139" spans="1:29">
      <c r="A139" s="11">
        <v>132</v>
      </c>
      <c r="B139" s="11" t="s">
        <v>302</v>
      </c>
      <c r="C139" s="11" t="s">
        <v>303</v>
      </c>
      <c r="D139" s="11" t="s">
        <v>201</v>
      </c>
      <c r="E139" s="11" t="s">
        <v>34</v>
      </c>
      <c r="F139" s="11" t="s">
        <v>35</v>
      </c>
      <c r="G139" s="9" t="s">
        <v>36</v>
      </c>
      <c r="H139" s="9" t="s">
        <v>71</v>
      </c>
      <c r="I139" s="9" t="s">
        <v>71</v>
      </c>
      <c r="J139" s="11">
        <v>152</v>
      </c>
      <c r="K139" s="11" t="s">
        <v>210</v>
      </c>
      <c r="L139" s="11" t="s">
        <v>40</v>
      </c>
      <c r="M139" s="13">
        <v>1</v>
      </c>
      <c r="N139" s="16">
        <v>16500.0</v>
      </c>
      <c r="O139" s="16"/>
      <c r="P139" s="18">
        <f>IF(N139&gt;0, O139/N139, 0)</f>
        <v>0</v>
      </c>
      <c r="Q139" s="16">
        <f>N139-O139</f>
        <v>16500</v>
      </c>
      <c r="R139" s="16">
        <f>M139*N139</f>
        <v>16500</v>
      </c>
      <c r="S139" s="16">
        <f>M139*O139</f>
        <v>0</v>
      </c>
      <c r="T139" s="16">
        <f>M139*Q139</f>
        <v>16500</v>
      </c>
      <c r="U139" s="16"/>
      <c r="V139" s="16">
        <f>M139*U139</f>
        <v>0</v>
      </c>
      <c r="W139" s="16">
        <f>T139-V139</f>
        <v>16500</v>
      </c>
      <c r="X139" s="18">
        <f>IF(T139&gt;0, W139/T139, 0)</f>
        <v>1</v>
      </c>
      <c r="Y139" s="9" t="s">
        <v>60</v>
      </c>
      <c r="Z139" s="11" t="s">
        <v>42</v>
      </c>
      <c r="AA139" s="11" t="s">
        <v>43</v>
      </c>
      <c r="AB139" s="11" t="s">
        <v>44</v>
      </c>
      <c r="AC139" s="9" t="s">
        <v>44</v>
      </c>
    </row>
    <row r="140" spans="1:29">
      <c r="A140" s="10">
        <v>133</v>
      </c>
      <c r="B140" s="10" t="s">
        <v>304</v>
      </c>
      <c r="C140" s="10" t="s">
        <v>303</v>
      </c>
      <c r="D140" s="10" t="s">
        <v>201</v>
      </c>
      <c r="E140" s="10" t="s">
        <v>34</v>
      </c>
      <c r="F140" s="10" t="s">
        <v>35</v>
      </c>
      <c r="G140" s="8" t="s">
        <v>36</v>
      </c>
      <c r="H140" s="8" t="s">
        <v>53</v>
      </c>
      <c r="I140" s="8" t="s">
        <v>53</v>
      </c>
      <c r="J140" s="10">
        <v>152</v>
      </c>
      <c r="K140" s="10" t="s">
        <v>305</v>
      </c>
      <c r="L140" s="10" t="s">
        <v>40</v>
      </c>
      <c r="M140" s="12">
        <v>1</v>
      </c>
      <c r="N140" s="15">
        <v>8500.0</v>
      </c>
      <c r="O140" s="15"/>
      <c r="P140" s="17">
        <f>IF(N140&gt;0, O140/N140, 0)</f>
        <v>0</v>
      </c>
      <c r="Q140" s="15">
        <f>N140-O140</f>
        <v>8500</v>
      </c>
      <c r="R140" s="15">
        <f>M140*N140</f>
        <v>8500</v>
      </c>
      <c r="S140" s="15">
        <f>M140*O140</f>
        <v>0</v>
      </c>
      <c r="T140" s="15">
        <f>M140*Q140</f>
        <v>8500</v>
      </c>
      <c r="U140" s="15"/>
      <c r="V140" s="15">
        <f>M140*U140</f>
        <v>0</v>
      </c>
      <c r="W140" s="15">
        <f>T140-V140</f>
        <v>8500</v>
      </c>
      <c r="X140" s="17">
        <f>IF(T140&gt;0, W140/T140, 0)</f>
        <v>1</v>
      </c>
      <c r="Y140" s="8" t="s">
        <v>60</v>
      </c>
      <c r="Z140" s="10" t="s">
        <v>42</v>
      </c>
      <c r="AA140" s="10" t="s">
        <v>43</v>
      </c>
      <c r="AB140" s="10" t="s">
        <v>44</v>
      </c>
      <c r="AC140" s="8" t="s">
        <v>44</v>
      </c>
    </row>
    <row r="141" spans="1:29">
      <c r="A141" s="11">
        <v>134</v>
      </c>
      <c r="B141" s="11" t="s">
        <v>306</v>
      </c>
      <c r="C141" s="11" t="s">
        <v>303</v>
      </c>
      <c r="D141" s="11" t="s">
        <v>201</v>
      </c>
      <c r="E141" s="11" t="s">
        <v>34</v>
      </c>
      <c r="F141" s="11" t="s">
        <v>35</v>
      </c>
      <c r="G141" s="9" t="s">
        <v>36</v>
      </c>
      <c r="H141" s="9" t="s">
        <v>37</v>
      </c>
      <c r="I141" s="9" t="s">
        <v>38</v>
      </c>
      <c r="J141" s="11">
        <v>170</v>
      </c>
      <c r="K141" s="11" t="s">
        <v>145</v>
      </c>
      <c r="L141" s="11" t="s">
        <v>40</v>
      </c>
      <c r="M141" s="13">
        <v>1</v>
      </c>
      <c r="N141" s="16">
        <v>8000.0</v>
      </c>
      <c r="O141" s="16"/>
      <c r="P141" s="18">
        <f>IF(N141&gt;0, O141/N141, 0)</f>
        <v>0</v>
      </c>
      <c r="Q141" s="16">
        <f>N141-O141</f>
        <v>8000</v>
      </c>
      <c r="R141" s="16">
        <f>M141*N141</f>
        <v>8000</v>
      </c>
      <c r="S141" s="16">
        <f>M141*O141</f>
        <v>0</v>
      </c>
      <c r="T141" s="16">
        <f>M141*Q141</f>
        <v>8000</v>
      </c>
      <c r="U141" s="16"/>
      <c r="V141" s="16">
        <f>M141*U141</f>
        <v>0</v>
      </c>
      <c r="W141" s="16">
        <f>T141-V141</f>
        <v>8000</v>
      </c>
      <c r="X141" s="18">
        <f>IF(T141&gt;0, W141/T141, 0)</f>
        <v>1</v>
      </c>
      <c r="Y141" s="9" t="s">
        <v>60</v>
      </c>
      <c r="Z141" s="11" t="s">
        <v>42</v>
      </c>
      <c r="AA141" s="11" t="s">
        <v>43</v>
      </c>
      <c r="AB141" s="11" t="s">
        <v>44</v>
      </c>
      <c r="AC141" s="9" t="s">
        <v>44</v>
      </c>
    </row>
    <row r="142" spans="1:29">
      <c r="A142" s="10">
        <v>135</v>
      </c>
      <c r="B142" s="10" t="s">
        <v>307</v>
      </c>
      <c r="C142" s="10" t="s">
        <v>303</v>
      </c>
      <c r="D142" s="10" t="s">
        <v>201</v>
      </c>
      <c r="E142" s="10" t="s">
        <v>34</v>
      </c>
      <c r="F142" s="10" t="s">
        <v>35</v>
      </c>
      <c r="G142" s="8" t="s">
        <v>52</v>
      </c>
      <c r="H142" s="8" t="s">
        <v>37</v>
      </c>
      <c r="I142" s="8" t="s">
        <v>38</v>
      </c>
      <c r="J142" s="10">
        <v>158</v>
      </c>
      <c r="K142" s="10" t="s">
        <v>132</v>
      </c>
      <c r="L142" s="10" t="s">
        <v>55</v>
      </c>
      <c r="M142" s="12">
        <v>1</v>
      </c>
      <c r="N142" s="15">
        <v>8000.0</v>
      </c>
      <c r="O142" s="15"/>
      <c r="P142" s="17">
        <f>IF(N142&gt;0, O142/N142, 0)</f>
        <v>0</v>
      </c>
      <c r="Q142" s="15">
        <f>N142-O142</f>
        <v>8000</v>
      </c>
      <c r="R142" s="15">
        <f>M142*N142</f>
        <v>8000</v>
      </c>
      <c r="S142" s="15">
        <f>M142*O142</f>
        <v>0</v>
      </c>
      <c r="T142" s="15">
        <f>M142*Q142</f>
        <v>8000</v>
      </c>
      <c r="U142" s="15"/>
      <c r="V142" s="15">
        <f>M142*U142</f>
        <v>0</v>
      </c>
      <c r="W142" s="15">
        <f>T142-V142</f>
        <v>8000</v>
      </c>
      <c r="X142" s="17">
        <f>IF(T142&gt;0, W142/T142, 0)</f>
        <v>1</v>
      </c>
      <c r="Y142" s="8" t="s">
        <v>60</v>
      </c>
      <c r="Z142" s="10" t="s">
        <v>42</v>
      </c>
      <c r="AA142" s="10" t="s">
        <v>43</v>
      </c>
      <c r="AB142" s="10" t="s">
        <v>44</v>
      </c>
      <c r="AC142" s="8" t="s">
        <v>44</v>
      </c>
    </row>
    <row r="143" spans="1:29">
      <c r="A143" s="11">
        <v>136</v>
      </c>
      <c r="B143" s="11" t="s">
        <v>308</v>
      </c>
      <c r="C143" s="11" t="s">
        <v>303</v>
      </c>
      <c r="D143" s="11" t="s">
        <v>201</v>
      </c>
      <c r="E143" s="11" t="s">
        <v>34</v>
      </c>
      <c r="F143" s="11" t="s">
        <v>144</v>
      </c>
      <c r="G143" s="9" t="s">
        <v>36</v>
      </c>
      <c r="H143" s="9" t="s">
        <v>65</v>
      </c>
      <c r="I143" s="9" t="s">
        <v>151</v>
      </c>
      <c r="J143" s="11">
        <v>170</v>
      </c>
      <c r="K143" s="11" t="s">
        <v>152</v>
      </c>
      <c r="L143" s="11" t="s">
        <v>40</v>
      </c>
      <c r="M143" s="13">
        <v>1</v>
      </c>
      <c r="N143" s="16">
        <v>11000.0</v>
      </c>
      <c r="O143" s="16"/>
      <c r="P143" s="18">
        <f>IF(N143&gt;0, O143/N143, 0)</f>
        <v>0</v>
      </c>
      <c r="Q143" s="16">
        <f>N143-O143</f>
        <v>11000</v>
      </c>
      <c r="R143" s="16">
        <f>M143*N143</f>
        <v>11000</v>
      </c>
      <c r="S143" s="16">
        <f>M143*O143</f>
        <v>0</v>
      </c>
      <c r="T143" s="16">
        <f>M143*Q143</f>
        <v>11000</v>
      </c>
      <c r="U143" s="16"/>
      <c r="V143" s="16">
        <f>M143*U143</f>
        <v>0</v>
      </c>
      <c r="W143" s="16">
        <f>T143-V143</f>
        <v>11000</v>
      </c>
      <c r="X143" s="18">
        <f>IF(T143&gt;0, W143/T143, 0)</f>
        <v>1</v>
      </c>
      <c r="Y143" s="9" t="s">
        <v>60</v>
      </c>
      <c r="Z143" s="11" t="s">
        <v>42</v>
      </c>
      <c r="AA143" s="11" t="s">
        <v>43</v>
      </c>
      <c r="AB143" s="11" t="s">
        <v>44</v>
      </c>
      <c r="AC143" s="9" t="s">
        <v>146</v>
      </c>
    </row>
    <row r="144" spans="1:29">
      <c r="A144" s="10">
        <v>137</v>
      </c>
      <c r="B144" s="10" t="s">
        <v>309</v>
      </c>
      <c r="C144" s="10" t="s">
        <v>303</v>
      </c>
      <c r="D144" s="10" t="s">
        <v>201</v>
      </c>
      <c r="E144" s="10" t="s">
        <v>34</v>
      </c>
      <c r="F144" s="10" t="s">
        <v>144</v>
      </c>
      <c r="G144" s="8" t="s">
        <v>52</v>
      </c>
      <c r="H144" s="8" t="s">
        <v>65</v>
      </c>
      <c r="I144" s="8" t="s">
        <v>151</v>
      </c>
      <c r="J144" s="10">
        <v>152</v>
      </c>
      <c r="K144" s="10" t="s">
        <v>254</v>
      </c>
      <c r="L144" s="10" t="s">
        <v>40</v>
      </c>
      <c r="M144" s="12">
        <v>1</v>
      </c>
      <c r="N144" s="15">
        <v>10000.0</v>
      </c>
      <c r="O144" s="15"/>
      <c r="P144" s="17">
        <f>IF(N144&gt;0, O144/N144, 0)</f>
        <v>0</v>
      </c>
      <c r="Q144" s="15">
        <f>N144-O144</f>
        <v>10000</v>
      </c>
      <c r="R144" s="15">
        <f>M144*N144</f>
        <v>10000</v>
      </c>
      <c r="S144" s="15">
        <f>M144*O144</f>
        <v>0</v>
      </c>
      <c r="T144" s="15">
        <f>M144*Q144</f>
        <v>10000</v>
      </c>
      <c r="U144" s="15"/>
      <c r="V144" s="15">
        <f>M144*U144</f>
        <v>0</v>
      </c>
      <c r="W144" s="15">
        <f>T144-V144</f>
        <v>10000</v>
      </c>
      <c r="X144" s="17">
        <f>IF(T144&gt;0, W144/T144, 0)</f>
        <v>1</v>
      </c>
      <c r="Y144" s="8" t="s">
        <v>60</v>
      </c>
      <c r="Z144" s="10" t="s">
        <v>42</v>
      </c>
      <c r="AA144" s="10" t="s">
        <v>43</v>
      </c>
      <c r="AB144" s="10" t="s">
        <v>44</v>
      </c>
      <c r="AC144" s="8" t="s">
        <v>146</v>
      </c>
    </row>
    <row r="145" spans="1:29">
      <c r="A145" s="11">
        <v>138</v>
      </c>
      <c r="B145" s="11" t="s">
        <v>310</v>
      </c>
      <c r="C145" s="11" t="s">
        <v>311</v>
      </c>
      <c r="D145" s="11" t="s">
        <v>201</v>
      </c>
      <c r="E145" s="11" t="s">
        <v>34</v>
      </c>
      <c r="F145" s="11" t="s">
        <v>144</v>
      </c>
      <c r="G145" s="9" t="s">
        <v>52</v>
      </c>
      <c r="H145" s="9" t="s">
        <v>65</v>
      </c>
      <c r="I145" s="9" t="s">
        <v>151</v>
      </c>
      <c r="J145" s="11">
        <v>140</v>
      </c>
      <c r="K145" s="11" t="s">
        <v>224</v>
      </c>
      <c r="L145" s="11" t="s">
        <v>40</v>
      </c>
      <c r="M145" s="13">
        <v>2</v>
      </c>
      <c r="N145" s="16">
        <v>10000.0</v>
      </c>
      <c r="O145" s="16"/>
      <c r="P145" s="18">
        <f>IF(N145&gt;0, O145/N145, 0)</f>
        <v>0</v>
      </c>
      <c r="Q145" s="16">
        <f>N145-O145</f>
        <v>10000</v>
      </c>
      <c r="R145" s="16">
        <f>M145*N145</f>
        <v>20000</v>
      </c>
      <c r="S145" s="16">
        <f>M145*O145</f>
        <v>0</v>
      </c>
      <c r="T145" s="16">
        <f>M145*Q145</f>
        <v>20000</v>
      </c>
      <c r="U145" s="16"/>
      <c r="V145" s="16">
        <f>M145*U145</f>
        <v>0</v>
      </c>
      <c r="W145" s="16">
        <f>T145-V145</f>
        <v>20000</v>
      </c>
      <c r="X145" s="18">
        <f>IF(T145&gt;0, W145/T145, 0)</f>
        <v>1</v>
      </c>
      <c r="Y145" s="9" t="s">
        <v>60</v>
      </c>
      <c r="Z145" s="11" t="s">
        <v>42</v>
      </c>
      <c r="AA145" s="11" t="s">
        <v>43</v>
      </c>
      <c r="AB145" s="11" t="s">
        <v>44</v>
      </c>
      <c r="AC145" s="9" t="s">
        <v>146</v>
      </c>
    </row>
    <row r="146" spans="1:29">
      <c r="A146" s="10">
        <v>139</v>
      </c>
      <c r="B146" s="10" t="s">
        <v>312</v>
      </c>
      <c r="C146" s="10" t="s">
        <v>311</v>
      </c>
      <c r="D146" s="10" t="s">
        <v>201</v>
      </c>
      <c r="E146" s="10" t="s">
        <v>34</v>
      </c>
      <c r="F146" s="10" t="s">
        <v>35</v>
      </c>
      <c r="G146" s="8" t="s">
        <v>52</v>
      </c>
      <c r="H146" s="8" t="s">
        <v>37</v>
      </c>
      <c r="I146" s="8" t="s">
        <v>38</v>
      </c>
      <c r="J146" s="10">
        <v>146</v>
      </c>
      <c r="K146" s="10" t="s">
        <v>260</v>
      </c>
      <c r="L146" s="10" t="s">
        <v>55</v>
      </c>
      <c r="M146" s="12">
        <v>1</v>
      </c>
      <c r="N146" s="15">
        <v>7000.0</v>
      </c>
      <c r="O146" s="15"/>
      <c r="P146" s="17">
        <f>IF(N146&gt;0, O146/N146, 0)</f>
        <v>0</v>
      </c>
      <c r="Q146" s="15">
        <f>N146-O146</f>
        <v>7000</v>
      </c>
      <c r="R146" s="15">
        <f>M146*N146</f>
        <v>7000</v>
      </c>
      <c r="S146" s="15">
        <f>M146*O146</f>
        <v>0</v>
      </c>
      <c r="T146" s="15">
        <f>M146*Q146</f>
        <v>7000</v>
      </c>
      <c r="U146" s="15"/>
      <c r="V146" s="15">
        <f>M146*U146</f>
        <v>0</v>
      </c>
      <c r="W146" s="15">
        <f>T146-V146</f>
        <v>7000</v>
      </c>
      <c r="X146" s="17">
        <f>IF(T146&gt;0, W146/T146, 0)</f>
        <v>1</v>
      </c>
      <c r="Y146" s="8" t="s">
        <v>60</v>
      </c>
      <c r="Z146" s="10" t="s">
        <v>42</v>
      </c>
      <c r="AA146" s="10" t="s">
        <v>43</v>
      </c>
      <c r="AB146" s="10" t="s">
        <v>44</v>
      </c>
      <c r="AC146" s="8" t="s">
        <v>44</v>
      </c>
    </row>
    <row r="147" spans="1:29">
      <c r="A147" s="11">
        <v>140</v>
      </c>
      <c r="B147" s="11" t="s">
        <v>313</v>
      </c>
      <c r="C147" s="11" t="s">
        <v>311</v>
      </c>
      <c r="D147" s="11" t="s">
        <v>201</v>
      </c>
      <c r="E147" s="11" t="s">
        <v>70</v>
      </c>
      <c r="F147" s="11" t="s">
        <v>35</v>
      </c>
      <c r="G147" s="9" t="s">
        <v>52</v>
      </c>
      <c r="H147" s="9" t="s">
        <v>58</v>
      </c>
      <c r="I147" s="9" t="s">
        <v>58</v>
      </c>
      <c r="J147" s="11">
        <v>152</v>
      </c>
      <c r="K147" s="11" t="s">
        <v>314</v>
      </c>
      <c r="L147" s="11" t="s">
        <v>40</v>
      </c>
      <c r="M147" s="13">
        <v>1</v>
      </c>
      <c r="N147" s="16">
        <v>8000.0</v>
      </c>
      <c r="O147" s="16"/>
      <c r="P147" s="18">
        <f>IF(N147&gt;0, O147/N147, 0)</f>
        <v>0</v>
      </c>
      <c r="Q147" s="16">
        <f>N147-O147</f>
        <v>8000</v>
      </c>
      <c r="R147" s="16">
        <f>M147*N147</f>
        <v>8000</v>
      </c>
      <c r="S147" s="16">
        <f>M147*O147</f>
        <v>0</v>
      </c>
      <c r="T147" s="16">
        <f>M147*Q147</f>
        <v>8000</v>
      </c>
      <c r="U147" s="16"/>
      <c r="V147" s="16">
        <f>M147*U147</f>
        <v>0</v>
      </c>
      <c r="W147" s="16">
        <f>T147-V147</f>
        <v>8000</v>
      </c>
      <c r="X147" s="18">
        <f>IF(T147&gt;0, W147/T147, 0)</f>
        <v>1</v>
      </c>
      <c r="Y147" s="9" t="s">
        <v>60</v>
      </c>
      <c r="Z147" s="11" t="s">
        <v>42</v>
      </c>
      <c r="AA147" s="11" t="s">
        <v>73</v>
      </c>
      <c r="AB147" s="11" t="s">
        <v>44</v>
      </c>
      <c r="AC147" s="9" t="s">
        <v>44</v>
      </c>
    </row>
    <row r="148" spans="1:29">
      <c r="A148" s="10">
        <v>141</v>
      </c>
      <c r="B148" s="10" t="s">
        <v>315</v>
      </c>
      <c r="C148" s="10" t="s">
        <v>311</v>
      </c>
      <c r="D148" s="10" t="s">
        <v>201</v>
      </c>
      <c r="E148" s="10" t="s">
        <v>34</v>
      </c>
      <c r="F148" s="10" t="s">
        <v>144</v>
      </c>
      <c r="G148" s="8" t="s">
        <v>161</v>
      </c>
      <c r="H148" s="8" t="s">
        <v>162</v>
      </c>
      <c r="I148" s="8" t="s">
        <v>162</v>
      </c>
      <c r="J148" s="10" t="s">
        <v>44</v>
      </c>
      <c r="K148" s="10" t="s">
        <v>316</v>
      </c>
      <c r="L148" s="10" t="s">
        <v>40</v>
      </c>
      <c r="M148" s="12">
        <v>1</v>
      </c>
      <c r="N148" s="15">
        <v>5000.0</v>
      </c>
      <c r="O148" s="15"/>
      <c r="P148" s="17">
        <f>IF(N148&gt;0, O148/N148, 0)</f>
        <v>0</v>
      </c>
      <c r="Q148" s="15">
        <f>N148-O148</f>
        <v>5000</v>
      </c>
      <c r="R148" s="15">
        <f>M148*N148</f>
        <v>5000</v>
      </c>
      <c r="S148" s="15">
        <f>M148*O148</f>
        <v>0</v>
      </c>
      <c r="T148" s="15">
        <f>M148*Q148</f>
        <v>5000</v>
      </c>
      <c r="U148" s="15"/>
      <c r="V148" s="15">
        <f>M148*U148</f>
        <v>0</v>
      </c>
      <c r="W148" s="15">
        <f>T148-V148</f>
        <v>5000</v>
      </c>
      <c r="X148" s="17">
        <f>IF(T148&gt;0, W148/T148, 0)</f>
        <v>1</v>
      </c>
      <c r="Y148" s="8" t="s">
        <v>60</v>
      </c>
      <c r="Z148" s="10" t="s">
        <v>42</v>
      </c>
      <c r="AA148" s="10" t="s">
        <v>43</v>
      </c>
      <c r="AB148" s="10" t="s">
        <v>44</v>
      </c>
      <c r="AC148" s="8" t="s">
        <v>146</v>
      </c>
    </row>
    <row r="149" spans="1:29">
      <c r="A149" s="11">
        <v>142</v>
      </c>
      <c r="B149" s="11" t="s">
        <v>317</v>
      </c>
      <c r="C149" s="11" t="s">
        <v>311</v>
      </c>
      <c r="D149" s="11" t="s">
        <v>201</v>
      </c>
      <c r="E149" s="11" t="s">
        <v>34</v>
      </c>
      <c r="F149" s="11" t="s">
        <v>35</v>
      </c>
      <c r="G149" s="9" t="s">
        <v>161</v>
      </c>
      <c r="H149" s="9" t="s">
        <v>162</v>
      </c>
      <c r="I149" s="9" t="s">
        <v>162</v>
      </c>
      <c r="J149" s="11" t="s">
        <v>44</v>
      </c>
      <c r="K149" s="11" t="s">
        <v>316</v>
      </c>
      <c r="L149" s="11" t="s">
        <v>40</v>
      </c>
      <c r="M149" s="13">
        <v>1</v>
      </c>
      <c r="N149" s="16">
        <v>5000.0</v>
      </c>
      <c r="O149" s="16"/>
      <c r="P149" s="18">
        <f>IF(N149&gt;0, O149/N149, 0)</f>
        <v>0</v>
      </c>
      <c r="Q149" s="16">
        <f>N149-O149</f>
        <v>5000</v>
      </c>
      <c r="R149" s="16">
        <f>M149*N149</f>
        <v>5000</v>
      </c>
      <c r="S149" s="16">
        <f>M149*O149</f>
        <v>0</v>
      </c>
      <c r="T149" s="16">
        <f>M149*Q149</f>
        <v>5000</v>
      </c>
      <c r="U149" s="16"/>
      <c r="V149" s="16">
        <f>M149*U149</f>
        <v>0</v>
      </c>
      <c r="W149" s="16">
        <f>T149-V149</f>
        <v>5000</v>
      </c>
      <c r="X149" s="18">
        <f>IF(T149&gt;0, W149/T149, 0)</f>
        <v>1</v>
      </c>
      <c r="Y149" s="9" t="s">
        <v>60</v>
      </c>
      <c r="Z149" s="11" t="s">
        <v>42</v>
      </c>
      <c r="AA149" s="11" t="s">
        <v>43</v>
      </c>
      <c r="AB149" s="11" t="s">
        <v>44</v>
      </c>
      <c r="AC149" s="9" t="s">
        <v>44</v>
      </c>
    </row>
    <row r="150" spans="1:29">
      <c r="A150" s="10">
        <v>143</v>
      </c>
      <c r="B150" s="10" t="s">
        <v>318</v>
      </c>
      <c r="C150" s="10" t="s">
        <v>311</v>
      </c>
      <c r="D150" s="10" t="s">
        <v>201</v>
      </c>
      <c r="E150" s="10" t="s">
        <v>34</v>
      </c>
      <c r="F150" s="10" t="s">
        <v>35</v>
      </c>
      <c r="G150" s="8" t="s">
        <v>52</v>
      </c>
      <c r="H150" s="8" t="s">
        <v>37</v>
      </c>
      <c r="I150" s="8" t="s">
        <v>75</v>
      </c>
      <c r="J150" s="10">
        <v>128</v>
      </c>
      <c r="K150" s="10" t="s">
        <v>188</v>
      </c>
      <c r="L150" s="10" t="s">
        <v>55</v>
      </c>
      <c r="M150" s="12">
        <v>1</v>
      </c>
      <c r="N150" s="15">
        <v>8000.0</v>
      </c>
      <c r="O150" s="15"/>
      <c r="P150" s="17">
        <f>IF(N150&gt;0, O150/N150, 0)</f>
        <v>0</v>
      </c>
      <c r="Q150" s="15">
        <f>N150-O150</f>
        <v>8000</v>
      </c>
      <c r="R150" s="15">
        <f>M150*N150</f>
        <v>8000</v>
      </c>
      <c r="S150" s="15">
        <f>M150*O150</f>
        <v>0</v>
      </c>
      <c r="T150" s="15">
        <f>M150*Q150</f>
        <v>8000</v>
      </c>
      <c r="U150" s="15"/>
      <c r="V150" s="15">
        <f>M150*U150</f>
        <v>0</v>
      </c>
      <c r="W150" s="15">
        <f>T150-V150</f>
        <v>8000</v>
      </c>
      <c r="X150" s="17">
        <f>IF(T150&gt;0, W150/T150, 0)</f>
        <v>1</v>
      </c>
      <c r="Y150" s="8" t="s">
        <v>60</v>
      </c>
      <c r="Z150" s="10" t="s">
        <v>42</v>
      </c>
      <c r="AA150" s="10" t="s">
        <v>43</v>
      </c>
      <c r="AB150" s="10" t="s">
        <v>44</v>
      </c>
      <c r="AC150" s="8" t="s">
        <v>44</v>
      </c>
    </row>
    <row r="151" spans="1:29">
      <c r="A151" s="11">
        <v>144</v>
      </c>
      <c r="B151" s="11" t="s">
        <v>319</v>
      </c>
      <c r="C151" s="11" t="s">
        <v>311</v>
      </c>
      <c r="D151" s="11" t="s">
        <v>201</v>
      </c>
      <c r="E151" s="11" t="s">
        <v>34</v>
      </c>
      <c r="F151" s="11" t="s">
        <v>35</v>
      </c>
      <c r="G151" s="9" t="s">
        <v>52</v>
      </c>
      <c r="H151" s="9" t="s">
        <v>37</v>
      </c>
      <c r="I151" s="9" t="s">
        <v>38</v>
      </c>
      <c r="J151" s="11">
        <v>134</v>
      </c>
      <c r="K151" s="11" t="s">
        <v>180</v>
      </c>
      <c r="L151" s="11" t="s">
        <v>55</v>
      </c>
      <c r="M151" s="13">
        <v>1</v>
      </c>
      <c r="N151" s="16">
        <v>7000.0</v>
      </c>
      <c r="O151" s="16"/>
      <c r="P151" s="18">
        <f>IF(N151&gt;0, O151/N151, 0)</f>
        <v>0</v>
      </c>
      <c r="Q151" s="16">
        <f>N151-O151</f>
        <v>7000</v>
      </c>
      <c r="R151" s="16">
        <f>M151*N151</f>
        <v>7000</v>
      </c>
      <c r="S151" s="16">
        <f>M151*O151</f>
        <v>0</v>
      </c>
      <c r="T151" s="16">
        <f>M151*Q151</f>
        <v>7000</v>
      </c>
      <c r="U151" s="16"/>
      <c r="V151" s="16">
        <f>M151*U151</f>
        <v>0</v>
      </c>
      <c r="W151" s="16">
        <f>T151-V151</f>
        <v>7000</v>
      </c>
      <c r="X151" s="18">
        <f>IF(T151&gt;0, W151/T151, 0)</f>
        <v>1</v>
      </c>
      <c r="Y151" s="9" t="s">
        <v>60</v>
      </c>
      <c r="Z151" s="11" t="s">
        <v>42</v>
      </c>
      <c r="AA151" s="11" t="s">
        <v>43</v>
      </c>
      <c r="AB151" s="11" t="s">
        <v>44</v>
      </c>
      <c r="AC151" s="9" t="s">
        <v>44</v>
      </c>
    </row>
    <row r="152" spans="1:29">
      <c r="A152" s="10">
        <v>145</v>
      </c>
      <c r="B152" s="10" t="s">
        <v>320</v>
      </c>
      <c r="C152" s="10" t="s">
        <v>311</v>
      </c>
      <c r="D152" s="10" t="s">
        <v>201</v>
      </c>
      <c r="E152" s="10" t="s">
        <v>34</v>
      </c>
      <c r="F152" s="10" t="s">
        <v>35</v>
      </c>
      <c r="G152" s="8" t="s">
        <v>36</v>
      </c>
      <c r="H152" s="8" t="s">
        <v>47</v>
      </c>
      <c r="I152" s="8" t="s">
        <v>47</v>
      </c>
      <c r="J152" s="10">
        <v>164</v>
      </c>
      <c r="K152" s="10" t="s">
        <v>321</v>
      </c>
      <c r="L152" s="10" t="s">
        <v>40</v>
      </c>
      <c r="M152" s="12">
        <v>1</v>
      </c>
      <c r="N152" s="15">
        <v>18000.0</v>
      </c>
      <c r="O152" s="15"/>
      <c r="P152" s="17">
        <f>IF(N152&gt;0, O152/N152, 0)</f>
        <v>0</v>
      </c>
      <c r="Q152" s="15">
        <f>N152-O152</f>
        <v>18000</v>
      </c>
      <c r="R152" s="15">
        <f>M152*N152</f>
        <v>18000</v>
      </c>
      <c r="S152" s="15">
        <f>M152*O152</f>
        <v>0</v>
      </c>
      <c r="T152" s="15">
        <f>M152*Q152</f>
        <v>18000</v>
      </c>
      <c r="U152" s="15"/>
      <c r="V152" s="15">
        <f>M152*U152</f>
        <v>0</v>
      </c>
      <c r="W152" s="15">
        <f>T152-V152</f>
        <v>18000</v>
      </c>
      <c r="X152" s="17">
        <f>IF(T152&gt;0, W152/T152, 0)</f>
        <v>1</v>
      </c>
      <c r="Y152" s="8" t="s">
        <v>60</v>
      </c>
      <c r="Z152" s="10" t="s">
        <v>42</v>
      </c>
      <c r="AA152" s="10" t="s">
        <v>43</v>
      </c>
      <c r="AB152" s="10" t="s">
        <v>44</v>
      </c>
      <c r="AC152" s="8" t="s">
        <v>44</v>
      </c>
    </row>
    <row r="153" spans="1:29">
      <c r="A153" s="11">
        <v>146</v>
      </c>
      <c r="B153" s="11" t="s">
        <v>322</v>
      </c>
      <c r="C153" s="11" t="s">
        <v>311</v>
      </c>
      <c r="D153" s="11" t="s">
        <v>201</v>
      </c>
      <c r="E153" s="11" t="s">
        <v>34</v>
      </c>
      <c r="F153" s="11" t="s">
        <v>35</v>
      </c>
      <c r="G153" s="9" t="s">
        <v>36</v>
      </c>
      <c r="H153" s="9" t="s">
        <v>58</v>
      </c>
      <c r="I153" s="9" t="s">
        <v>58</v>
      </c>
      <c r="J153" s="11">
        <v>164</v>
      </c>
      <c r="K153" s="11" t="s">
        <v>59</v>
      </c>
      <c r="L153" s="11" t="s">
        <v>40</v>
      </c>
      <c r="M153" s="13">
        <v>1</v>
      </c>
      <c r="N153" s="16">
        <v>7500.0</v>
      </c>
      <c r="O153" s="16"/>
      <c r="P153" s="18">
        <f>IF(N153&gt;0, O153/N153, 0)</f>
        <v>0</v>
      </c>
      <c r="Q153" s="16">
        <f>N153-O153</f>
        <v>7500</v>
      </c>
      <c r="R153" s="16">
        <f>M153*N153</f>
        <v>7500</v>
      </c>
      <c r="S153" s="16">
        <f>M153*O153</f>
        <v>0</v>
      </c>
      <c r="T153" s="16">
        <f>M153*Q153</f>
        <v>7500</v>
      </c>
      <c r="U153" s="16"/>
      <c r="V153" s="16">
        <f>M153*U153</f>
        <v>0</v>
      </c>
      <c r="W153" s="16">
        <f>T153-V153</f>
        <v>7500</v>
      </c>
      <c r="X153" s="18">
        <f>IF(T153&gt;0, W153/T153, 0)</f>
        <v>1</v>
      </c>
      <c r="Y153" s="9" t="s">
        <v>60</v>
      </c>
      <c r="Z153" s="11" t="s">
        <v>42</v>
      </c>
      <c r="AA153" s="11" t="s">
        <v>43</v>
      </c>
      <c r="AB153" s="11" t="s">
        <v>44</v>
      </c>
      <c r="AC153" s="9" t="s">
        <v>44</v>
      </c>
    </row>
    <row r="154" spans="1:29">
      <c r="A154" s="10">
        <v>147</v>
      </c>
      <c r="B154" s="10" t="s">
        <v>323</v>
      </c>
      <c r="C154" s="10" t="s">
        <v>311</v>
      </c>
      <c r="D154" s="10" t="s">
        <v>201</v>
      </c>
      <c r="E154" s="10" t="s">
        <v>34</v>
      </c>
      <c r="F154" s="10" t="s">
        <v>35</v>
      </c>
      <c r="G154" s="8" t="s">
        <v>36</v>
      </c>
      <c r="H154" s="8" t="s">
        <v>53</v>
      </c>
      <c r="I154" s="8" t="s">
        <v>53</v>
      </c>
      <c r="J154" s="10">
        <v>182</v>
      </c>
      <c r="K154" s="10" t="s">
        <v>324</v>
      </c>
      <c r="L154" s="10" t="s">
        <v>40</v>
      </c>
      <c r="M154" s="12">
        <v>1</v>
      </c>
      <c r="N154" s="15">
        <v>8500.0</v>
      </c>
      <c r="O154" s="15"/>
      <c r="P154" s="17">
        <f>IF(N154&gt;0, O154/N154, 0)</f>
        <v>0</v>
      </c>
      <c r="Q154" s="15">
        <f>N154-O154</f>
        <v>8500</v>
      </c>
      <c r="R154" s="15">
        <f>M154*N154</f>
        <v>8500</v>
      </c>
      <c r="S154" s="15">
        <f>M154*O154</f>
        <v>0</v>
      </c>
      <c r="T154" s="15">
        <f>M154*Q154</f>
        <v>8500</v>
      </c>
      <c r="U154" s="15"/>
      <c r="V154" s="15">
        <f>M154*U154</f>
        <v>0</v>
      </c>
      <c r="W154" s="15">
        <f>T154-V154</f>
        <v>8500</v>
      </c>
      <c r="X154" s="17">
        <f>IF(T154&gt;0, W154/T154, 0)</f>
        <v>1</v>
      </c>
      <c r="Y154" s="8" t="s">
        <v>60</v>
      </c>
      <c r="Z154" s="10" t="s">
        <v>42</v>
      </c>
      <c r="AA154" s="10" t="s">
        <v>43</v>
      </c>
      <c r="AB154" s="10" t="s">
        <v>44</v>
      </c>
      <c r="AC154" s="8" t="s">
        <v>44</v>
      </c>
    </row>
    <row r="155" spans="1:29">
      <c r="A155" s="11">
        <v>148</v>
      </c>
      <c r="B155" s="11" t="s">
        <v>325</v>
      </c>
      <c r="C155" s="11" t="s">
        <v>311</v>
      </c>
      <c r="D155" s="11" t="s">
        <v>201</v>
      </c>
      <c r="E155" s="11" t="s">
        <v>34</v>
      </c>
      <c r="F155" s="11" t="s">
        <v>144</v>
      </c>
      <c r="G155" s="9" t="s">
        <v>36</v>
      </c>
      <c r="H155" s="9" t="s">
        <v>65</v>
      </c>
      <c r="I155" s="9" t="s">
        <v>151</v>
      </c>
      <c r="J155" s="11">
        <v>152</v>
      </c>
      <c r="K155" s="11" t="s">
        <v>198</v>
      </c>
      <c r="L155" s="11" t="s">
        <v>40</v>
      </c>
      <c r="M155" s="13">
        <v>1</v>
      </c>
      <c r="N155" s="16">
        <v>12000.0</v>
      </c>
      <c r="O155" s="16"/>
      <c r="P155" s="18">
        <f>IF(N155&gt;0, O155/N155, 0)</f>
        <v>0</v>
      </c>
      <c r="Q155" s="16">
        <f>N155-O155</f>
        <v>12000</v>
      </c>
      <c r="R155" s="16">
        <f>M155*N155</f>
        <v>12000</v>
      </c>
      <c r="S155" s="16">
        <f>M155*O155</f>
        <v>0</v>
      </c>
      <c r="T155" s="16">
        <f>M155*Q155</f>
        <v>12000</v>
      </c>
      <c r="U155" s="16"/>
      <c r="V155" s="16">
        <f>M155*U155</f>
        <v>0</v>
      </c>
      <c r="W155" s="16">
        <f>T155-V155</f>
        <v>12000</v>
      </c>
      <c r="X155" s="18">
        <f>IF(T155&gt;0, W155/T155, 0)</f>
        <v>1</v>
      </c>
      <c r="Y155" s="9" t="s">
        <v>60</v>
      </c>
      <c r="Z155" s="11" t="s">
        <v>42</v>
      </c>
      <c r="AA155" s="11" t="s">
        <v>43</v>
      </c>
      <c r="AB155" s="11" t="s">
        <v>44</v>
      </c>
      <c r="AC155" s="9" t="s">
        <v>146</v>
      </c>
    </row>
    <row r="156" spans="1:29">
      <c r="A156" s="10">
        <v>149</v>
      </c>
      <c r="B156" s="10" t="s">
        <v>326</v>
      </c>
      <c r="C156" s="10" t="s">
        <v>311</v>
      </c>
      <c r="D156" s="10" t="s">
        <v>201</v>
      </c>
      <c r="E156" s="10" t="s">
        <v>34</v>
      </c>
      <c r="F156" s="10" t="s">
        <v>35</v>
      </c>
      <c r="G156" s="8" t="s">
        <v>36</v>
      </c>
      <c r="H156" s="8" t="s">
        <v>53</v>
      </c>
      <c r="I156" s="8" t="s">
        <v>53</v>
      </c>
      <c r="J156" s="10">
        <v>146</v>
      </c>
      <c r="K156" s="10" t="s">
        <v>327</v>
      </c>
      <c r="L156" s="10" t="s">
        <v>40</v>
      </c>
      <c r="M156" s="12">
        <v>1</v>
      </c>
      <c r="N156" s="15">
        <v>8500.0</v>
      </c>
      <c r="O156" s="15"/>
      <c r="P156" s="17">
        <f>IF(N156&gt;0, O156/N156, 0)</f>
        <v>0</v>
      </c>
      <c r="Q156" s="15">
        <f>N156-O156</f>
        <v>8500</v>
      </c>
      <c r="R156" s="15">
        <f>M156*N156</f>
        <v>8500</v>
      </c>
      <c r="S156" s="15">
        <f>M156*O156</f>
        <v>0</v>
      </c>
      <c r="T156" s="15">
        <f>M156*Q156</f>
        <v>8500</v>
      </c>
      <c r="U156" s="15"/>
      <c r="V156" s="15">
        <f>M156*U156</f>
        <v>0</v>
      </c>
      <c r="W156" s="15">
        <f>T156-V156</f>
        <v>8500</v>
      </c>
      <c r="X156" s="17">
        <f>IF(T156&gt;0, W156/T156, 0)</f>
        <v>1</v>
      </c>
      <c r="Y156" s="8" t="s">
        <v>60</v>
      </c>
      <c r="Z156" s="10" t="s">
        <v>42</v>
      </c>
      <c r="AA156" s="10" t="s">
        <v>43</v>
      </c>
      <c r="AB156" s="10" t="s">
        <v>44</v>
      </c>
      <c r="AC156" s="8" t="s">
        <v>44</v>
      </c>
    </row>
    <row r="157" spans="1:29">
      <c r="A157" s="11">
        <v>150</v>
      </c>
      <c r="B157" s="11" t="s">
        <v>328</v>
      </c>
      <c r="C157" s="11" t="s">
        <v>311</v>
      </c>
      <c r="D157" s="11" t="s">
        <v>201</v>
      </c>
      <c r="E157" s="11" t="s">
        <v>70</v>
      </c>
      <c r="F157" s="11" t="s">
        <v>35</v>
      </c>
      <c r="G157" s="9" t="s">
        <v>52</v>
      </c>
      <c r="H157" s="9" t="s">
        <v>65</v>
      </c>
      <c r="I157" s="9" t="s">
        <v>151</v>
      </c>
      <c r="J157" s="11">
        <v>146</v>
      </c>
      <c r="K157" s="11" t="s">
        <v>170</v>
      </c>
      <c r="L157" s="11" t="s">
        <v>40</v>
      </c>
      <c r="M157" s="13">
        <v>1</v>
      </c>
      <c r="N157" s="16">
        <v>12000.0</v>
      </c>
      <c r="O157" s="16"/>
      <c r="P157" s="18">
        <f>IF(N157&gt;0, O157/N157, 0)</f>
        <v>0</v>
      </c>
      <c r="Q157" s="16">
        <f>N157-O157</f>
        <v>12000</v>
      </c>
      <c r="R157" s="16">
        <f>M157*N157</f>
        <v>12000</v>
      </c>
      <c r="S157" s="16">
        <f>M157*O157</f>
        <v>0</v>
      </c>
      <c r="T157" s="16">
        <f>M157*Q157</f>
        <v>12000</v>
      </c>
      <c r="U157" s="16"/>
      <c r="V157" s="16">
        <f>M157*U157</f>
        <v>0</v>
      </c>
      <c r="W157" s="16">
        <f>T157-V157</f>
        <v>12000</v>
      </c>
      <c r="X157" s="18">
        <f>IF(T157&gt;0, W157/T157, 0)</f>
        <v>1</v>
      </c>
      <c r="Y157" s="9" t="s">
        <v>60</v>
      </c>
      <c r="Z157" s="11" t="s">
        <v>42</v>
      </c>
      <c r="AA157" s="11" t="s">
        <v>73</v>
      </c>
      <c r="AB157" s="11" t="s">
        <v>44</v>
      </c>
      <c r="AC157" s="9" t="s">
        <v>44</v>
      </c>
    </row>
    <row r="158" spans="1:29">
      <c r="A158" s="10">
        <v>151</v>
      </c>
      <c r="B158" s="10" t="s">
        <v>329</v>
      </c>
      <c r="C158" s="10" t="s">
        <v>311</v>
      </c>
      <c r="D158" s="10" t="s">
        <v>201</v>
      </c>
      <c r="E158" s="10" t="s">
        <v>70</v>
      </c>
      <c r="F158" s="10" t="s">
        <v>35</v>
      </c>
      <c r="G158" s="8" t="s">
        <v>52</v>
      </c>
      <c r="H158" s="8" t="s">
        <v>65</v>
      </c>
      <c r="I158" s="8" t="s">
        <v>151</v>
      </c>
      <c r="J158" s="10">
        <v>128</v>
      </c>
      <c r="K158" s="10" t="s">
        <v>168</v>
      </c>
      <c r="L158" s="10" t="s">
        <v>40</v>
      </c>
      <c r="M158" s="12">
        <v>1</v>
      </c>
      <c r="N158" s="15">
        <v>10000.0</v>
      </c>
      <c r="O158" s="15"/>
      <c r="P158" s="17">
        <f>IF(N158&gt;0, O158/N158, 0)</f>
        <v>0</v>
      </c>
      <c r="Q158" s="15">
        <f>N158-O158</f>
        <v>10000</v>
      </c>
      <c r="R158" s="15">
        <f>M158*N158</f>
        <v>10000</v>
      </c>
      <c r="S158" s="15">
        <f>M158*O158</f>
        <v>0</v>
      </c>
      <c r="T158" s="15">
        <f>M158*Q158</f>
        <v>10000</v>
      </c>
      <c r="U158" s="15"/>
      <c r="V158" s="15">
        <f>M158*U158</f>
        <v>0</v>
      </c>
      <c r="W158" s="15">
        <f>T158-V158</f>
        <v>10000</v>
      </c>
      <c r="X158" s="17">
        <f>IF(T158&gt;0, W158/T158, 0)</f>
        <v>1</v>
      </c>
      <c r="Y158" s="8" t="s">
        <v>60</v>
      </c>
      <c r="Z158" s="10" t="s">
        <v>42</v>
      </c>
      <c r="AA158" s="10" t="s">
        <v>73</v>
      </c>
      <c r="AB158" s="10" t="s">
        <v>44</v>
      </c>
      <c r="AC158" s="8" t="s">
        <v>44</v>
      </c>
    </row>
    <row r="159" spans="1:29">
      <c r="A159" s="11">
        <v>152</v>
      </c>
      <c r="B159" s="11" t="s">
        <v>330</v>
      </c>
      <c r="C159" s="11" t="s">
        <v>331</v>
      </c>
      <c r="D159" s="11" t="s">
        <v>201</v>
      </c>
      <c r="E159" s="11" t="s">
        <v>34</v>
      </c>
      <c r="F159" s="11" t="s">
        <v>35</v>
      </c>
      <c r="G159" s="9" t="s">
        <v>36</v>
      </c>
      <c r="H159" s="9" t="s">
        <v>58</v>
      </c>
      <c r="I159" s="9" t="s">
        <v>58</v>
      </c>
      <c r="J159" s="11">
        <v>152</v>
      </c>
      <c r="K159" s="11" t="s">
        <v>332</v>
      </c>
      <c r="L159" s="11" t="s">
        <v>40</v>
      </c>
      <c r="M159" s="13">
        <v>1</v>
      </c>
      <c r="N159" s="16">
        <v>7500.0</v>
      </c>
      <c r="O159" s="16"/>
      <c r="P159" s="18">
        <f>IF(N159&gt;0, O159/N159, 0)</f>
        <v>0</v>
      </c>
      <c r="Q159" s="16">
        <f>N159-O159</f>
        <v>7500</v>
      </c>
      <c r="R159" s="16">
        <f>M159*N159</f>
        <v>7500</v>
      </c>
      <c r="S159" s="16">
        <f>M159*O159</f>
        <v>0</v>
      </c>
      <c r="T159" s="16">
        <f>M159*Q159</f>
        <v>7500</v>
      </c>
      <c r="U159" s="16"/>
      <c r="V159" s="16">
        <f>M159*U159</f>
        <v>0</v>
      </c>
      <c r="W159" s="16">
        <f>T159-V159</f>
        <v>7500</v>
      </c>
      <c r="X159" s="18">
        <f>IF(T159&gt;0, W159/T159, 0)</f>
        <v>1</v>
      </c>
      <c r="Y159" s="9" t="s">
        <v>60</v>
      </c>
      <c r="Z159" s="11" t="s">
        <v>42</v>
      </c>
      <c r="AA159" s="11" t="s">
        <v>43</v>
      </c>
      <c r="AB159" s="11" t="s">
        <v>44</v>
      </c>
      <c r="AC159" s="9" t="s">
        <v>44</v>
      </c>
    </row>
    <row r="160" spans="1:29">
      <c r="A160" s="10">
        <v>153</v>
      </c>
      <c r="B160" s="10" t="s">
        <v>333</v>
      </c>
      <c r="C160" s="10" t="s">
        <v>331</v>
      </c>
      <c r="D160" s="10" t="s">
        <v>201</v>
      </c>
      <c r="E160" s="10" t="s">
        <v>34</v>
      </c>
      <c r="F160" s="10" t="s">
        <v>35</v>
      </c>
      <c r="G160" s="8" t="s">
        <v>36</v>
      </c>
      <c r="H160" s="8" t="s">
        <v>53</v>
      </c>
      <c r="I160" s="8" t="s">
        <v>53</v>
      </c>
      <c r="J160" s="10">
        <v>158</v>
      </c>
      <c r="K160" s="10" t="s">
        <v>124</v>
      </c>
      <c r="L160" s="10" t="s">
        <v>40</v>
      </c>
      <c r="M160" s="12">
        <v>1</v>
      </c>
      <c r="N160" s="15">
        <v>8500.0</v>
      </c>
      <c r="O160" s="15"/>
      <c r="P160" s="17">
        <f>IF(N160&gt;0, O160/N160, 0)</f>
        <v>0</v>
      </c>
      <c r="Q160" s="15">
        <f>N160-O160</f>
        <v>8500</v>
      </c>
      <c r="R160" s="15">
        <f>M160*N160</f>
        <v>8500</v>
      </c>
      <c r="S160" s="15">
        <f>M160*O160</f>
        <v>0</v>
      </c>
      <c r="T160" s="15">
        <f>M160*Q160</f>
        <v>8500</v>
      </c>
      <c r="U160" s="15"/>
      <c r="V160" s="15">
        <f>M160*U160</f>
        <v>0</v>
      </c>
      <c r="W160" s="15">
        <f>T160-V160</f>
        <v>8500</v>
      </c>
      <c r="X160" s="17">
        <f>IF(T160&gt;0, W160/T160, 0)</f>
        <v>1</v>
      </c>
      <c r="Y160" s="8" t="s">
        <v>60</v>
      </c>
      <c r="Z160" s="10" t="s">
        <v>42</v>
      </c>
      <c r="AA160" s="10" t="s">
        <v>43</v>
      </c>
      <c r="AB160" s="10" t="s">
        <v>44</v>
      </c>
      <c r="AC160" s="8" t="s">
        <v>44</v>
      </c>
    </row>
    <row r="161" spans="1:29">
      <c r="A161" s="11">
        <v>154</v>
      </c>
      <c r="B161" s="11" t="s">
        <v>334</v>
      </c>
      <c r="C161" s="11" t="s">
        <v>331</v>
      </c>
      <c r="D161" s="11" t="s">
        <v>201</v>
      </c>
      <c r="E161" s="11" t="s">
        <v>34</v>
      </c>
      <c r="F161" s="11" t="s">
        <v>35</v>
      </c>
      <c r="G161" s="9" t="s">
        <v>161</v>
      </c>
      <c r="H161" s="9" t="s">
        <v>162</v>
      </c>
      <c r="I161" s="9" t="s">
        <v>162</v>
      </c>
      <c r="J161" s="11" t="s">
        <v>44</v>
      </c>
      <c r="K161" s="11" t="s">
        <v>335</v>
      </c>
      <c r="L161" s="11" t="s">
        <v>40</v>
      </c>
      <c r="M161" s="13">
        <v>1</v>
      </c>
      <c r="N161" s="16">
        <v>5000.0</v>
      </c>
      <c r="O161" s="16"/>
      <c r="P161" s="18">
        <f>IF(N161&gt;0, O161/N161, 0)</f>
        <v>0</v>
      </c>
      <c r="Q161" s="16">
        <f>N161-O161</f>
        <v>5000</v>
      </c>
      <c r="R161" s="16">
        <f>M161*N161</f>
        <v>5000</v>
      </c>
      <c r="S161" s="16">
        <f>M161*O161</f>
        <v>0</v>
      </c>
      <c r="T161" s="16">
        <f>M161*Q161</f>
        <v>5000</v>
      </c>
      <c r="U161" s="16"/>
      <c r="V161" s="16">
        <f>M161*U161</f>
        <v>0</v>
      </c>
      <c r="W161" s="16">
        <f>T161-V161</f>
        <v>5000</v>
      </c>
      <c r="X161" s="18">
        <f>IF(T161&gt;0, W161/T161, 0)</f>
        <v>1</v>
      </c>
      <c r="Y161" s="9" t="s">
        <v>60</v>
      </c>
      <c r="Z161" s="11" t="s">
        <v>42</v>
      </c>
      <c r="AA161" s="11" t="s">
        <v>43</v>
      </c>
      <c r="AB161" s="11" t="s">
        <v>44</v>
      </c>
      <c r="AC161" s="9" t="s">
        <v>44</v>
      </c>
    </row>
    <row r="162" spans="1:29">
      <c r="A162" s="10">
        <v>155</v>
      </c>
      <c r="B162" s="10" t="s">
        <v>336</v>
      </c>
      <c r="C162" s="10" t="s">
        <v>331</v>
      </c>
      <c r="D162" s="10" t="s">
        <v>201</v>
      </c>
      <c r="E162" s="10" t="s">
        <v>34</v>
      </c>
      <c r="F162" s="10" t="s">
        <v>144</v>
      </c>
      <c r="G162" s="8" t="s">
        <v>52</v>
      </c>
      <c r="H162" s="8" t="s">
        <v>65</v>
      </c>
      <c r="I162" s="8" t="s">
        <v>151</v>
      </c>
      <c r="J162" s="10">
        <v>122</v>
      </c>
      <c r="K162" s="10" t="s">
        <v>244</v>
      </c>
      <c r="L162" s="10" t="s">
        <v>40</v>
      </c>
      <c r="M162" s="12">
        <v>1</v>
      </c>
      <c r="N162" s="15">
        <v>10000.0</v>
      </c>
      <c r="O162" s="15"/>
      <c r="P162" s="17">
        <f>IF(N162&gt;0, O162/N162, 0)</f>
        <v>0</v>
      </c>
      <c r="Q162" s="15">
        <f>N162-O162</f>
        <v>10000</v>
      </c>
      <c r="R162" s="15">
        <f>M162*N162</f>
        <v>10000</v>
      </c>
      <c r="S162" s="15">
        <f>M162*O162</f>
        <v>0</v>
      </c>
      <c r="T162" s="15">
        <f>M162*Q162</f>
        <v>10000</v>
      </c>
      <c r="U162" s="15"/>
      <c r="V162" s="15">
        <f>M162*U162</f>
        <v>0</v>
      </c>
      <c r="W162" s="15">
        <f>T162-V162</f>
        <v>10000</v>
      </c>
      <c r="X162" s="17">
        <f>IF(T162&gt;0, W162/T162, 0)</f>
        <v>1</v>
      </c>
      <c r="Y162" s="8" t="s">
        <v>60</v>
      </c>
      <c r="Z162" s="10" t="s">
        <v>42</v>
      </c>
      <c r="AA162" s="10" t="s">
        <v>43</v>
      </c>
      <c r="AB162" s="10" t="s">
        <v>44</v>
      </c>
      <c r="AC162" s="8" t="s">
        <v>146</v>
      </c>
    </row>
    <row r="163" spans="1:29">
      <c r="A163" s="11">
        <v>156</v>
      </c>
      <c r="B163" s="11" t="s">
        <v>337</v>
      </c>
      <c r="C163" s="11" t="s">
        <v>331</v>
      </c>
      <c r="D163" s="11" t="s">
        <v>201</v>
      </c>
      <c r="E163" s="11" t="s">
        <v>34</v>
      </c>
      <c r="F163" s="11" t="s">
        <v>35</v>
      </c>
      <c r="G163" s="9" t="s">
        <v>36</v>
      </c>
      <c r="H163" s="9" t="s">
        <v>37</v>
      </c>
      <c r="I163" s="9" t="s">
        <v>38</v>
      </c>
      <c r="J163" s="11">
        <v>182</v>
      </c>
      <c r="K163" s="11" t="s">
        <v>338</v>
      </c>
      <c r="L163" s="11" t="s">
        <v>40</v>
      </c>
      <c r="M163" s="13">
        <v>1</v>
      </c>
      <c r="N163" s="16">
        <v>8000.0</v>
      </c>
      <c r="O163" s="16"/>
      <c r="P163" s="18">
        <f>IF(N163&gt;0, O163/N163, 0)</f>
        <v>0</v>
      </c>
      <c r="Q163" s="16">
        <f>N163-O163</f>
        <v>8000</v>
      </c>
      <c r="R163" s="16">
        <f>M163*N163</f>
        <v>8000</v>
      </c>
      <c r="S163" s="16">
        <f>M163*O163</f>
        <v>0</v>
      </c>
      <c r="T163" s="16">
        <f>M163*Q163</f>
        <v>8000</v>
      </c>
      <c r="U163" s="16"/>
      <c r="V163" s="16">
        <f>M163*U163</f>
        <v>0</v>
      </c>
      <c r="W163" s="16">
        <f>T163-V163</f>
        <v>8000</v>
      </c>
      <c r="X163" s="18">
        <f>IF(T163&gt;0, W163/T163, 0)</f>
        <v>1</v>
      </c>
      <c r="Y163" s="9" t="s">
        <v>60</v>
      </c>
      <c r="Z163" s="11" t="s">
        <v>42</v>
      </c>
      <c r="AA163" s="11" t="s">
        <v>43</v>
      </c>
      <c r="AB163" s="11" t="s">
        <v>44</v>
      </c>
      <c r="AC163" s="9" t="s">
        <v>44</v>
      </c>
    </row>
    <row r="164" spans="1:29">
      <c r="A164" s="10">
        <v>157</v>
      </c>
      <c r="B164" s="10" t="s">
        <v>339</v>
      </c>
      <c r="C164" s="10" t="s">
        <v>331</v>
      </c>
      <c r="D164" s="10" t="s">
        <v>201</v>
      </c>
      <c r="E164" s="10" t="s">
        <v>34</v>
      </c>
      <c r="F164" s="10" t="s">
        <v>35</v>
      </c>
      <c r="G164" s="8" t="s">
        <v>36</v>
      </c>
      <c r="H164" s="8" t="s">
        <v>53</v>
      </c>
      <c r="I164" s="8" t="s">
        <v>53</v>
      </c>
      <c r="J164" s="10">
        <v>182</v>
      </c>
      <c r="K164" s="10" t="s">
        <v>324</v>
      </c>
      <c r="L164" s="10" t="s">
        <v>40</v>
      </c>
      <c r="M164" s="12">
        <v>1</v>
      </c>
      <c r="N164" s="15">
        <v>8500.0</v>
      </c>
      <c r="O164" s="15"/>
      <c r="P164" s="17">
        <f>IF(N164&gt;0, O164/N164, 0)</f>
        <v>0</v>
      </c>
      <c r="Q164" s="15">
        <f>N164-O164</f>
        <v>8500</v>
      </c>
      <c r="R164" s="15">
        <f>M164*N164</f>
        <v>8500</v>
      </c>
      <c r="S164" s="15">
        <f>M164*O164</f>
        <v>0</v>
      </c>
      <c r="T164" s="15">
        <f>M164*Q164</f>
        <v>8500</v>
      </c>
      <c r="U164" s="15"/>
      <c r="V164" s="15">
        <f>M164*U164</f>
        <v>0</v>
      </c>
      <c r="W164" s="15">
        <f>T164-V164</f>
        <v>8500</v>
      </c>
      <c r="X164" s="17">
        <f>IF(T164&gt;0, W164/T164, 0)</f>
        <v>1</v>
      </c>
      <c r="Y164" s="8" t="s">
        <v>60</v>
      </c>
      <c r="Z164" s="10" t="s">
        <v>42</v>
      </c>
      <c r="AA164" s="10" t="s">
        <v>43</v>
      </c>
      <c r="AB164" s="10" t="s">
        <v>44</v>
      </c>
      <c r="AC164" s="8" t="s">
        <v>44</v>
      </c>
    </row>
    <row r="165" spans="1:29">
      <c r="A165" s="11">
        <v>158</v>
      </c>
      <c r="B165" s="11" t="s">
        <v>340</v>
      </c>
      <c r="C165" s="11" t="s">
        <v>331</v>
      </c>
      <c r="D165" s="11" t="s">
        <v>201</v>
      </c>
      <c r="E165" s="11" t="s">
        <v>34</v>
      </c>
      <c r="F165" s="11" t="s">
        <v>144</v>
      </c>
      <c r="G165" s="9" t="s">
        <v>52</v>
      </c>
      <c r="H165" s="9" t="s">
        <v>65</v>
      </c>
      <c r="I165" s="9" t="s">
        <v>151</v>
      </c>
      <c r="J165" s="11">
        <v>128</v>
      </c>
      <c r="K165" s="11" t="s">
        <v>168</v>
      </c>
      <c r="L165" s="11" t="s">
        <v>40</v>
      </c>
      <c r="M165" s="13">
        <v>1</v>
      </c>
      <c r="N165" s="16">
        <v>10000.0</v>
      </c>
      <c r="O165" s="16"/>
      <c r="P165" s="18">
        <f>IF(N165&gt;0, O165/N165, 0)</f>
        <v>0</v>
      </c>
      <c r="Q165" s="16">
        <f>N165-O165</f>
        <v>10000</v>
      </c>
      <c r="R165" s="16">
        <f>M165*N165</f>
        <v>10000</v>
      </c>
      <c r="S165" s="16">
        <f>M165*O165</f>
        <v>0</v>
      </c>
      <c r="T165" s="16">
        <f>M165*Q165</f>
        <v>10000</v>
      </c>
      <c r="U165" s="16"/>
      <c r="V165" s="16">
        <f>M165*U165</f>
        <v>0</v>
      </c>
      <c r="W165" s="16">
        <f>T165-V165</f>
        <v>10000</v>
      </c>
      <c r="X165" s="18">
        <f>IF(T165&gt;0, W165/T165, 0)</f>
        <v>1</v>
      </c>
      <c r="Y165" s="9" t="s">
        <v>60</v>
      </c>
      <c r="Z165" s="11" t="s">
        <v>42</v>
      </c>
      <c r="AA165" s="11" t="s">
        <v>43</v>
      </c>
      <c r="AB165" s="11" t="s">
        <v>44</v>
      </c>
      <c r="AC165" s="9" t="s">
        <v>146</v>
      </c>
    </row>
    <row r="166" spans="1:29">
      <c r="A166" s="10">
        <v>159</v>
      </c>
      <c r="B166" s="10" t="s">
        <v>341</v>
      </c>
      <c r="C166" s="10" t="s">
        <v>331</v>
      </c>
      <c r="D166" s="10" t="s">
        <v>201</v>
      </c>
      <c r="E166" s="10" t="s">
        <v>34</v>
      </c>
      <c r="F166" s="10" t="s">
        <v>144</v>
      </c>
      <c r="G166" s="8" t="s">
        <v>52</v>
      </c>
      <c r="H166" s="8" t="s">
        <v>65</v>
      </c>
      <c r="I166" s="8" t="s">
        <v>151</v>
      </c>
      <c r="J166" s="10">
        <v>152</v>
      </c>
      <c r="K166" s="10" t="s">
        <v>254</v>
      </c>
      <c r="L166" s="10" t="s">
        <v>40</v>
      </c>
      <c r="M166" s="12">
        <v>1</v>
      </c>
      <c r="N166" s="15">
        <v>12000.0</v>
      </c>
      <c r="O166" s="15"/>
      <c r="P166" s="17">
        <f>IF(N166&gt;0, O166/N166, 0)</f>
        <v>0</v>
      </c>
      <c r="Q166" s="15">
        <f>N166-O166</f>
        <v>12000</v>
      </c>
      <c r="R166" s="15">
        <f>M166*N166</f>
        <v>12000</v>
      </c>
      <c r="S166" s="15">
        <f>M166*O166</f>
        <v>0</v>
      </c>
      <c r="T166" s="15">
        <f>M166*Q166</f>
        <v>12000</v>
      </c>
      <c r="U166" s="15"/>
      <c r="V166" s="15">
        <f>M166*U166</f>
        <v>0</v>
      </c>
      <c r="W166" s="15">
        <f>T166-V166</f>
        <v>12000</v>
      </c>
      <c r="X166" s="17">
        <f>IF(T166&gt;0, W166/T166, 0)</f>
        <v>1</v>
      </c>
      <c r="Y166" s="8" t="s">
        <v>60</v>
      </c>
      <c r="Z166" s="10" t="s">
        <v>42</v>
      </c>
      <c r="AA166" s="10" t="s">
        <v>43</v>
      </c>
      <c r="AB166" s="10" t="s">
        <v>44</v>
      </c>
      <c r="AC166" s="8" t="s">
        <v>146</v>
      </c>
    </row>
    <row r="167" spans="1:29">
      <c r="A167" s="11">
        <v>160</v>
      </c>
      <c r="B167" s="11" t="s">
        <v>342</v>
      </c>
      <c r="C167" s="11" t="s">
        <v>331</v>
      </c>
      <c r="D167" s="11" t="s">
        <v>201</v>
      </c>
      <c r="E167" s="11" t="s">
        <v>34</v>
      </c>
      <c r="F167" s="11" t="s">
        <v>35</v>
      </c>
      <c r="G167" s="9" t="s">
        <v>52</v>
      </c>
      <c r="H167" s="9" t="s">
        <v>37</v>
      </c>
      <c r="I167" s="9" t="s">
        <v>75</v>
      </c>
      <c r="J167" s="11">
        <v>146</v>
      </c>
      <c r="K167" s="11" t="s">
        <v>343</v>
      </c>
      <c r="L167" s="11" t="s">
        <v>55</v>
      </c>
      <c r="M167" s="13">
        <v>1</v>
      </c>
      <c r="N167" s="16">
        <v>8000.0</v>
      </c>
      <c r="O167" s="16"/>
      <c r="P167" s="18">
        <f>IF(N167&gt;0, O167/N167, 0)</f>
        <v>0</v>
      </c>
      <c r="Q167" s="16">
        <f>N167-O167</f>
        <v>8000</v>
      </c>
      <c r="R167" s="16">
        <f>M167*N167</f>
        <v>8000</v>
      </c>
      <c r="S167" s="16">
        <f>M167*O167</f>
        <v>0</v>
      </c>
      <c r="T167" s="16">
        <f>M167*Q167</f>
        <v>8000</v>
      </c>
      <c r="U167" s="16"/>
      <c r="V167" s="16">
        <f>M167*U167</f>
        <v>0</v>
      </c>
      <c r="W167" s="16">
        <f>T167-V167</f>
        <v>8000</v>
      </c>
      <c r="X167" s="18">
        <f>IF(T167&gt;0, W167/T167, 0)</f>
        <v>1</v>
      </c>
      <c r="Y167" s="9" t="s">
        <v>60</v>
      </c>
      <c r="Z167" s="11" t="s">
        <v>42</v>
      </c>
      <c r="AA167" s="11" t="s">
        <v>43</v>
      </c>
      <c r="AB167" s="11" t="s">
        <v>44</v>
      </c>
      <c r="AC167" s="9" t="s">
        <v>44</v>
      </c>
    </row>
    <row r="168" spans="1:29">
      <c r="A168" s="10">
        <v>161</v>
      </c>
      <c r="B168" s="10" t="s">
        <v>344</v>
      </c>
      <c r="C168" s="10" t="s">
        <v>331</v>
      </c>
      <c r="D168" s="10" t="s">
        <v>201</v>
      </c>
      <c r="E168" s="10" t="s">
        <v>34</v>
      </c>
      <c r="F168" s="10" t="s">
        <v>35</v>
      </c>
      <c r="G168" s="8" t="s">
        <v>52</v>
      </c>
      <c r="H168" s="8" t="s">
        <v>71</v>
      </c>
      <c r="I168" s="8" t="s">
        <v>71</v>
      </c>
      <c r="J168" s="10">
        <v>134</v>
      </c>
      <c r="K168" s="10" t="s">
        <v>212</v>
      </c>
      <c r="L168" s="10" t="s">
        <v>40</v>
      </c>
      <c r="M168" s="12">
        <v>1</v>
      </c>
      <c r="N168" s="15">
        <v>16000.0</v>
      </c>
      <c r="O168" s="15"/>
      <c r="P168" s="17">
        <f>IF(N168&gt;0, O168/N168, 0)</f>
        <v>0</v>
      </c>
      <c r="Q168" s="15">
        <f>N168-O168</f>
        <v>16000</v>
      </c>
      <c r="R168" s="15">
        <f>M168*N168</f>
        <v>16000</v>
      </c>
      <c r="S168" s="15">
        <f>M168*O168</f>
        <v>0</v>
      </c>
      <c r="T168" s="15">
        <f>M168*Q168</f>
        <v>16000</v>
      </c>
      <c r="U168" s="15"/>
      <c r="V168" s="15">
        <f>M168*U168</f>
        <v>0</v>
      </c>
      <c r="W168" s="15">
        <f>T168-V168</f>
        <v>16000</v>
      </c>
      <c r="X168" s="17">
        <f>IF(T168&gt;0, W168/T168, 0)</f>
        <v>1</v>
      </c>
      <c r="Y168" s="8" t="s">
        <v>60</v>
      </c>
      <c r="Z168" s="10" t="s">
        <v>42</v>
      </c>
      <c r="AA168" s="10" t="s">
        <v>43</v>
      </c>
      <c r="AB168" s="10" t="s">
        <v>44</v>
      </c>
      <c r="AC168" s="8" t="s">
        <v>44</v>
      </c>
    </row>
    <row r="169" spans="1:29">
      <c r="A169" s="11">
        <v>162</v>
      </c>
      <c r="B169" s="11" t="s">
        <v>345</v>
      </c>
      <c r="C169" s="11" t="s">
        <v>331</v>
      </c>
      <c r="D169" s="11" t="s">
        <v>201</v>
      </c>
      <c r="E169" s="11" t="s">
        <v>34</v>
      </c>
      <c r="F169" s="11" t="s">
        <v>144</v>
      </c>
      <c r="G169" s="9" t="s">
        <v>36</v>
      </c>
      <c r="H169" s="9" t="s">
        <v>71</v>
      </c>
      <c r="I169" s="9" t="s">
        <v>71</v>
      </c>
      <c r="J169" s="11">
        <v>164</v>
      </c>
      <c r="K169" s="11" t="s">
        <v>72</v>
      </c>
      <c r="L169" s="11" t="s">
        <v>40</v>
      </c>
      <c r="M169" s="13">
        <v>1</v>
      </c>
      <c r="N169" s="16">
        <v>18000.0</v>
      </c>
      <c r="O169" s="16"/>
      <c r="P169" s="18">
        <f>IF(N169&gt;0, O169/N169, 0)</f>
        <v>0</v>
      </c>
      <c r="Q169" s="16">
        <f>N169-O169</f>
        <v>18000</v>
      </c>
      <c r="R169" s="16">
        <f>M169*N169</f>
        <v>18000</v>
      </c>
      <c r="S169" s="16">
        <f>M169*O169</f>
        <v>0</v>
      </c>
      <c r="T169" s="16">
        <f>M169*Q169</f>
        <v>18000</v>
      </c>
      <c r="U169" s="16"/>
      <c r="V169" s="16">
        <f>M169*U169</f>
        <v>0</v>
      </c>
      <c r="W169" s="16">
        <f>T169-V169</f>
        <v>18000</v>
      </c>
      <c r="X169" s="18">
        <f>IF(T169&gt;0, W169/T169, 0)</f>
        <v>1</v>
      </c>
      <c r="Y169" s="9" t="s">
        <v>60</v>
      </c>
      <c r="Z169" s="11" t="s">
        <v>42</v>
      </c>
      <c r="AA169" s="11" t="s">
        <v>43</v>
      </c>
      <c r="AB169" s="11" t="s">
        <v>44</v>
      </c>
      <c r="AC169" s="9" t="s">
        <v>146</v>
      </c>
    </row>
    <row r="170" spans="1:29">
      <c r="A170" s="10">
        <v>163</v>
      </c>
      <c r="B170" s="10" t="s">
        <v>346</v>
      </c>
      <c r="C170" s="10" t="s">
        <v>331</v>
      </c>
      <c r="D170" s="10" t="s">
        <v>201</v>
      </c>
      <c r="E170" s="10" t="s">
        <v>34</v>
      </c>
      <c r="F170" s="10" t="s">
        <v>35</v>
      </c>
      <c r="G170" s="8" t="s">
        <v>36</v>
      </c>
      <c r="H170" s="8" t="s">
        <v>71</v>
      </c>
      <c r="I170" s="8" t="s">
        <v>71</v>
      </c>
      <c r="J170" s="10">
        <v>152</v>
      </c>
      <c r="K170" s="10" t="s">
        <v>210</v>
      </c>
      <c r="L170" s="10" t="s">
        <v>40</v>
      </c>
      <c r="M170" s="12">
        <v>1</v>
      </c>
      <c r="N170" s="15">
        <v>16000.0</v>
      </c>
      <c r="O170" s="15"/>
      <c r="P170" s="17">
        <f>IF(N170&gt;0, O170/N170, 0)</f>
        <v>0</v>
      </c>
      <c r="Q170" s="15">
        <f>N170-O170</f>
        <v>16000</v>
      </c>
      <c r="R170" s="15">
        <f>M170*N170</f>
        <v>16000</v>
      </c>
      <c r="S170" s="15">
        <f>M170*O170</f>
        <v>0</v>
      </c>
      <c r="T170" s="15">
        <f>M170*Q170</f>
        <v>16000</v>
      </c>
      <c r="U170" s="15"/>
      <c r="V170" s="15">
        <f>M170*U170</f>
        <v>0</v>
      </c>
      <c r="W170" s="15">
        <f>T170-V170</f>
        <v>16000</v>
      </c>
      <c r="X170" s="17">
        <f>IF(T170&gt;0, W170/T170, 0)</f>
        <v>1</v>
      </c>
      <c r="Y170" s="8" t="s">
        <v>60</v>
      </c>
      <c r="Z170" s="10" t="s">
        <v>42</v>
      </c>
      <c r="AA170" s="10" t="s">
        <v>43</v>
      </c>
      <c r="AB170" s="10" t="s">
        <v>44</v>
      </c>
      <c r="AC170" s="8" t="s">
        <v>44</v>
      </c>
    </row>
    <row r="171" spans="1:29">
      <c r="A171" s="11">
        <v>164</v>
      </c>
      <c r="B171" s="11" t="s">
        <v>347</v>
      </c>
      <c r="C171" s="11" t="s">
        <v>331</v>
      </c>
      <c r="D171" s="11" t="s">
        <v>201</v>
      </c>
      <c r="E171" s="11" t="s">
        <v>34</v>
      </c>
      <c r="F171" s="11" t="s">
        <v>35</v>
      </c>
      <c r="G171" s="9" t="s">
        <v>36</v>
      </c>
      <c r="H171" s="9" t="s">
        <v>47</v>
      </c>
      <c r="I171" s="9" t="s">
        <v>48</v>
      </c>
      <c r="J171" s="11">
        <v>152</v>
      </c>
      <c r="K171" s="11" t="s">
        <v>348</v>
      </c>
      <c r="L171" s="11" t="s">
        <v>40</v>
      </c>
      <c r="M171" s="13">
        <v>1</v>
      </c>
      <c r="N171" s="16">
        <v>18000.0</v>
      </c>
      <c r="O171" s="16"/>
      <c r="P171" s="18">
        <f>IF(N171&gt;0, O171/N171, 0)</f>
        <v>0</v>
      </c>
      <c r="Q171" s="16">
        <f>N171-O171</f>
        <v>18000</v>
      </c>
      <c r="R171" s="16">
        <f>M171*N171</f>
        <v>18000</v>
      </c>
      <c r="S171" s="16">
        <f>M171*O171</f>
        <v>0</v>
      </c>
      <c r="T171" s="16">
        <f>M171*Q171</f>
        <v>18000</v>
      </c>
      <c r="U171" s="16"/>
      <c r="V171" s="16">
        <f>M171*U171</f>
        <v>0</v>
      </c>
      <c r="W171" s="16">
        <f>T171-V171</f>
        <v>18000</v>
      </c>
      <c r="X171" s="18">
        <f>IF(T171&gt;0, W171/T171, 0)</f>
        <v>1</v>
      </c>
      <c r="Y171" s="9" t="s">
        <v>60</v>
      </c>
      <c r="Z171" s="11" t="s">
        <v>42</v>
      </c>
      <c r="AA171" s="11" t="s">
        <v>43</v>
      </c>
      <c r="AB171" s="11" t="s">
        <v>44</v>
      </c>
      <c r="AC171" s="9" t="s">
        <v>44</v>
      </c>
    </row>
    <row r="172" spans="1:29">
      <c r="A172" s="10">
        <v>165</v>
      </c>
      <c r="B172" s="10" t="s">
        <v>349</v>
      </c>
      <c r="C172" s="10" t="s">
        <v>331</v>
      </c>
      <c r="D172" s="10" t="s">
        <v>201</v>
      </c>
      <c r="E172" s="10" t="s">
        <v>34</v>
      </c>
      <c r="F172" s="10" t="s">
        <v>35</v>
      </c>
      <c r="G172" s="8" t="s">
        <v>36</v>
      </c>
      <c r="H172" s="8" t="s">
        <v>53</v>
      </c>
      <c r="I172" s="8" t="s">
        <v>53</v>
      </c>
      <c r="J172" s="10">
        <v>164</v>
      </c>
      <c r="K172" s="10" t="s">
        <v>63</v>
      </c>
      <c r="L172" s="10" t="s">
        <v>40</v>
      </c>
      <c r="M172" s="12">
        <v>1</v>
      </c>
      <c r="N172" s="15">
        <v>8500.0</v>
      </c>
      <c r="O172" s="15"/>
      <c r="P172" s="17">
        <f>IF(N172&gt;0, O172/N172, 0)</f>
        <v>0</v>
      </c>
      <c r="Q172" s="15">
        <f>N172-O172</f>
        <v>8500</v>
      </c>
      <c r="R172" s="15">
        <f>M172*N172</f>
        <v>8500</v>
      </c>
      <c r="S172" s="15">
        <f>M172*O172</f>
        <v>0</v>
      </c>
      <c r="T172" s="15">
        <f>M172*Q172</f>
        <v>8500</v>
      </c>
      <c r="U172" s="15"/>
      <c r="V172" s="15">
        <f>M172*U172</f>
        <v>0</v>
      </c>
      <c r="W172" s="15">
        <f>T172-V172</f>
        <v>8500</v>
      </c>
      <c r="X172" s="17">
        <f>IF(T172&gt;0, W172/T172, 0)</f>
        <v>1</v>
      </c>
      <c r="Y172" s="8" t="s">
        <v>60</v>
      </c>
      <c r="Z172" s="10" t="s">
        <v>42</v>
      </c>
      <c r="AA172" s="10" t="s">
        <v>43</v>
      </c>
      <c r="AB172" s="10" t="s">
        <v>44</v>
      </c>
      <c r="AC172" s="8" t="s">
        <v>44</v>
      </c>
    </row>
    <row r="173" spans="1:29">
      <c r="A173" s="11">
        <v>166</v>
      </c>
      <c r="B173" s="11" t="s">
        <v>350</v>
      </c>
      <c r="C173" s="11" t="s">
        <v>331</v>
      </c>
      <c r="D173" s="11" t="s">
        <v>201</v>
      </c>
      <c r="E173" s="11" t="s">
        <v>34</v>
      </c>
      <c r="F173" s="11" t="s">
        <v>35</v>
      </c>
      <c r="G173" s="9" t="s">
        <v>36</v>
      </c>
      <c r="H173" s="9" t="s">
        <v>37</v>
      </c>
      <c r="I173" s="9" t="s">
        <v>38</v>
      </c>
      <c r="J173" s="11">
        <v>170</v>
      </c>
      <c r="K173" s="11" t="s">
        <v>145</v>
      </c>
      <c r="L173" s="11" t="s">
        <v>40</v>
      </c>
      <c r="M173" s="13">
        <v>2</v>
      </c>
      <c r="N173" s="16">
        <v>7000.0</v>
      </c>
      <c r="O173" s="16"/>
      <c r="P173" s="18">
        <f>IF(N173&gt;0, O173/N173, 0)</f>
        <v>0</v>
      </c>
      <c r="Q173" s="16">
        <f>N173-O173</f>
        <v>7000</v>
      </c>
      <c r="R173" s="16">
        <f>M173*N173</f>
        <v>14000</v>
      </c>
      <c r="S173" s="16">
        <f>M173*O173</f>
        <v>0</v>
      </c>
      <c r="T173" s="16">
        <f>M173*Q173</f>
        <v>14000</v>
      </c>
      <c r="U173" s="16"/>
      <c r="V173" s="16">
        <f>M173*U173</f>
        <v>0</v>
      </c>
      <c r="W173" s="16">
        <f>T173-V173</f>
        <v>14000</v>
      </c>
      <c r="X173" s="18">
        <f>IF(T173&gt;0, W173/T173, 0)</f>
        <v>1</v>
      </c>
      <c r="Y173" s="9" t="s">
        <v>60</v>
      </c>
      <c r="Z173" s="11" t="s">
        <v>42</v>
      </c>
      <c r="AA173" s="11" t="s">
        <v>43</v>
      </c>
      <c r="AB173" s="11" t="s">
        <v>44</v>
      </c>
      <c r="AC173" s="9" t="s">
        <v>44</v>
      </c>
    </row>
    <row r="174" spans="1:29">
      <c r="A174" s="10">
        <v>167</v>
      </c>
      <c r="B174" s="10" t="s">
        <v>351</v>
      </c>
      <c r="C174" s="10" t="s">
        <v>352</v>
      </c>
      <c r="D174" s="10" t="s">
        <v>201</v>
      </c>
      <c r="E174" s="10" t="s">
        <v>34</v>
      </c>
      <c r="F174" s="10" t="s">
        <v>35</v>
      </c>
      <c r="G174" s="8" t="s">
        <v>52</v>
      </c>
      <c r="H174" s="8" t="s">
        <v>71</v>
      </c>
      <c r="I174" s="8" t="s">
        <v>71</v>
      </c>
      <c r="J174" s="10">
        <v>152</v>
      </c>
      <c r="K174" s="10" t="s">
        <v>353</v>
      </c>
      <c r="L174" s="10" t="s">
        <v>40</v>
      </c>
      <c r="M174" s="12">
        <v>1</v>
      </c>
      <c r="N174" s="15">
        <v>16000.0</v>
      </c>
      <c r="O174" s="15"/>
      <c r="P174" s="17">
        <f>IF(N174&gt;0, O174/N174, 0)</f>
        <v>0</v>
      </c>
      <c r="Q174" s="15">
        <f>N174-O174</f>
        <v>16000</v>
      </c>
      <c r="R174" s="15">
        <f>M174*N174</f>
        <v>16000</v>
      </c>
      <c r="S174" s="15">
        <f>M174*O174</f>
        <v>0</v>
      </c>
      <c r="T174" s="15">
        <f>M174*Q174</f>
        <v>16000</v>
      </c>
      <c r="U174" s="15"/>
      <c r="V174" s="15">
        <f>M174*U174</f>
        <v>0</v>
      </c>
      <c r="W174" s="15">
        <f>T174-V174</f>
        <v>16000</v>
      </c>
      <c r="X174" s="17">
        <f>IF(T174&gt;0, W174/T174, 0)</f>
        <v>1</v>
      </c>
      <c r="Y174" s="8" t="s">
        <v>41</v>
      </c>
      <c r="Z174" s="10" t="s">
        <v>42</v>
      </c>
      <c r="AA174" s="10" t="s">
        <v>43</v>
      </c>
      <c r="AB174" s="10" t="s">
        <v>44</v>
      </c>
      <c r="AC174" s="8" t="s">
        <v>44</v>
      </c>
    </row>
    <row r="175" spans="1:29">
      <c r="A175" s="11">
        <v>168</v>
      </c>
      <c r="B175" s="11" t="s">
        <v>354</v>
      </c>
      <c r="C175" s="11" t="s">
        <v>352</v>
      </c>
      <c r="D175" s="11" t="s">
        <v>201</v>
      </c>
      <c r="E175" s="11" t="s">
        <v>34</v>
      </c>
      <c r="F175" s="11" t="s">
        <v>35</v>
      </c>
      <c r="G175" s="9" t="s">
        <v>36</v>
      </c>
      <c r="H175" s="9" t="s">
        <v>37</v>
      </c>
      <c r="I175" s="9" t="s">
        <v>38</v>
      </c>
      <c r="J175" s="11">
        <v>176</v>
      </c>
      <c r="K175" s="11" t="s">
        <v>355</v>
      </c>
      <c r="L175" s="11" t="s">
        <v>40</v>
      </c>
      <c r="M175" s="13">
        <v>1</v>
      </c>
      <c r="N175" s="16">
        <v>8000.0</v>
      </c>
      <c r="O175" s="16"/>
      <c r="P175" s="18">
        <f>IF(N175&gt;0, O175/N175, 0)</f>
        <v>0</v>
      </c>
      <c r="Q175" s="16">
        <f>N175-O175</f>
        <v>8000</v>
      </c>
      <c r="R175" s="16">
        <f>M175*N175</f>
        <v>8000</v>
      </c>
      <c r="S175" s="16">
        <f>M175*O175</f>
        <v>0</v>
      </c>
      <c r="T175" s="16">
        <f>M175*Q175</f>
        <v>8000</v>
      </c>
      <c r="U175" s="16"/>
      <c r="V175" s="16">
        <f>M175*U175</f>
        <v>0</v>
      </c>
      <c r="W175" s="16">
        <f>T175-V175</f>
        <v>8000</v>
      </c>
      <c r="X175" s="18">
        <f>IF(T175&gt;0, W175/T175, 0)</f>
        <v>1</v>
      </c>
      <c r="Y175" s="9" t="s">
        <v>41</v>
      </c>
      <c r="Z175" s="11" t="s">
        <v>42</v>
      </c>
      <c r="AA175" s="11" t="s">
        <v>43</v>
      </c>
      <c r="AB175" s="11" t="s">
        <v>44</v>
      </c>
      <c r="AC175" s="9" t="s">
        <v>44</v>
      </c>
    </row>
    <row r="176" spans="1:29">
      <c r="A176" s="10">
        <v>169</v>
      </c>
      <c r="B176" s="10" t="s">
        <v>356</v>
      </c>
      <c r="C176" s="10" t="s">
        <v>352</v>
      </c>
      <c r="D176" s="10" t="s">
        <v>201</v>
      </c>
      <c r="E176" s="10" t="s">
        <v>34</v>
      </c>
      <c r="F176" s="10" t="s">
        <v>35</v>
      </c>
      <c r="G176" s="8" t="s">
        <v>36</v>
      </c>
      <c r="H176" s="8" t="s">
        <v>37</v>
      </c>
      <c r="I176" s="8" t="s">
        <v>75</v>
      </c>
      <c r="J176" s="10">
        <v>182</v>
      </c>
      <c r="K176" s="10" t="s">
        <v>357</v>
      </c>
      <c r="L176" s="10" t="s">
        <v>40</v>
      </c>
      <c r="M176" s="12">
        <v>1</v>
      </c>
      <c r="N176" s="15">
        <v>9000.0</v>
      </c>
      <c r="O176" s="15"/>
      <c r="P176" s="17">
        <f>IF(N176&gt;0, O176/N176, 0)</f>
        <v>0</v>
      </c>
      <c r="Q176" s="15">
        <f>N176-O176</f>
        <v>9000</v>
      </c>
      <c r="R176" s="15">
        <f>M176*N176</f>
        <v>9000</v>
      </c>
      <c r="S176" s="15">
        <f>M176*O176</f>
        <v>0</v>
      </c>
      <c r="T176" s="15">
        <f>M176*Q176</f>
        <v>9000</v>
      </c>
      <c r="U176" s="15"/>
      <c r="V176" s="15">
        <f>M176*U176</f>
        <v>0</v>
      </c>
      <c r="W176" s="15">
        <f>T176-V176</f>
        <v>9000</v>
      </c>
      <c r="X176" s="17">
        <f>IF(T176&gt;0, W176/T176, 0)</f>
        <v>1</v>
      </c>
      <c r="Y176" s="8" t="s">
        <v>41</v>
      </c>
      <c r="Z176" s="10" t="s">
        <v>42</v>
      </c>
      <c r="AA176" s="10" t="s">
        <v>43</v>
      </c>
      <c r="AB176" s="10" t="s">
        <v>44</v>
      </c>
      <c r="AC176" s="8" t="s">
        <v>44</v>
      </c>
    </row>
    <row r="177" spans="1:29">
      <c r="A177" s="11">
        <v>170</v>
      </c>
      <c r="B177" s="11" t="s">
        <v>358</v>
      </c>
      <c r="C177" s="11" t="s">
        <v>352</v>
      </c>
      <c r="D177" s="11" t="s">
        <v>201</v>
      </c>
      <c r="E177" s="11" t="s">
        <v>34</v>
      </c>
      <c r="F177" s="11" t="s">
        <v>35</v>
      </c>
      <c r="G177" s="9" t="s">
        <v>36</v>
      </c>
      <c r="H177" s="9" t="s">
        <v>53</v>
      </c>
      <c r="I177" s="9" t="s">
        <v>53</v>
      </c>
      <c r="J177" s="11">
        <v>182</v>
      </c>
      <c r="K177" s="11" t="s">
        <v>324</v>
      </c>
      <c r="L177" s="11" t="s">
        <v>40</v>
      </c>
      <c r="M177" s="13">
        <v>1</v>
      </c>
      <c r="N177" s="16">
        <v>8500.0</v>
      </c>
      <c r="O177" s="16"/>
      <c r="P177" s="18">
        <f>IF(N177&gt;0, O177/N177, 0)</f>
        <v>0</v>
      </c>
      <c r="Q177" s="16">
        <f>N177-O177</f>
        <v>8500</v>
      </c>
      <c r="R177" s="16">
        <f>M177*N177</f>
        <v>8500</v>
      </c>
      <c r="S177" s="16">
        <f>M177*O177</f>
        <v>0</v>
      </c>
      <c r="T177" s="16">
        <f>M177*Q177</f>
        <v>8500</v>
      </c>
      <c r="U177" s="16"/>
      <c r="V177" s="16">
        <f>M177*U177</f>
        <v>0</v>
      </c>
      <c r="W177" s="16">
        <f>T177-V177</f>
        <v>8500</v>
      </c>
      <c r="X177" s="18">
        <f>IF(T177&gt;0, W177/T177, 0)</f>
        <v>1</v>
      </c>
      <c r="Y177" s="9" t="s">
        <v>41</v>
      </c>
      <c r="Z177" s="11" t="s">
        <v>42</v>
      </c>
      <c r="AA177" s="11" t="s">
        <v>43</v>
      </c>
      <c r="AB177" s="11" t="s">
        <v>44</v>
      </c>
      <c r="AC177" s="9" t="s">
        <v>44</v>
      </c>
    </row>
    <row r="178" spans="1:29">
      <c r="A178" s="10">
        <v>171</v>
      </c>
      <c r="B178" s="10" t="s">
        <v>359</v>
      </c>
      <c r="C178" s="10" t="s">
        <v>352</v>
      </c>
      <c r="D178" s="10" t="s">
        <v>201</v>
      </c>
      <c r="E178" s="10" t="s">
        <v>70</v>
      </c>
      <c r="F178" s="10" t="s">
        <v>35</v>
      </c>
      <c r="G178" s="8" t="s">
        <v>52</v>
      </c>
      <c r="H178" s="8" t="s">
        <v>65</v>
      </c>
      <c r="I178" s="8" t="s">
        <v>151</v>
      </c>
      <c r="J178" s="10">
        <v>122</v>
      </c>
      <c r="K178" s="10" t="s">
        <v>244</v>
      </c>
      <c r="L178" s="10" t="s">
        <v>40</v>
      </c>
      <c r="M178" s="12">
        <v>1</v>
      </c>
      <c r="N178" s="15">
        <v>10000.0</v>
      </c>
      <c r="O178" s="15"/>
      <c r="P178" s="17">
        <f>IF(N178&gt;0, O178/N178, 0)</f>
        <v>0</v>
      </c>
      <c r="Q178" s="15">
        <f>N178-O178</f>
        <v>10000</v>
      </c>
      <c r="R178" s="15">
        <f>M178*N178</f>
        <v>10000</v>
      </c>
      <c r="S178" s="15">
        <f>M178*O178</f>
        <v>0</v>
      </c>
      <c r="T178" s="15">
        <f>M178*Q178</f>
        <v>10000</v>
      </c>
      <c r="U178" s="15"/>
      <c r="V178" s="15">
        <f>M178*U178</f>
        <v>0</v>
      </c>
      <c r="W178" s="15">
        <f>T178-V178</f>
        <v>10000</v>
      </c>
      <c r="X178" s="17">
        <f>IF(T178&gt;0, W178/T178, 0)</f>
        <v>1</v>
      </c>
      <c r="Y178" s="8" t="s">
        <v>41</v>
      </c>
      <c r="Z178" s="10" t="s">
        <v>42</v>
      </c>
      <c r="AA178" s="10" t="s">
        <v>73</v>
      </c>
      <c r="AB178" s="10" t="s">
        <v>44</v>
      </c>
      <c r="AC178" s="8" t="s">
        <v>44</v>
      </c>
    </row>
    <row r="179" spans="1:29">
      <c r="A179" s="11">
        <v>172</v>
      </c>
      <c r="B179" s="11" t="s">
        <v>360</v>
      </c>
      <c r="C179" s="11" t="s">
        <v>352</v>
      </c>
      <c r="D179" s="11" t="s">
        <v>201</v>
      </c>
      <c r="E179" s="11" t="s">
        <v>70</v>
      </c>
      <c r="F179" s="11" t="s">
        <v>35</v>
      </c>
      <c r="G179" s="9" t="s">
        <v>161</v>
      </c>
      <c r="H179" s="9" t="s">
        <v>162</v>
      </c>
      <c r="I179" s="9" t="s">
        <v>162</v>
      </c>
      <c r="J179" s="11" t="s">
        <v>44</v>
      </c>
      <c r="K179" s="11" t="s">
        <v>361</v>
      </c>
      <c r="L179" s="11" t="s">
        <v>40</v>
      </c>
      <c r="M179" s="13">
        <v>1</v>
      </c>
      <c r="N179" s="16">
        <v>5000.0</v>
      </c>
      <c r="O179" s="16"/>
      <c r="P179" s="18">
        <f>IF(N179&gt;0, O179/N179, 0)</f>
        <v>0</v>
      </c>
      <c r="Q179" s="16">
        <f>N179-O179</f>
        <v>5000</v>
      </c>
      <c r="R179" s="16">
        <f>M179*N179</f>
        <v>5000</v>
      </c>
      <c r="S179" s="16">
        <f>M179*O179</f>
        <v>0</v>
      </c>
      <c r="T179" s="16">
        <f>M179*Q179</f>
        <v>5000</v>
      </c>
      <c r="U179" s="16"/>
      <c r="V179" s="16">
        <f>M179*U179</f>
        <v>0</v>
      </c>
      <c r="W179" s="16">
        <f>T179-V179</f>
        <v>5000</v>
      </c>
      <c r="X179" s="18">
        <f>IF(T179&gt;0, W179/T179, 0)</f>
        <v>1</v>
      </c>
      <c r="Y179" s="9" t="s">
        <v>41</v>
      </c>
      <c r="Z179" s="11" t="s">
        <v>42</v>
      </c>
      <c r="AA179" s="11" t="s">
        <v>73</v>
      </c>
      <c r="AB179" s="11" t="s">
        <v>44</v>
      </c>
      <c r="AC179" s="9" t="s">
        <v>44</v>
      </c>
    </row>
    <row r="180" spans="1:29">
      <c r="A180" s="10">
        <v>173</v>
      </c>
      <c r="B180" s="10" t="s">
        <v>362</v>
      </c>
      <c r="C180" s="10" t="s">
        <v>352</v>
      </c>
      <c r="D180" s="10" t="s">
        <v>201</v>
      </c>
      <c r="E180" s="10" t="s">
        <v>70</v>
      </c>
      <c r="F180" s="10" t="s">
        <v>35</v>
      </c>
      <c r="G180" s="8" t="s">
        <v>52</v>
      </c>
      <c r="H180" s="8" t="s">
        <v>65</v>
      </c>
      <c r="I180" s="8" t="s">
        <v>151</v>
      </c>
      <c r="J180" s="10">
        <v>128</v>
      </c>
      <c r="K180" s="10" t="s">
        <v>168</v>
      </c>
      <c r="L180" s="10" t="s">
        <v>40</v>
      </c>
      <c r="M180" s="12">
        <v>1</v>
      </c>
      <c r="N180" s="15">
        <v>10000.0</v>
      </c>
      <c r="O180" s="15"/>
      <c r="P180" s="17">
        <f>IF(N180&gt;0, O180/N180, 0)</f>
        <v>0</v>
      </c>
      <c r="Q180" s="15">
        <f>N180-O180</f>
        <v>10000</v>
      </c>
      <c r="R180" s="15">
        <f>M180*N180</f>
        <v>10000</v>
      </c>
      <c r="S180" s="15">
        <f>M180*O180</f>
        <v>0</v>
      </c>
      <c r="T180" s="15">
        <f>M180*Q180</f>
        <v>10000</v>
      </c>
      <c r="U180" s="15"/>
      <c r="V180" s="15">
        <f>M180*U180</f>
        <v>0</v>
      </c>
      <c r="W180" s="15">
        <f>T180-V180</f>
        <v>10000</v>
      </c>
      <c r="X180" s="17">
        <f>IF(T180&gt;0, W180/T180, 0)</f>
        <v>1</v>
      </c>
      <c r="Y180" s="8" t="s">
        <v>41</v>
      </c>
      <c r="Z180" s="10" t="s">
        <v>42</v>
      </c>
      <c r="AA180" s="10" t="s">
        <v>73</v>
      </c>
      <c r="AB180" s="10" t="s">
        <v>44</v>
      </c>
      <c r="AC180" s="8" t="s">
        <v>44</v>
      </c>
    </row>
    <row r="181" spans="1:29">
      <c r="A181" s="11">
        <v>174</v>
      </c>
      <c r="B181" s="11" t="s">
        <v>363</v>
      </c>
      <c r="C181" s="11" t="s">
        <v>352</v>
      </c>
      <c r="D181" s="11" t="s">
        <v>201</v>
      </c>
      <c r="E181" s="11" t="s">
        <v>34</v>
      </c>
      <c r="F181" s="11" t="s">
        <v>35</v>
      </c>
      <c r="G181" s="9" t="s">
        <v>52</v>
      </c>
      <c r="H181" s="9" t="s">
        <v>53</v>
      </c>
      <c r="I181" s="9" t="s">
        <v>53</v>
      </c>
      <c r="J181" s="11">
        <v>140</v>
      </c>
      <c r="K181" s="11" t="s">
        <v>282</v>
      </c>
      <c r="L181" s="11" t="s">
        <v>55</v>
      </c>
      <c r="M181" s="13">
        <v>1</v>
      </c>
      <c r="N181" s="16">
        <v>8000.0</v>
      </c>
      <c r="O181" s="16"/>
      <c r="P181" s="18">
        <f>IF(N181&gt;0, O181/N181, 0)</f>
        <v>0</v>
      </c>
      <c r="Q181" s="16">
        <f>N181-O181</f>
        <v>8000</v>
      </c>
      <c r="R181" s="16">
        <f>M181*N181</f>
        <v>8000</v>
      </c>
      <c r="S181" s="16">
        <f>M181*O181</f>
        <v>0</v>
      </c>
      <c r="T181" s="16">
        <f>M181*Q181</f>
        <v>8000</v>
      </c>
      <c r="U181" s="16"/>
      <c r="V181" s="16">
        <f>M181*U181</f>
        <v>0</v>
      </c>
      <c r="W181" s="16">
        <f>T181-V181</f>
        <v>8000</v>
      </c>
      <c r="X181" s="18">
        <f>IF(T181&gt;0, W181/T181, 0)</f>
        <v>1</v>
      </c>
      <c r="Y181" s="9" t="s">
        <v>41</v>
      </c>
      <c r="Z181" s="11" t="s">
        <v>42</v>
      </c>
      <c r="AA181" s="11" t="s">
        <v>43</v>
      </c>
      <c r="AB181" s="11" t="s">
        <v>44</v>
      </c>
      <c r="AC181" s="9" t="s">
        <v>44</v>
      </c>
    </row>
    <row r="182" spans="1:29">
      <c r="A182" s="10">
        <v>175</v>
      </c>
      <c r="B182" s="10" t="s">
        <v>364</v>
      </c>
      <c r="C182" s="10" t="s">
        <v>352</v>
      </c>
      <c r="D182" s="10" t="s">
        <v>201</v>
      </c>
      <c r="E182" s="10" t="s">
        <v>34</v>
      </c>
      <c r="F182" s="10" t="s">
        <v>35</v>
      </c>
      <c r="G182" s="8" t="s">
        <v>52</v>
      </c>
      <c r="H182" s="8" t="s">
        <v>37</v>
      </c>
      <c r="I182" s="8" t="s">
        <v>38</v>
      </c>
      <c r="J182" s="10">
        <v>140</v>
      </c>
      <c r="K182" s="10" t="s">
        <v>226</v>
      </c>
      <c r="L182" s="10" t="s">
        <v>55</v>
      </c>
      <c r="M182" s="12">
        <v>1</v>
      </c>
      <c r="N182" s="15">
        <v>7000.0</v>
      </c>
      <c r="O182" s="15"/>
      <c r="P182" s="17">
        <f>IF(N182&gt;0, O182/N182, 0)</f>
        <v>0</v>
      </c>
      <c r="Q182" s="15">
        <f>N182-O182</f>
        <v>7000</v>
      </c>
      <c r="R182" s="15">
        <f>M182*N182</f>
        <v>7000</v>
      </c>
      <c r="S182" s="15">
        <f>M182*O182</f>
        <v>0</v>
      </c>
      <c r="T182" s="15">
        <f>M182*Q182</f>
        <v>7000</v>
      </c>
      <c r="U182" s="15"/>
      <c r="V182" s="15">
        <f>M182*U182</f>
        <v>0</v>
      </c>
      <c r="W182" s="15">
        <f>T182-V182</f>
        <v>7000</v>
      </c>
      <c r="X182" s="17">
        <f>IF(T182&gt;0, W182/T182, 0)</f>
        <v>1</v>
      </c>
      <c r="Y182" s="8" t="s">
        <v>41</v>
      </c>
      <c r="Z182" s="10" t="s">
        <v>42</v>
      </c>
      <c r="AA182" s="10" t="s">
        <v>43</v>
      </c>
      <c r="AB182" s="10" t="s">
        <v>44</v>
      </c>
      <c r="AC182" s="8" t="s">
        <v>44</v>
      </c>
    </row>
    <row r="183" spans="1:29">
      <c r="A183" s="11">
        <v>176</v>
      </c>
      <c r="B183" s="11" t="s">
        <v>365</v>
      </c>
      <c r="C183" s="11" t="s">
        <v>352</v>
      </c>
      <c r="D183" s="11" t="s">
        <v>201</v>
      </c>
      <c r="E183" s="11" t="s">
        <v>34</v>
      </c>
      <c r="F183" s="11" t="s">
        <v>35</v>
      </c>
      <c r="G183" s="9" t="s">
        <v>36</v>
      </c>
      <c r="H183" s="9" t="s">
        <v>53</v>
      </c>
      <c r="I183" s="9" t="s">
        <v>53</v>
      </c>
      <c r="J183" s="11">
        <v>164</v>
      </c>
      <c r="K183" s="11" t="s">
        <v>63</v>
      </c>
      <c r="L183" s="11" t="s">
        <v>40</v>
      </c>
      <c r="M183" s="13">
        <v>1</v>
      </c>
      <c r="N183" s="16">
        <v>8500.0</v>
      </c>
      <c r="O183" s="16"/>
      <c r="P183" s="18">
        <f>IF(N183&gt;0, O183/N183, 0)</f>
        <v>0</v>
      </c>
      <c r="Q183" s="16">
        <f>N183-O183</f>
        <v>8500</v>
      </c>
      <c r="R183" s="16">
        <f>M183*N183</f>
        <v>8500</v>
      </c>
      <c r="S183" s="16">
        <f>M183*O183</f>
        <v>0</v>
      </c>
      <c r="T183" s="16">
        <f>M183*Q183</f>
        <v>8500</v>
      </c>
      <c r="U183" s="16"/>
      <c r="V183" s="16">
        <f>M183*U183</f>
        <v>0</v>
      </c>
      <c r="W183" s="16">
        <f>T183-V183</f>
        <v>8500</v>
      </c>
      <c r="X183" s="18">
        <f>IF(T183&gt;0, W183/T183, 0)</f>
        <v>1</v>
      </c>
      <c r="Y183" s="9" t="s">
        <v>41</v>
      </c>
      <c r="Z183" s="11" t="s">
        <v>42</v>
      </c>
      <c r="AA183" s="11" t="s">
        <v>43</v>
      </c>
      <c r="AB183" s="11" t="s">
        <v>44</v>
      </c>
      <c r="AC183" s="9" t="s">
        <v>44</v>
      </c>
    </row>
    <row r="184" spans="1:29">
      <c r="A184" s="10">
        <v>177</v>
      </c>
      <c r="B184" s="10" t="s">
        <v>366</v>
      </c>
      <c r="C184" s="10" t="s">
        <v>352</v>
      </c>
      <c r="D184" s="10" t="s">
        <v>201</v>
      </c>
      <c r="E184" s="10" t="s">
        <v>34</v>
      </c>
      <c r="F184" s="10" t="s">
        <v>35</v>
      </c>
      <c r="G184" s="8" t="s">
        <v>36</v>
      </c>
      <c r="H184" s="8" t="s">
        <v>58</v>
      </c>
      <c r="I184" s="8" t="s">
        <v>58</v>
      </c>
      <c r="J184" s="10">
        <v>164</v>
      </c>
      <c r="K184" s="10" t="s">
        <v>59</v>
      </c>
      <c r="L184" s="10" t="s">
        <v>40</v>
      </c>
      <c r="M184" s="12">
        <v>1</v>
      </c>
      <c r="N184" s="15">
        <v>7500.0</v>
      </c>
      <c r="O184" s="15"/>
      <c r="P184" s="17">
        <f>IF(N184&gt;0, O184/N184, 0)</f>
        <v>0</v>
      </c>
      <c r="Q184" s="15">
        <f>N184-O184</f>
        <v>7500</v>
      </c>
      <c r="R184" s="15">
        <f>M184*N184</f>
        <v>7500</v>
      </c>
      <c r="S184" s="15">
        <f>M184*O184</f>
        <v>0</v>
      </c>
      <c r="T184" s="15">
        <f>M184*Q184</f>
        <v>7500</v>
      </c>
      <c r="U184" s="15"/>
      <c r="V184" s="15">
        <f>M184*U184</f>
        <v>0</v>
      </c>
      <c r="W184" s="15">
        <f>T184-V184</f>
        <v>7500</v>
      </c>
      <c r="X184" s="17">
        <f>IF(T184&gt;0, W184/T184, 0)</f>
        <v>1</v>
      </c>
      <c r="Y184" s="8" t="s">
        <v>41</v>
      </c>
      <c r="Z184" s="10" t="s">
        <v>42</v>
      </c>
      <c r="AA184" s="10" t="s">
        <v>43</v>
      </c>
      <c r="AB184" s="10" t="s">
        <v>44</v>
      </c>
      <c r="AC184" s="8" t="s">
        <v>44</v>
      </c>
    </row>
    <row r="185" spans="1:29">
      <c r="A185" s="11">
        <v>178</v>
      </c>
      <c r="B185" s="11" t="s">
        <v>367</v>
      </c>
      <c r="C185" s="11" t="s">
        <v>352</v>
      </c>
      <c r="D185" s="11" t="s">
        <v>201</v>
      </c>
      <c r="E185" s="11" t="s">
        <v>70</v>
      </c>
      <c r="F185" s="11" t="s">
        <v>35</v>
      </c>
      <c r="G185" s="9" t="s">
        <v>36</v>
      </c>
      <c r="H185" s="9" t="s">
        <v>65</v>
      </c>
      <c r="I185" s="9" t="s">
        <v>151</v>
      </c>
      <c r="J185" s="11">
        <v>164</v>
      </c>
      <c r="K185" s="11" t="s">
        <v>368</v>
      </c>
      <c r="L185" s="11" t="s">
        <v>40</v>
      </c>
      <c r="M185" s="13">
        <v>1</v>
      </c>
      <c r="N185" s="16">
        <v>12000.0</v>
      </c>
      <c r="O185" s="16"/>
      <c r="P185" s="18">
        <f>IF(N185&gt;0, O185/N185, 0)</f>
        <v>0</v>
      </c>
      <c r="Q185" s="16">
        <f>N185-O185</f>
        <v>12000</v>
      </c>
      <c r="R185" s="16">
        <f>M185*N185</f>
        <v>12000</v>
      </c>
      <c r="S185" s="16">
        <f>M185*O185</f>
        <v>0</v>
      </c>
      <c r="T185" s="16">
        <f>M185*Q185</f>
        <v>12000</v>
      </c>
      <c r="U185" s="16"/>
      <c r="V185" s="16">
        <f>M185*U185</f>
        <v>0</v>
      </c>
      <c r="W185" s="16">
        <f>T185-V185</f>
        <v>12000</v>
      </c>
      <c r="X185" s="18">
        <f>IF(T185&gt;0, W185/T185, 0)</f>
        <v>1</v>
      </c>
      <c r="Y185" s="9" t="s">
        <v>41</v>
      </c>
      <c r="Z185" s="11" t="s">
        <v>42</v>
      </c>
      <c r="AA185" s="11" t="s">
        <v>73</v>
      </c>
      <c r="AB185" s="11" t="s">
        <v>44</v>
      </c>
      <c r="AC185" s="9" t="s">
        <v>44</v>
      </c>
    </row>
    <row r="186" spans="1:29">
      <c r="A186" s="10">
        <v>179</v>
      </c>
      <c r="B186" s="10" t="s">
        <v>369</v>
      </c>
      <c r="C186" s="10" t="s">
        <v>352</v>
      </c>
      <c r="D186" s="10" t="s">
        <v>201</v>
      </c>
      <c r="E186" s="10" t="s">
        <v>70</v>
      </c>
      <c r="F186" s="10" t="s">
        <v>35</v>
      </c>
      <c r="G186" s="8" t="s">
        <v>36</v>
      </c>
      <c r="H186" s="8" t="s">
        <v>53</v>
      </c>
      <c r="I186" s="8" t="s">
        <v>53</v>
      </c>
      <c r="J186" s="10">
        <v>158</v>
      </c>
      <c r="K186" s="10" t="s">
        <v>124</v>
      </c>
      <c r="L186" s="10" t="s">
        <v>40</v>
      </c>
      <c r="M186" s="12">
        <v>1</v>
      </c>
      <c r="N186" s="15">
        <v>10000.0</v>
      </c>
      <c r="O186" s="15"/>
      <c r="P186" s="17">
        <f>IF(N186&gt;0, O186/N186, 0)</f>
        <v>0</v>
      </c>
      <c r="Q186" s="15">
        <f>N186-O186</f>
        <v>10000</v>
      </c>
      <c r="R186" s="15">
        <f>M186*N186</f>
        <v>10000</v>
      </c>
      <c r="S186" s="15">
        <f>M186*O186</f>
        <v>0</v>
      </c>
      <c r="T186" s="15">
        <f>M186*Q186</f>
        <v>10000</v>
      </c>
      <c r="U186" s="15"/>
      <c r="V186" s="15">
        <f>M186*U186</f>
        <v>0</v>
      </c>
      <c r="W186" s="15">
        <f>T186-V186</f>
        <v>10000</v>
      </c>
      <c r="X186" s="17">
        <f>IF(T186&gt;0, W186/T186, 0)</f>
        <v>1</v>
      </c>
      <c r="Y186" s="8" t="s">
        <v>41</v>
      </c>
      <c r="Z186" s="10" t="s">
        <v>42</v>
      </c>
      <c r="AA186" s="10" t="s">
        <v>73</v>
      </c>
      <c r="AB186" s="10" t="s">
        <v>44</v>
      </c>
      <c r="AC186" s="8" t="s">
        <v>44</v>
      </c>
    </row>
    <row r="187" spans="1:29">
      <c r="A187" s="11">
        <v>180</v>
      </c>
      <c r="B187" s="11" t="s">
        <v>370</v>
      </c>
      <c r="C187" s="11" t="s">
        <v>352</v>
      </c>
      <c r="D187" s="11" t="s">
        <v>201</v>
      </c>
      <c r="E187" s="11" t="s">
        <v>34</v>
      </c>
      <c r="F187" s="11" t="s">
        <v>35</v>
      </c>
      <c r="G187" s="9" t="s">
        <v>36</v>
      </c>
      <c r="H187" s="9" t="s">
        <v>37</v>
      </c>
      <c r="I187" s="9" t="s">
        <v>38</v>
      </c>
      <c r="J187" s="11">
        <v>188</v>
      </c>
      <c r="K187" s="11" t="s">
        <v>371</v>
      </c>
      <c r="L187" s="11" t="s">
        <v>40</v>
      </c>
      <c r="M187" s="13">
        <v>1</v>
      </c>
      <c r="N187" s="16">
        <v>11000.0</v>
      </c>
      <c r="O187" s="16"/>
      <c r="P187" s="18">
        <f>IF(N187&gt;0, O187/N187, 0)</f>
        <v>0</v>
      </c>
      <c r="Q187" s="16">
        <f>N187-O187</f>
        <v>11000</v>
      </c>
      <c r="R187" s="16">
        <f>M187*N187</f>
        <v>11000</v>
      </c>
      <c r="S187" s="16">
        <f>M187*O187</f>
        <v>0</v>
      </c>
      <c r="T187" s="16">
        <f>M187*Q187</f>
        <v>11000</v>
      </c>
      <c r="U187" s="16"/>
      <c r="V187" s="16">
        <f>M187*U187</f>
        <v>0</v>
      </c>
      <c r="W187" s="16">
        <f>T187-V187</f>
        <v>11000</v>
      </c>
      <c r="X187" s="18">
        <f>IF(T187&gt;0, W187/T187, 0)</f>
        <v>1</v>
      </c>
      <c r="Y187" s="9" t="s">
        <v>41</v>
      </c>
      <c r="Z187" s="11" t="s">
        <v>42</v>
      </c>
      <c r="AA187" s="11" t="s">
        <v>43</v>
      </c>
      <c r="AB187" s="11" t="s">
        <v>44</v>
      </c>
      <c r="AC187" s="9" t="s">
        <v>44</v>
      </c>
    </row>
    <row r="188" spans="1:29">
      <c r="A188" s="10">
        <v>181</v>
      </c>
      <c r="B188" s="10" t="s">
        <v>372</v>
      </c>
      <c r="C188" s="10" t="s">
        <v>352</v>
      </c>
      <c r="D188" s="10" t="s">
        <v>201</v>
      </c>
      <c r="E188" s="10" t="s">
        <v>34</v>
      </c>
      <c r="F188" s="10" t="s">
        <v>35</v>
      </c>
      <c r="G188" s="8" t="s">
        <v>36</v>
      </c>
      <c r="H188" s="8" t="s">
        <v>58</v>
      </c>
      <c r="I188" s="8" t="s">
        <v>58</v>
      </c>
      <c r="J188" s="10">
        <v>158</v>
      </c>
      <c r="K188" s="10" t="s">
        <v>130</v>
      </c>
      <c r="L188" s="10" t="s">
        <v>40</v>
      </c>
      <c r="M188" s="12">
        <v>1</v>
      </c>
      <c r="N188" s="15">
        <v>7500.0</v>
      </c>
      <c r="O188" s="15"/>
      <c r="P188" s="17">
        <f>IF(N188&gt;0, O188/N188, 0)</f>
        <v>0</v>
      </c>
      <c r="Q188" s="15">
        <f>N188-O188</f>
        <v>7500</v>
      </c>
      <c r="R188" s="15">
        <f>M188*N188</f>
        <v>7500</v>
      </c>
      <c r="S188" s="15">
        <f>M188*O188</f>
        <v>0</v>
      </c>
      <c r="T188" s="15">
        <f>M188*Q188</f>
        <v>7500</v>
      </c>
      <c r="U188" s="15"/>
      <c r="V188" s="15">
        <f>M188*U188</f>
        <v>0</v>
      </c>
      <c r="W188" s="15">
        <f>T188-V188</f>
        <v>7500</v>
      </c>
      <c r="X188" s="17">
        <f>IF(T188&gt;0, W188/T188, 0)</f>
        <v>1</v>
      </c>
      <c r="Y188" s="8" t="s">
        <v>41</v>
      </c>
      <c r="Z188" s="10" t="s">
        <v>42</v>
      </c>
      <c r="AA188" s="10" t="s">
        <v>43</v>
      </c>
      <c r="AB188" s="10" t="s">
        <v>44</v>
      </c>
      <c r="AC188" s="8" t="s">
        <v>44</v>
      </c>
    </row>
    <row r="189" spans="1:29">
      <c r="A189" s="11">
        <v>182</v>
      </c>
      <c r="B189" s="11" t="s">
        <v>373</v>
      </c>
      <c r="C189" s="11" t="s">
        <v>352</v>
      </c>
      <c r="D189" s="11" t="s">
        <v>201</v>
      </c>
      <c r="E189" s="11" t="s">
        <v>34</v>
      </c>
      <c r="F189" s="11" t="s">
        <v>35</v>
      </c>
      <c r="G189" s="9" t="s">
        <v>36</v>
      </c>
      <c r="H189" s="9" t="s">
        <v>47</v>
      </c>
      <c r="I189" s="9" t="s">
        <v>48</v>
      </c>
      <c r="J189" s="11">
        <v>164</v>
      </c>
      <c r="K189" s="11" t="s">
        <v>321</v>
      </c>
      <c r="L189" s="11" t="s">
        <v>40</v>
      </c>
      <c r="M189" s="13">
        <v>2</v>
      </c>
      <c r="N189" s="16">
        <v>18000.0</v>
      </c>
      <c r="O189" s="16"/>
      <c r="P189" s="18">
        <f>IF(N189&gt;0, O189/N189, 0)</f>
        <v>0</v>
      </c>
      <c r="Q189" s="16">
        <f>N189-O189</f>
        <v>18000</v>
      </c>
      <c r="R189" s="16">
        <f>M189*N189</f>
        <v>36000</v>
      </c>
      <c r="S189" s="16">
        <f>M189*O189</f>
        <v>0</v>
      </c>
      <c r="T189" s="16">
        <f>M189*Q189</f>
        <v>36000</v>
      </c>
      <c r="U189" s="16"/>
      <c r="V189" s="16">
        <f>M189*U189</f>
        <v>0</v>
      </c>
      <c r="W189" s="16">
        <f>T189-V189</f>
        <v>36000</v>
      </c>
      <c r="X189" s="18">
        <f>IF(T189&gt;0, W189/T189, 0)</f>
        <v>1</v>
      </c>
      <c r="Y189" s="9" t="s">
        <v>41</v>
      </c>
      <c r="Z189" s="11" t="s">
        <v>42</v>
      </c>
      <c r="AA189" s="11" t="s">
        <v>43</v>
      </c>
      <c r="AB189" s="11" t="s">
        <v>44</v>
      </c>
      <c r="AC189" s="9" t="s">
        <v>44</v>
      </c>
    </row>
    <row r="190" spans="1:29">
      <c r="A190" s="10">
        <v>183</v>
      </c>
      <c r="B190" s="10" t="s">
        <v>374</v>
      </c>
      <c r="C190" s="10" t="s">
        <v>375</v>
      </c>
      <c r="D190" s="10" t="s">
        <v>201</v>
      </c>
      <c r="E190" s="10" t="s">
        <v>34</v>
      </c>
      <c r="F190" s="10" t="s">
        <v>35</v>
      </c>
      <c r="G190" s="8" t="s">
        <v>52</v>
      </c>
      <c r="H190" s="8" t="s">
        <v>37</v>
      </c>
      <c r="I190" s="8" t="s">
        <v>75</v>
      </c>
      <c r="J190" s="10">
        <v>128</v>
      </c>
      <c r="K190" s="10" t="s">
        <v>188</v>
      </c>
      <c r="L190" s="10" t="s">
        <v>55</v>
      </c>
      <c r="M190" s="12">
        <v>1</v>
      </c>
      <c r="N190" s="15">
        <v>8000.0</v>
      </c>
      <c r="O190" s="15"/>
      <c r="P190" s="17">
        <f>IF(N190&gt;0, O190/N190, 0)</f>
        <v>0</v>
      </c>
      <c r="Q190" s="15">
        <f>N190-O190</f>
        <v>8000</v>
      </c>
      <c r="R190" s="15">
        <f>M190*N190</f>
        <v>8000</v>
      </c>
      <c r="S190" s="15">
        <f>M190*O190</f>
        <v>0</v>
      </c>
      <c r="T190" s="15">
        <f>M190*Q190</f>
        <v>8000</v>
      </c>
      <c r="U190" s="15"/>
      <c r="V190" s="15">
        <f>M190*U190</f>
        <v>0</v>
      </c>
      <c r="W190" s="15">
        <f>T190-V190</f>
        <v>8000</v>
      </c>
      <c r="X190" s="17">
        <f>IF(T190&gt;0, W190/T190, 0)</f>
        <v>1</v>
      </c>
      <c r="Y190" s="8" t="s">
        <v>41</v>
      </c>
      <c r="Z190" s="10" t="s">
        <v>42</v>
      </c>
      <c r="AA190" s="10" t="s">
        <v>43</v>
      </c>
      <c r="AB190" s="10" t="s">
        <v>44</v>
      </c>
      <c r="AC190" s="8" t="s">
        <v>44</v>
      </c>
    </row>
    <row r="191" spans="1:29">
      <c r="A191" s="11">
        <v>184</v>
      </c>
      <c r="B191" s="11" t="s">
        <v>376</v>
      </c>
      <c r="C191" s="11" t="s">
        <v>375</v>
      </c>
      <c r="D191" s="11" t="s">
        <v>201</v>
      </c>
      <c r="E191" s="11" t="s">
        <v>34</v>
      </c>
      <c r="F191" s="11" t="s">
        <v>35</v>
      </c>
      <c r="G191" s="9" t="s">
        <v>52</v>
      </c>
      <c r="H191" s="9" t="s">
        <v>37</v>
      </c>
      <c r="I191" s="9" t="s">
        <v>38</v>
      </c>
      <c r="J191" s="11">
        <v>134</v>
      </c>
      <c r="K191" s="11" t="s">
        <v>180</v>
      </c>
      <c r="L191" s="11" t="s">
        <v>55</v>
      </c>
      <c r="M191" s="13">
        <v>1</v>
      </c>
      <c r="N191" s="16">
        <v>7000.0</v>
      </c>
      <c r="O191" s="16"/>
      <c r="P191" s="18">
        <f>IF(N191&gt;0, O191/N191, 0)</f>
        <v>0</v>
      </c>
      <c r="Q191" s="16">
        <f>N191-O191</f>
        <v>7000</v>
      </c>
      <c r="R191" s="16">
        <f>M191*N191</f>
        <v>7000</v>
      </c>
      <c r="S191" s="16">
        <f>M191*O191</f>
        <v>0</v>
      </c>
      <c r="T191" s="16">
        <f>M191*Q191</f>
        <v>7000</v>
      </c>
      <c r="U191" s="16"/>
      <c r="V191" s="16">
        <f>M191*U191</f>
        <v>0</v>
      </c>
      <c r="W191" s="16">
        <f>T191-V191</f>
        <v>7000</v>
      </c>
      <c r="X191" s="18">
        <f>IF(T191&gt;0, W191/T191, 0)</f>
        <v>1</v>
      </c>
      <c r="Y191" s="9" t="s">
        <v>41</v>
      </c>
      <c r="Z191" s="11" t="s">
        <v>42</v>
      </c>
      <c r="AA191" s="11" t="s">
        <v>43</v>
      </c>
      <c r="AB191" s="11" t="s">
        <v>44</v>
      </c>
      <c r="AC191" s="9" t="s">
        <v>44</v>
      </c>
    </row>
    <row r="192" spans="1:29">
      <c r="A192" s="10">
        <v>185</v>
      </c>
      <c r="B192" s="10" t="s">
        <v>377</v>
      </c>
      <c r="C192" s="10" t="s">
        <v>375</v>
      </c>
      <c r="D192" s="10" t="s">
        <v>201</v>
      </c>
      <c r="E192" s="10" t="s">
        <v>34</v>
      </c>
      <c r="F192" s="10" t="s">
        <v>35</v>
      </c>
      <c r="G192" s="8" t="s">
        <v>36</v>
      </c>
      <c r="H192" s="8" t="s">
        <v>37</v>
      </c>
      <c r="I192" s="8" t="s">
        <v>38</v>
      </c>
      <c r="J192" s="10">
        <v>170</v>
      </c>
      <c r="K192" s="10" t="s">
        <v>145</v>
      </c>
      <c r="L192" s="10" t="s">
        <v>40</v>
      </c>
      <c r="M192" s="12">
        <v>1</v>
      </c>
      <c r="N192" s="15">
        <v>8000.0</v>
      </c>
      <c r="O192" s="15"/>
      <c r="P192" s="17">
        <f>IF(N192&gt;0, O192/N192, 0)</f>
        <v>0</v>
      </c>
      <c r="Q192" s="15">
        <f>N192-O192</f>
        <v>8000</v>
      </c>
      <c r="R192" s="15">
        <f>M192*N192</f>
        <v>8000</v>
      </c>
      <c r="S192" s="15">
        <f>M192*O192</f>
        <v>0</v>
      </c>
      <c r="T192" s="15">
        <f>M192*Q192</f>
        <v>8000</v>
      </c>
      <c r="U192" s="15"/>
      <c r="V192" s="15">
        <f>M192*U192</f>
        <v>0</v>
      </c>
      <c r="W192" s="15">
        <f>T192-V192</f>
        <v>8000</v>
      </c>
      <c r="X192" s="17">
        <f>IF(T192&gt;0, W192/T192, 0)</f>
        <v>1</v>
      </c>
      <c r="Y192" s="8" t="s">
        <v>41</v>
      </c>
      <c r="Z192" s="10" t="s">
        <v>42</v>
      </c>
      <c r="AA192" s="10" t="s">
        <v>43</v>
      </c>
      <c r="AB192" s="10" t="s">
        <v>44</v>
      </c>
      <c r="AC192" s="8" t="s">
        <v>44</v>
      </c>
    </row>
    <row r="193" spans="1:29">
      <c r="A193" s="11">
        <v>186</v>
      </c>
      <c r="B193" s="11" t="s">
        <v>378</v>
      </c>
      <c r="C193" s="11" t="s">
        <v>375</v>
      </c>
      <c r="D193" s="11" t="s">
        <v>201</v>
      </c>
      <c r="E193" s="11" t="s">
        <v>34</v>
      </c>
      <c r="F193" s="11" t="s">
        <v>35</v>
      </c>
      <c r="G193" s="9" t="s">
        <v>52</v>
      </c>
      <c r="H193" s="9" t="s">
        <v>47</v>
      </c>
      <c r="I193" s="9" t="s">
        <v>48</v>
      </c>
      <c r="J193" s="11">
        <v>134</v>
      </c>
      <c r="K193" s="11" t="s">
        <v>379</v>
      </c>
      <c r="L193" s="11" t="s">
        <v>40</v>
      </c>
      <c r="M193" s="13">
        <v>1</v>
      </c>
      <c r="N193" s="16">
        <v>18000.0</v>
      </c>
      <c r="O193" s="16"/>
      <c r="P193" s="18">
        <f>IF(N193&gt;0, O193/N193, 0)</f>
        <v>0</v>
      </c>
      <c r="Q193" s="16">
        <f>N193-O193</f>
        <v>18000</v>
      </c>
      <c r="R193" s="16">
        <f>M193*N193</f>
        <v>18000</v>
      </c>
      <c r="S193" s="16">
        <f>M193*O193</f>
        <v>0</v>
      </c>
      <c r="T193" s="16">
        <f>M193*Q193</f>
        <v>18000</v>
      </c>
      <c r="U193" s="16"/>
      <c r="V193" s="16">
        <f>M193*U193</f>
        <v>0</v>
      </c>
      <c r="W193" s="16">
        <f>T193-V193</f>
        <v>18000</v>
      </c>
      <c r="X193" s="18">
        <f>IF(T193&gt;0, W193/T193, 0)</f>
        <v>1</v>
      </c>
      <c r="Y193" s="9" t="s">
        <v>41</v>
      </c>
      <c r="Z193" s="11" t="s">
        <v>42</v>
      </c>
      <c r="AA193" s="11" t="s">
        <v>43</v>
      </c>
      <c r="AB193" s="11" t="s">
        <v>44</v>
      </c>
      <c r="AC193" s="9" t="s">
        <v>44</v>
      </c>
    </row>
    <row r="194" spans="1:29">
      <c r="A194" s="10">
        <v>187</v>
      </c>
      <c r="B194" s="10" t="s">
        <v>380</v>
      </c>
      <c r="C194" s="10" t="s">
        <v>375</v>
      </c>
      <c r="D194" s="10" t="s">
        <v>201</v>
      </c>
      <c r="E194" s="10" t="s">
        <v>34</v>
      </c>
      <c r="F194" s="10" t="s">
        <v>35</v>
      </c>
      <c r="G194" s="8" t="s">
        <v>52</v>
      </c>
      <c r="H194" s="8" t="s">
        <v>37</v>
      </c>
      <c r="I194" s="8" t="s">
        <v>38</v>
      </c>
      <c r="J194" s="10">
        <v>134</v>
      </c>
      <c r="K194" s="10" t="s">
        <v>180</v>
      </c>
      <c r="L194" s="10" t="s">
        <v>55</v>
      </c>
      <c r="M194" s="12">
        <v>2</v>
      </c>
      <c r="N194" s="15">
        <v>7000.0</v>
      </c>
      <c r="O194" s="15"/>
      <c r="P194" s="17">
        <f>IF(N194&gt;0, O194/N194, 0)</f>
        <v>0</v>
      </c>
      <c r="Q194" s="15">
        <f>N194-O194</f>
        <v>7000</v>
      </c>
      <c r="R194" s="15">
        <f>M194*N194</f>
        <v>14000</v>
      </c>
      <c r="S194" s="15">
        <f>M194*O194</f>
        <v>0</v>
      </c>
      <c r="T194" s="15">
        <f>M194*Q194</f>
        <v>14000</v>
      </c>
      <c r="U194" s="15"/>
      <c r="V194" s="15">
        <f>M194*U194</f>
        <v>0</v>
      </c>
      <c r="W194" s="15">
        <f>T194-V194</f>
        <v>14000</v>
      </c>
      <c r="X194" s="17">
        <f>IF(T194&gt;0, W194/T194, 0)</f>
        <v>1</v>
      </c>
      <c r="Y194" s="8" t="s">
        <v>41</v>
      </c>
      <c r="Z194" s="10" t="s">
        <v>42</v>
      </c>
      <c r="AA194" s="10" t="s">
        <v>43</v>
      </c>
      <c r="AB194" s="10" t="s">
        <v>44</v>
      </c>
      <c r="AC194" s="8" t="s">
        <v>44</v>
      </c>
    </row>
    <row r="195" spans="1:29">
      <c r="A195" s="11">
        <v>188</v>
      </c>
      <c r="B195" s="11" t="s">
        <v>381</v>
      </c>
      <c r="C195" s="11" t="s">
        <v>375</v>
      </c>
      <c r="D195" s="11" t="s">
        <v>201</v>
      </c>
      <c r="E195" s="11" t="s">
        <v>70</v>
      </c>
      <c r="F195" s="11" t="s">
        <v>35</v>
      </c>
      <c r="G195" s="9" t="s">
        <v>52</v>
      </c>
      <c r="H195" s="9" t="s">
        <v>65</v>
      </c>
      <c r="I195" s="9" t="s">
        <v>151</v>
      </c>
      <c r="J195" s="11">
        <v>146</v>
      </c>
      <c r="K195" s="11" t="s">
        <v>170</v>
      </c>
      <c r="L195" s="11" t="s">
        <v>40</v>
      </c>
      <c r="M195" s="13">
        <v>1</v>
      </c>
      <c r="N195" s="16">
        <v>10000.0</v>
      </c>
      <c r="O195" s="16"/>
      <c r="P195" s="18">
        <f>IF(N195&gt;0, O195/N195, 0)</f>
        <v>0</v>
      </c>
      <c r="Q195" s="16">
        <f>N195-O195</f>
        <v>10000</v>
      </c>
      <c r="R195" s="16">
        <f>M195*N195</f>
        <v>10000</v>
      </c>
      <c r="S195" s="16">
        <f>M195*O195</f>
        <v>0</v>
      </c>
      <c r="T195" s="16">
        <f>M195*Q195</f>
        <v>10000</v>
      </c>
      <c r="U195" s="16"/>
      <c r="V195" s="16">
        <f>M195*U195</f>
        <v>0</v>
      </c>
      <c r="W195" s="16">
        <f>T195-V195</f>
        <v>10000</v>
      </c>
      <c r="X195" s="18">
        <f>IF(T195&gt;0, W195/T195, 0)</f>
        <v>1</v>
      </c>
      <c r="Y195" s="9" t="s">
        <v>41</v>
      </c>
      <c r="Z195" s="11" t="s">
        <v>42</v>
      </c>
      <c r="AA195" s="11" t="s">
        <v>73</v>
      </c>
      <c r="AB195" s="11" t="s">
        <v>44</v>
      </c>
      <c r="AC195" s="9" t="s">
        <v>44</v>
      </c>
    </row>
    <row r="196" spans="1:29">
      <c r="A196" s="10">
        <v>189</v>
      </c>
      <c r="B196" s="10" t="s">
        <v>382</v>
      </c>
      <c r="C196" s="10" t="s">
        <v>375</v>
      </c>
      <c r="D196" s="10" t="s">
        <v>201</v>
      </c>
      <c r="E196" s="10" t="s">
        <v>34</v>
      </c>
      <c r="F196" s="10" t="s">
        <v>35</v>
      </c>
      <c r="G196" s="8" t="s">
        <v>52</v>
      </c>
      <c r="H196" s="8" t="s">
        <v>47</v>
      </c>
      <c r="I196" s="8" t="s">
        <v>48</v>
      </c>
      <c r="J196" s="10">
        <v>146</v>
      </c>
      <c r="K196" s="10" t="s">
        <v>142</v>
      </c>
      <c r="L196" s="10" t="s">
        <v>40</v>
      </c>
      <c r="M196" s="12">
        <v>1</v>
      </c>
      <c r="N196" s="15">
        <v>18000.0</v>
      </c>
      <c r="O196" s="15"/>
      <c r="P196" s="17">
        <f>IF(N196&gt;0, O196/N196, 0)</f>
        <v>0</v>
      </c>
      <c r="Q196" s="15">
        <f>N196-O196</f>
        <v>18000</v>
      </c>
      <c r="R196" s="15">
        <f>M196*N196</f>
        <v>18000</v>
      </c>
      <c r="S196" s="15">
        <f>M196*O196</f>
        <v>0</v>
      </c>
      <c r="T196" s="15">
        <f>M196*Q196</f>
        <v>18000</v>
      </c>
      <c r="U196" s="15"/>
      <c r="V196" s="15">
        <f>M196*U196</f>
        <v>0</v>
      </c>
      <c r="W196" s="15">
        <f>T196-V196</f>
        <v>18000</v>
      </c>
      <c r="X196" s="17">
        <f>IF(T196&gt;0, W196/T196, 0)</f>
        <v>1</v>
      </c>
      <c r="Y196" s="8" t="s">
        <v>41</v>
      </c>
      <c r="Z196" s="10" t="s">
        <v>42</v>
      </c>
      <c r="AA196" s="10" t="s">
        <v>43</v>
      </c>
      <c r="AB196" s="10" t="s">
        <v>44</v>
      </c>
      <c r="AC196" s="8" t="s">
        <v>44</v>
      </c>
    </row>
    <row r="197" spans="1:29">
      <c r="A197" s="11">
        <v>190</v>
      </c>
      <c r="B197" s="11" t="s">
        <v>383</v>
      </c>
      <c r="C197" s="11" t="s">
        <v>384</v>
      </c>
      <c r="D197" s="11" t="s">
        <v>201</v>
      </c>
      <c r="E197" s="11" t="s">
        <v>34</v>
      </c>
      <c r="F197" s="11" t="s">
        <v>35</v>
      </c>
      <c r="G197" s="9" t="s">
        <v>52</v>
      </c>
      <c r="H197" s="9" t="s">
        <v>71</v>
      </c>
      <c r="I197" s="9" t="s">
        <v>71</v>
      </c>
      <c r="J197" s="11">
        <v>146</v>
      </c>
      <c r="K197" s="11" t="s">
        <v>385</v>
      </c>
      <c r="L197" s="11" t="s">
        <v>40</v>
      </c>
      <c r="M197" s="13">
        <v>1</v>
      </c>
      <c r="N197" s="16">
        <v>16500.0</v>
      </c>
      <c r="O197" s="16"/>
      <c r="P197" s="18">
        <f>IF(N197&gt;0, O197/N197, 0)</f>
        <v>0</v>
      </c>
      <c r="Q197" s="16">
        <f>N197-O197</f>
        <v>16500</v>
      </c>
      <c r="R197" s="16">
        <f>M197*N197</f>
        <v>16500</v>
      </c>
      <c r="S197" s="16">
        <f>M197*O197</f>
        <v>0</v>
      </c>
      <c r="T197" s="16">
        <f>M197*Q197</f>
        <v>16500</v>
      </c>
      <c r="U197" s="16"/>
      <c r="V197" s="16">
        <f>M197*U197</f>
        <v>0</v>
      </c>
      <c r="W197" s="16">
        <f>T197-V197</f>
        <v>16500</v>
      </c>
      <c r="X197" s="18">
        <f>IF(T197&gt;0, W197/T197, 0)</f>
        <v>1</v>
      </c>
      <c r="Y197" s="9" t="s">
        <v>41</v>
      </c>
      <c r="Z197" s="11" t="s">
        <v>42</v>
      </c>
      <c r="AA197" s="11" t="s">
        <v>43</v>
      </c>
      <c r="AB197" s="11" t="s">
        <v>44</v>
      </c>
      <c r="AC197" s="9" t="s">
        <v>44</v>
      </c>
    </row>
    <row r="198" spans="1:29">
      <c r="A198" s="10">
        <v>191</v>
      </c>
      <c r="B198" s="10" t="s">
        <v>386</v>
      </c>
      <c r="C198" s="10" t="s">
        <v>384</v>
      </c>
      <c r="D198" s="10" t="s">
        <v>201</v>
      </c>
      <c r="E198" s="10" t="s">
        <v>70</v>
      </c>
      <c r="F198" s="10" t="s">
        <v>35</v>
      </c>
      <c r="G198" s="8" t="s">
        <v>36</v>
      </c>
      <c r="H198" s="8" t="s">
        <v>65</v>
      </c>
      <c r="I198" s="8" t="s">
        <v>151</v>
      </c>
      <c r="J198" s="10">
        <v>164</v>
      </c>
      <c r="K198" s="10" t="s">
        <v>368</v>
      </c>
      <c r="L198" s="10" t="s">
        <v>40</v>
      </c>
      <c r="M198" s="12">
        <v>1</v>
      </c>
      <c r="N198" s="15">
        <v>12000.0</v>
      </c>
      <c r="O198" s="15"/>
      <c r="P198" s="17">
        <f>IF(N198&gt;0, O198/N198, 0)</f>
        <v>0</v>
      </c>
      <c r="Q198" s="15">
        <f>N198-O198</f>
        <v>12000</v>
      </c>
      <c r="R198" s="15">
        <f>M198*N198</f>
        <v>12000</v>
      </c>
      <c r="S198" s="15">
        <f>M198*O198</f>
        <v>0</v>
      </c>
      <c r="T198" s="15">
        <f>M198*Q198</f>
        <v>12000</v>
      </c>
      <c r="U198" s="15"/>
      <c r="V198" s="15">
        <f>M198*U198</f>
        <v>0</v>
      </c>
      <c r="W198" s="15">
        <f>T198-V198</f>
        <v>12000</v>
      </c>
      <c r="X198" s="17">
        <f>IF(T198&gt;0, W198/T198, 0)</f>
        <v>1</v>
      </c>
      <c r="Y198" s="8" t="s">
        <v>41</v>
      </c>
      <c r="Z198" s="10" t="s">
        <v>42</v>
      </c>
      <c r="AA198" s="10" t="s">
        <v>73</v>
      </c>
      <c r="AB198" s="10" t="s">
        <v>44</v>
      </c>
      <c r="AC198" s="8" t="s">
        <v>44</v>
      </c>
    </row>
    <row r="199" spans="1:29">
      <c r="A199" s="11">
        <v>192</v>
      </c>
      <c r="B199" s="11" t="s">
        <v>387</v>
      </c>
      <c r="C199" s="11" t="s">
        <v>384</v>
      </c>
      <c r="D199" s="11" t="s">
        <v>201</v>
      </c>
      <c r="E199" s="11" t="s">
        <v>70</v>
      </c>
      <c r="F199" s="11" t="s">
        <v>35</v>
      </c>
      <c r="G199" s="9" t="s">
        <v>36</v>
      </c>
      <c r="H199" s="9" t="s">
        <v>53</v>
      </c>
      <c r="I199" s="9" t="s">
        <v>53</v>
      </c>
      <c r="J199" s="11">
        <v>158</v>
      </c>
      <c r="K199" s="11" t="s">
        <v>124</v>
      </c>
      <c r="L199" s="11" t="s">
        <v>40</v>
      </c>
      <c r="M199" s="13">
        <v>1</v>
      </c>
      <c r="N199" s="16">
        <v>10000.0</v>
      </c>
      <c r="O199" s="16"/>
      <c r="P199" s="18">
        <f>IF(N199&gt;0, O199/N199, 0)</f>
        <v>0</v>
      </c>
      <c r="Q199" s="16">
        <f>N199-O199</f>
        <v>10000</v>
      </c>
      <c r="R199" s="16">
        <f>M199*N199</f>
        <v>10000</v>
      </c>
      <c r="S199" s="16">
        <f>M199*O199</f>
        <v>0</v>
      </c>
      <c r="T199" s="16">
        <f>M199*Q199</f>
        <v>10000</v>
      </c>
      <c r="U199" s="16"/>
      <c r="V199" s="16">
        <f>M199*U199</f>
        <v>0</v>
      </c>
      <c r="W199" s="16">
        <f>T199-V199</f>
        <v>10000</v>
      </c>
      <c r="X199" s="18">
        <f>IF(T199&gt;0, W199/T199, 0)</f>
        <v>1</v>
      </c>
      <c r="Y199" s="9" t="s">
        <v>41</v>
      </c>
      <c r="Z199" s="11" t="s">
        <v>42</v>
      </c>
      <c r="AA199" s="11" t="s">
        <v>73</v>
      </c>
      <c r="AB199" s="11" t="s">
        <v>44</v>
      </c>
      <c r="AC199" s="9" t="s">
        <v>44</v>
      </c>
    </row>
    <row r="200" spans="1:29">
      <c r="A200" s="10">
        <v>193</v>
      </c>
      <c r="B200" s="10" t="s">
        <v>388</v>
      </c>
      <c r="C200" s="10" t="s">
        <v>384</v>
      </c>
      <c r="D200" s="10" t="s">
        <v>201</v>
      </c>
      <c r="E200" s="10" t="s">
        <v>70</v>
      </c>
      <c r="F200" s="10" t="s">
        <v>35</v>
      </c>
      <c r="G200" s="8" t="s">
        <v>161</v>
      </c>
      <c r="H200" s="8" t="s">
        <v>162</v>
      </c>
      <c r="I200" s="8" t="s">
        <v>162</v>
      </c>
      <c r="J200" s="10" t="s">
        <v>44</v>
      </c>
      <c r="K200" s="10" t="s">
        <v>389</v>
      </c>
      <c r="L200" s="10" t="s">
        <v>40</v>
      </c>
      <c r="M200" s="12">
        <v>1</v>
      </c>
      <c r="N200" s="15">
        <v>5000.0</v>
      </c>
      <c r="O200" s="15"/>
      <c r="P200" s="17">
        <f>IF(N200&gt;0, O200/N200, 0)</f>
        <v>0</v>
      </c>
      <c r="Q200" s="15">
        <f>N200-O200</f>
        <v>5000</v>
      </c>
      <c r="R200" s="15">
        <f>M200*N200</f>
        <v>5000</v>
      </c>
      <c r="S200" s="15">
        <f>M200*O200</f>
        <v>0</v>
      </c>
      <c r="T200" s="15">
        <f>M200*Q200</f>
        <v>5000</v>
      </c>
      <c r="U200" s="15"/>
      <c r="V200" s="15">
        <f>M200*U200</f>
        <v>0</v>
      </c>
      <c r="W200" s="15">
        <f>T200-V200</f>
        <v>5000</v>
      </c>
      <c r="X200" s="17">
        <f>IF(T200&gt;0, W200/T200, 0)</f>
        <v>1</v>
      </c>
      <c r="Y200" s="8" t="s">
        <v>41</v>
      </c>
      <c r="Z200" s="10" t="s">
        <v>42</v>
      </c>
      <c r="AA200" s="10" t="s">
        <v>73</v>
      </c>
      <c r="AB200" s="10" t="s">
        <v>44</v>
      </c>
      <c r="AC200" s="8" t="s">
        <v>44</v>
      </c>
    </row>
    <row r="201" spans="1:29">
      <c r="A201" s="11">
        <v>194</v>
      </c>
      <c r="B201" s="11" t="s">
        <v>390</v>
      </c>
      <c r="C201" s="11" t="s">
        <v>384</v>
      </c>
      <c r="D201" s="11" t="s">
        <v>201</v>
      </c>
      <c r="E201" s="11" t="s">
        <v>70</v>
      </c>
      <c r="F201" s="11" t="s">
        <v>35</v>
      </c>
      <c r="G201" s="9" t="s">
        <v>52</v>
      </c>
      <c r="H201" s="9" t="s">
        <v>65</v>
      </c>
      <c r="I201" s="9" t="s">
        <v>151</v>
      </c>
      <c r="J201" s="11">
        <v>128</v>
      </c>
      <c r="K201" s="11" t="s">
        <v>168</v>
      </c>
      <c r="L201" s="11" t="s">
        <v>40</v>
      </c>
      <c r="M201" s="13">
        <v>1</v>
      </c>
      <c r="N201" s="16">
        <v>10000.0</v>
      </c>
      <c r="O201" s="16"/>
      <c r="P201" s="18">
        <f>IF(N201&gt;0, O201/N201, 0)</f>
        <v>0</v>
      </c>
      <c r="Q201" s="16">
        <f>N201-O201</f>
        <v>10000</v>
      </c>
      <c r="R201" s="16">
        <f>M201*N201</f>
        <v>10000</v>
      </c>
      <c r="S201" s="16">
        <f>M201*O201</f>
        <v>0</v>
      </c>
      <c r="T201" s="16">
        <f>M201*Q201</f>
        <v>10000</v>
      </c>
      <c r="U201" s="16"/>
      <c r="V201" s="16">
        <f>M201*U201</f>
        <v>0</v>
      </c>
      <c r="W201" s="16">
        <f>T201-V201</f>
        <v>10000</v>
      </c>
      <c r="X201" s="18">
        <f>IF(T201&gt;0, W201/T201, 0)</f>
        <v>1</v>
      </c>
      <c r="Y201" s="9" t="s">
        <v>41</v>
      </c>
      <c r="Z201" s="11" t="s">
        <v>42</v>
      </c>
      <c r="AA201" s="11" t="s">
        <v>73</v>
      </c>
      <c r="AB201" s="11" t="s">
        <v>44</v>
      </c>
      <c r="AC201" s="9" t="s">
        <v>44</v>
      </c>
    </row>
    <row r="202" spans="1:29">
      <c r="A202" s="10">
        <v>195</v>
      </c>
      <c r="B202" s="10" t="s">
        <v>391</v>
      </c>
      <c r="C202" s="10" t="s">
        <v>384</v>
      </c>
      <c r="D202" s="10" t="s">
        <v>201</v>
      </c>
      <c r="E202" s="10" t="s">
        <v>70</v>
      </c>
      <c r="F202" s="10" t="s">
        <v>35</v>
      </c>
      <c r="G202" s="8" t="s">
        <v>52</v>
      </c>
      <c r="H202" s="8" t="s">
        <v>53</v>
      </c>
      <c r="I202" s="8" t="s">
        <v>53</v>
      </c>
      <c r="J202" s="10">
        <v>140</v>
      </c>
      <c r="K202" s="10" t="s">
        <v>282</v>
      </c>
      <c r="L202" s="10" t="s">
        <v>55</v>
      </c>
      <c r="M202" s="12">
        <v>1</v>
      </c>
      <c r="N202" s="15">
        <v>9000.0</v>
      </c>
      <c r="O202" s="15"/>
      <c r="P202" s="17">
        <f>IF(N202&gt;0, O202/N202, 0)</f>
        <v>0</v>
      </c>
      <c r="Q202" s="15">
        <f>N202-O202</f>
        <v>9000</v>
      </c>
      <c r="R202" s="15">
        <f>M202*N202</f>
        <v>9000</v>
      </c>
      <c r="S202" s="15">
        <f>M202*O202</f>
        <v>0</v>
      </c>
      <c r="T202" s="15">
        <f>M202*Q202</f>
        <v>9000</v>
      </c>
      <c r="U202" s="15"/>
      <c r="V202" s="15">
        <f>M202*U202</f>
        <v>0</v>
      </c>
      <c r="W202" s="15">
        <f>T202-V202</f>
        <v>9000</v>
      </c>
      <c r="X202" s="17">
        <f>IF(T202&gt;0, W202/T202, 0)</f>
        <v>1</v>
      </c>
      <c r="Y202" s="8" t="s">
        <v>41</v>
      </c>
      <c r="Z202" s="10" t="s">
        <v>42</v>
      </c>
      <c r="AA202" s="10" t="s">
        <v>73</v>
      </c>
      <c r="AB202" s="10" t="s">
        <v>44</v>
      </c>
      <c r="AC202" s="8" t="s">
        <v>44</v>
      </c>
    </row>
    <row r="203" spans="1:29">
      <c r="A203" s="11">
        <v>196</v>
      </c>
      <c r="B203" s="11" t="s">
        <v>392</v>
      </c>
      <c r="C203" s="11" t="s">
        <v>384</v>
      </c>
      <c r="D203" s="11" t="s">
        <v>201</v>
      </c>
      <c r="E203" s="11" t="s">
        <v>34</v>
      </c>
      <c r="F203" s="11" t="s">
        <v>35</v>
      </c>
      <c r="G203" s="9" t="s">
        <v>52</v>
      </c>
      <c r="H203" s="9" t="s">
        <v>53</v>
      </c>
      <c r="I203" s="9" t="s">
        <v>53</v>
      </c>
      <c r="J203" s="11">
        <v>128</v>
      </c>
      <c r="K203" s="11" t="s">
        <v>393</v>
      </c>
      <c r="L203" s="11" t="s">
        <v>55</v>
      </c>
      <c r="M203" s="13">
        <v>1</v>
      </c>
      <c r="N203" s="16">
        <v>8000.0</v>
      </c>
      <c r="O203" s="16"/>
      <c r="P203" s="18">
        <f>IF(N203&gt;0, O203/N203, 0)</f>
        <v>0</v>
      </c>
      <c r="Q203" s="16">
        <f>N203-O203</f>
        <v>8000</v>
      </c>
      <c r="R203" s="16">
        <f>M203*N203</f>
        <v>8000</v>
      </c>
      <c r="S203" s="16">
        <f>M203*O203</f>
        <v>0</v>
      </c>
      <c r="T203" s="16">
        <f>M203*Q203</f>
        <v>8000</v>
      </c>
      <c r="U203" s="16"/>
      <c r="V203" s="16">
        <f>M203*U203</f>
        <v>0</v>
      </c>
      <c r="W203" s="16">
        <f>T203-V203</f>
        <v>8000</v>
      </c>
      <c r="X203" s="18">
        <f>IF(T203&gt;0, W203/T203, 0)</f>
        <v>1</v>
      </c>
      <c r="Y203" s="9" t="s">
        <v>41</v>
      </c>
      <c r="Z203" s="11" t="s">
        <v>42</v>
      </c>
      <c r="AA203" s="11" t="s">
        <v>43</v>
      </c>
      <c r="AB203" s="11" t="s">
        <v>44</v>
      </c>
      <c r="AC203" s="9" t="s">
        <v>44</v>
      </c>
    </row>
    <row r="204" spans="1:29">
      <c r="A204" s="10">
        <v>197</v>
      </c>
      <c r="B204" s="10" t="s">
        <v>394</v>
      </c>
      <c r="C204" s="10" t="s">
        <v>384</v>
      </c>
      <c r="D204" s="10" t="s">
        <v>201</v>
      </c>
      <c r="E204" s="10" t="s">
        <v>34</v>
      </c>
      <c r="F204" s="10" t="s">
        <v>35</v>
      </c>
      <c r="G204" s="8" t="s">
        <v>52</v>
      </c>
      <c r="H204" s="8" t="s">
        <v>71</v>
      </c>
      <c r="I204" s="8" t="s">
        <v>71</v>
      </c>
      <c r="J204" s="10">
        <v>140</v>
      </c>
      <c r="K204" s="10" t="s">
        <v>228</v>
      </c>
      <c r="L204" s="10" t="s">
        <v>40</v>
      </c>
      <c r="M204" s="12">
        <v>1</v>
      </c>
      <c r="N204" s="15">
        <v>16000.0</v>
      </c>
      <c r="O204" s="15"/>
      <c r="P204" s="17">
        <f>IF(N204&gt;0, O204/N204, 0)</f>
        <v>0</v>
      </c>
      <c r="Q204" s="15">
        <f>N204-O204</f>
        <v>16000</v>
      </c>
      <c r="R204" s="15">
        <f>M204*N204</f>
        <v>16000</v>
      </c>
      <c r="S204" s="15">
        <f>M204*O204</f>
        <v>0</v>
      </c>
      <c r="T204" s="15">
        <f>M204*Q204</f>
        <v>16000</v>
      </c>
      <c r="U204" s="15"/>
      <c r="V204" s="15">
        <f>M204*U204</f>
        <v>0</v>
      </c>
      <c r="W204" s="15">
        <f>T204-V204</f>
        <v>16000</v>
      </c>
      <c r="X204" s="17">
        <f>IF(T204&gt;0, W204/T204, 0)</f>
        <v>1</v>
      </c>
      <c r="Y204" s="8" t="s">
        <v>41</v>
      </c>
      <c r="Z204" s="10" t="s">
        <v>42</v>
      </c>
      <c r="AA204" s="10" t="s">
        <v>43</v>
      </c>
      <c r="AB204" s="10" t="s">
        <v>44</v>
      </c>
      <c r="AC204" s="8" t="s">
        <v>44</v>
      </c>
    </row>
    <row r="205" spans="1:29">
      <c r="A205" s="11">
        <v>198</v>
      </c>
      <c r="B205" s="11" t="s">
        <v>395</v>
      </c>
      <c r="C205" s="11" t="s">
        <v>384</v>
      </c>
      <c r="D205" s="11" t="s">
        <v>201</v>
      </c>
      <c r="E205" s="11" t="s">
        <v>34</v>
      </c>
      <c r="F205" s="11" t="s">
        <v>35</v>
      </c>
      <c r="G205" s="9" t="s">
        <v>52</v>
      </c>
      <c r="H205" s="9" t="s">
        <v>37</v>
      </c>
      <c r="I205" s="9" t="s">
        <v>38</v>
      </c>
      <c r="J205" s="11">
        <v>140</v>
      </c>
      <c r="K205" s="11" t="s">
        <v>226</v>
      </c>
      <c r="L205" s="11" t="s">
        <v>55</v>
      </c>
      <c r="M205" s="13">
        <v>1</v>
      </c>
      <c r="N205" s="16">
        <v>7000.0</v>
      </c>
      <c r="O205" s="16"/>
      <c r="P205" s="18">
        <f>IF(N205&gt;0, O205/N205, 0)</f>
        <v>0</v>
      </c>
      <c r="Q205" s="16">
        <f>N205-O205</f>
        <v>7000</v>
      </c>
      <c r="R205" s="16">
        <f>M205*N205</f>
        <v>7000</v>
      </c>
      <c r="S205" s="16">
        <f>M205*O205</f>
        <v>0</v>
      </c>
      <c r="T205" s="16">
        <f>M205*Q205</f>
        <v>7000</v>
      </c>
      <c r="U205" s="16"/>
      <c r="V205" s="16">
        <f>M205*U205</f>
        <v>0</v>
      </c>
      <c r="W205" s="16">
        <f>T205-V205</f>
        <v>7000</v>
      </c>
      <c r="X205" s="18">
        <f>IF(T205&gt;0, W205/T205, 0)</f>
        <v>1</v>
      </c>
      <c r="Y205" s="9" t="s">
        <v>41</v>
      </c>
      <c r="Z205" s="11" t="s">
        <v>42</v>
      </c>
      <c r="AA205" s="11" t="s">
        <v>43</v>
      </c>
      <c r="AB205" s="11" t="s">
        <v>44</v>
      </c>
      <c r="AC205" s="9" t="s">
        <v>44</v>
      </c>
    </row>
    <row r="206" spans="1:29">
      <c r="A206" s="10">
        <v>199</v>
      </c>
      <c r="B206" s="10" t="s">
        <v>396</v>
      </c>
      <c r="C206" s="10" t="s">
        <v>384</v>
      </c>
      <c r="D206" s="10" t="s">
        <v>201</v>
      </c>
      <c r="E206" s="10" t="s">
        <v>34</v>
      </c>
      <c r="F206" s="10" t="s">
        <v>35</v>
      </c>
      <c r="G206" s="8" t="s">
        <v>52</v>
      </c>
      <c r="H206" s="8" t="s">
        <v>37</v>
      </c>
      <c r="I206" s="8" t="s">
        <v>38</v>
      </c>
      <c r="J206" s="10">
        <v>134</v>
      </c>
      <c r="K206" s="10" t="s">
        <v>180</v>
      </c>
      <c r="L206" s="10" t="s">
        <v>55</v>
      </c>
      <c r="M206" s="12">
        <v>1</v>
      </c>
      <c r="N206" s="15">
        <v>7000.0</v>
      </c>
      <c r="O206" s="15"/>
      <c r="P206" s="17">
        <f>IF(N206&gt;0, O206/N206, 0)</f>
        <v>0</v>
      </c>
      <c r="Q206" s="15">
        <f>N206-O206</f>
        <v>7000</v>
      </c>
      <c r="R206" s="15">
        <f>M206*N206</f>
        <v>7000</v>
      </c>
      <c r="S206" s="15">
        <f>M206*O206</f>
        <v>0</v>
      </c>
      <c r="T206" s="15">
        <f>M206*Q206</f>
        <v>7000</v>
      </c>
      <c r="U206" s="15"/>
      <c r="V206" s="15">
        <f>M206*U206</f>
        <v>0</v>
      </c>
      <c r="W206" s="15">
        <f>T206-V206</f>
        <v>7000</v>
      </c>
      <c r="X206" s="17">
        <f>IF(T206&gt;0, W206/T206, 0)</f>
        <v>1</v>
      </c>
      <c r="Y206" s="8" t="s">
        <v>41</v>
      </c>
      <c r="Z206" s="10" t="s">
        <v>42</v>
      </c>
      <c r="AA206" s="10" t="s">
        <v>43</v>
      </c>
      <c r="AB206" s="10" t="s">
        <v>44</v>
      </c>
      <c r="AC206" s="8" t="s">
        <v>44</v>
      </c>
    </row>
    <row r="207" spans="1:29">
      <c r="A207" s="11">
        <v>200</v>
      </c>
      <c r="B207" s="11" t="s">
        <v>397</v>
      </c>
      <c r="C207" s="11" t="s">
        <v>384</v>
      </c>
      <c r="D207" s="11" t="s">
        <v>201</v>
      </c>
      <c r="E207" s="11" t="s">
        <v>34</v>
      </c>
      <c r="F207" s="11" t="s">
        <v>35</v>
      </c>
      <c r="G207" s="9" t="s">
        <v>36</v>
      </c>
      <c r="H207" s="9" t="s">
        <v>47</v>
      </c>
      <c r="I207" s="9" t="s">
        <v>48</v>
      </c>
      <c r="J207" s="11">
        <v>152</v>
      </c>
      <c r="K207" s="11" t="s">
        <v>348</v>
      </c>
      <c r="L207" s="11" t="s">
        <v>40</v>
      </c>
      <c r="M207" s="13">
        <v>1</v>
      </c>
      <c r="N207" s="16">
        <v>18000.0</v>
      </c>
      <c r="O207" s="16"/>
      <c r="P207" s="18">
        <f>IF(N207&gt;0, O207/N207, 0)</f>
        <v>0</v>
      </c>
      <c r="Q207" s="16">
        <f>N207-O207</f>
        <v>18000</v>
      </c>
      <c r="R207" s="16">
        <f>M207*N207</f>
        <v>18000</v>
      </c>
      <c r="S207" s="16">
        <f>M207*O207</f>
        <v>0</v>
      </c>
      <c r="T207" s="16">
        <f>M207*Q207</f>
        <v>18000</v>
      </c>
      <c r="U207" s="16"/>
      <c r="V207" s="16">
        <f>M207*U207</f>
        <v>0</v>
      </c>
      <c r="W207" s="16">
        <f>T207-V207</f>
        <v>18000</v>
      </c>
      <c r="X207" s="18">
        <f>IF(T207&gt;0, W207/T207, 0)</f>
        <v>1</v>
      </c>
      <c r="Y207" s="9" t="s">
        <v>41</v>
      </c>
      <c r="Z207" s="11" t="s">
        <v>42</v>
      </c>
      <c r="AA207" s="11" t="s">
        <v>43</v>
      </c>
      <c r="AB207" s="11" t="s">
        <v>44</v>
      </c>
      <c r="AC207" s="9" t="s">
        <v>44</v>
      </c>
    </row>
    <row r="208" spans="1:29">
      <c r="A208" s="10">
        <v>201</v>
      </c>
      <c r="B208" s="10" t="s">
        <v>398</v>
      </c>
      <c r="C208" s="10" t="s">
        <v>384</v>
      </c>
      <c r="D208" s="10" t="s">
        <v>201</v>
      </c>
      <c r="E208" s="10" t="s">
        <v>34</v>
      </c>
      <c r="F208" s="10" t="s">
        <v>35</v>
      </c>
      <c r="G208" s="8" t="s">
        <v>36</v>
      </c>
      <c r="H208" s="8" t="s">
        <v>71</v>
      </c>
      <c r="I208" s="8" t="s">
        <v>71</v>
      </c>
      <c r="J208" s="10">
        <v>152</v>
      </c>
      <c r="K208" s="10" t="s">
        <v>210</v>
      </c>
      <c r="L208" s="10" t="s">
        <v>40</v>
      </c>
      <c r="M208" s="12">
        <v>1</v>
      </c>
      <c r="N208" s="15">
        <v>16500.0</v>
      </c>
      <c r="O208" s="15"/>
      <c r="P208" s="17">
        <f>IF(N208&gt;0, O208/N208, 0)</f>
        <v>0</v>
      </c>
      <c r="Q208" s="15">
        <f>N208-O208</f>
        <v>16500</v>
      </c>
      <c r="R208" s="15">
        <f>M208*N208</f>
        <v>16500</v>
      </c>
      <c r="S208" s="15">
        <f>M208*O208</f>
        <v>0</v>
      </c>
      <c r="T208" s="15">
        <f>M208*Q208</f>
        <v>16500</v>
      </c>
      <c r="U208" s="15"/>
      <c r="V208" s="15">
        <f>M208*U208</f>
        <v>0</v>
      </c>
      <c r="W208" s="15">
        <f>T208-V208</f>
        <v>16500</v>
      </c>
      <c r="X208" s="17">
        <f>IF(T208&gt;0, W208/T208, 0)</f>
        <v>1</v>
      </c>
      <c r="Y208" s="8" t="s">
        <v>41</v>
      </c>
      <c r="Z208" s="10" t="s">
        <v>42</v>
      </c>
      <c r="AA208" s="10" t="s">
        <v>43</v>
      </c>
      <c r="AB208" s="10" t="s">
        <v>44</v>
      </c>
      <c r="AC208" s="8" t="s">
        <v>44</v>
      </c>
    </row>
    <row r="209" spans="1:29">
      <c r="A209" s="11">
        <v>202</v>
      </c>
      <c r="B209" s="11" t="s">
        <v>399</v>
      </c>
      <c r="C209" s="11" t="s">
        <v>384</v>
      </c>
      <c r="D209" s="11" t="s">
        <v>201</v>
      </c>
      <c r="E209" s="11" t="s">
        <v>34</v>
      </c>
      <c r="F209" s="11" t="s">
        <v>35</v>
      </c>
      <c r="G209" s="9" t="s">
        <v>52</v>
      </c>
      <c r="H209" s="9" t="s">
        <v>37</v>
      </c>
      <c r="I209" s="9" t="s">
        <v>38</v>
      </c>
      <c r="J209" s="11">
        <v>152</v>
      </c>
      <c r="K209" s="11" t="s">
        <v>154</v>
      </c>
      <c r="L209" s="11" t="s">
        <v>55</v>
      </c>
      <c r="M209" s="13">
        <v>1</v>
      </c>
      <c r="N209" s="16">
        <v>7000.0</v>
      </c>
      <c r="O209" s="16"/>
      <c r="P209" s="18">
        <f>IF(N209&gt;0, O209/N209, 0)</f>
        <v>0</v>
      </c>
      <c r="Q209" s="16">
        <f>N209-O209</f>
        <v>7000</v>
      </c>
      <c r="R209" s="16">
        <f>M209*N209</f>
        <v>7000</v>
      </c>
      <c r="S209" s="16">
        <f>M209*O209</f>
        <v>0</v>
      </c>
      <c r="T209" s="16">
        <f>M209*Q209</f>
        <v>7000</v>
      </c>
      <c r="U209" s="16"/>
      <c r="V209" s="16">
        <f>M209*U209</f>
        <v>0</v>
      </c>
      <c r="W209" s="16">
        <f>T209-V209</f>
        <v>7000</v>
      </c>
      <c r="X209" s="18">
        <f>IF(T209&gt;0, W209/T209, 0)</f>
        <v>1</v>
      </c>
      <c r="Y209" s="9" t="s">
        <v>41</v>
      </c>
      <c r="Z209" s="11" t="s">
        <v>42</v>
      </c>
      <c r="AA209" s="11" t="s">
        <v>43</v>
      </c>
      <c r="AB209" s="11" t="s">
        <v>44</v>
      </c>
      <c r="AC209" s="9" t="s">
        <v>44</v>
      </c>
    </row>
    <row r="210" spans="1:29">
      <c r="A210" s="10">
        <v>203</v>
      </c>
      <c r="B210" s="10" t="s">
        <v>400</v>
      </c>
      <c r="C210" s="10" t="s">
        <v>401</v>
      </c>
      <c r="D210" s="10" t="s">
        <v>201</v>
      </c>
      <c r="E210" s="10" t="s">
        <v>34</v>
      </c>
      <c r="F210" s="10" t="s">
        <v>35</v>
      </c>
      <c r="G210" s="8" t="s">
        <v>36</v>
      </c>
      <c r="H210" s="8" t="s">
        <v>58</v>
      </c>
      <c r="I210" s="8" t="s">
        <v>58</v>
      </c>
      <c r="J210" s="10">
        <v>158</v>
      </c>
      <c r="K210" s="10" t="s">
        <v>130</v>
      </c>
      <c r="L210" s="10" t="s">
        <v>40</v>
      </c>
      <c r="M210" s="12">
        <v>1</v>
      </c>
      <c r="N210" s="15">
        <v>7500.0</v>
      </c>
      <c r="O210" s="15"/>
      <c r="P210" s="17">
        <f>IF(N210&gt;0, O210/N210, 0)</f>
        <v>0</v>
      </c>
      <c r="Q210" s="15">
        <f>N210-O210</f>
        <v>7500</v>
      </c>
      <c r="R210" s="15">
        <f>M210*N210</f>
        <v>7500</v>
      </c>
      <c r="S210" s="15">
        <f>M210*O210</f>
        <v>0</v>
      </c>
      <c r="T210" s="15">
        <f>M210*Q210</f>
        <v>7500</v>
      </c>
      <c r="U210" s="15"/>
      <c r="V210" s="15">
        <f>M210*U210</f>
        <v>0</v>
      </c>
      <c r="W210" s="15">
        <f>T210-V210</f>
        <v>7500</v>
      </c>
      <c r="X210" s="17">
        <f>IF(T210&gt;0, W210/T210, 0)</f>
        <v>1</v>
      </c>
      <c r="Y210" s="8" t="s">
        <v>41</v>
      </c>
      <c r="Z210" s="10" t="s">
        <v>42</v>
      </c>
      <c r="AA210" s="10" t="s">
        <v>43</v>
      </c>
      <c r="AB210" s="10" t="s">
        <v>44</v>
      </c>
      <c r="AC210" s="8" t="s">
        <v>44</v>
      </c>
    </row>
    <row r="211" spans="1:29">
      <c r="A211" s="11">
        <v>204</v>
      </c>
      <c r="B211" s="11" t="s">
        <v>402</v>
      </c>
      <c r="C211" s="11" t="s">
        <v>401</v>
      </c>
      <c r="D211" s="11" t="s">
        <v>201</v>
      </c>
      <c r="E211" s="11" t="s">
        <v>34</v>
      </c>
      <c r="F211" s="11" t="s">
        <v>35</v>
      </c>
      <c r="G211" s="9" t="s">
        <v>52</v>
      </c>
      <c r="H211" s="9" t="s">
        <v>71</v>
      </c>
      <c r="I211" s="9" t="s">
        <v>71</v>
      </c>
      <c r="J211" s="11">
        <v>146</v>
      </c>
      <c r="K211" s="11" t="s">
        <v>385</v>
      </c>
      <c r="L211" s="11" t="s">
        <v>40</v>
      </c>
      <c r="M211" s="13">
        <v>1</v>
      </c>
      <c r="N211" s="16">
        <v>16000.0</v>
      </c>
      <c r="O211" s="16"/>
      <c r="P211" s="18">
        <f>IF(N211&gt;0, O211/N211, 0)</f>
        <v>0</v>
      </c>
      <c r="Q211" s="16">
        <f>N211-O211</f>
        <v>16000</v>
      </c>
      <c r="R211" s="16">
        <f>M211*N211</f>
        <v>16000</v>
      </c>
      <c r="S211" s="16">
        <f>M211*O211</f>
        <v>0</v>
      </c>
      <c r="T211" s="16">
        <f>M211*Q211</f>
        <v>16000</v>
      </c>
      <c r="U211" s="16"/>
      <c r="V211" s="16">
        <f>M211*U211</f>
        <v>0</v>
      </c>
      <c r="W211" s="16">
        <f>T211-V211</f>
        <v>16000</v>
      </c>
      <c r="X211" s="18">
        <f>IF(T211&gt;0, W211/T211, 0)</f>
        <v>1</v>
      </c>
      <c r="Y211" s="9" t="s">
        <v>41</v>
      </c>
      <c r="Z211" s="11" t="s">
        <v>42</v>
      </c>
      <c r="AA211" s="11" t="s">
        <v>43</v>
      </c>
      <c r="AB211" s="11" t="s">
        <v>44</v>
      </c>
      <c r="AC211" s="9" t="s">
        <v>44</v>
      </c>
    </row>
    <row r="212" spans="1:29">
      <c r="A212" s="10">
        <v>205</v>
      </c>
      <c r="B212" s="10" t="s">
        <v>403</v>
      </c>
      <c r="C212" s="10" t="s">
        <v>401</v>
      </c>
      <c r="D212" s="10" t="s">
        <v>201</v>
      </c>
      <c r="E212" s="10" t="s">
        <v>70</v>
      </c>
      <c r="F212" s="10" t="s">
        <v>35</v>
      </c>
      <c r="G212" s="8" t="s">
        <v>52</v>
      </c>
      <c r="H212" s="8" t="s">
        <v>65</v>
      </c>
      <c r="I212" s="8" t="s">
        <v>151</v>
      </c>
      <c r="J212" s="10">
        <v>146</v>
      </c>
      <c r="K212" s="10" t="s">
        <v>170</v>
      </c>
      <c r="L212" s="10" t="s">
        <v>40</v>
      </c>
      <c r="M212" s="12">
        <v>1</v>
      </c>
      <c r="N212" s="15">
        <v>10000.0</v>
      </c>
      <c r="O212" s="15"/>
      <c r="P212" s="17">
        <f>IF(N212&gt;0, O212/N212, 0)</f>
        <v>0</v>
      </c>
      <c r="Q212" s="15">
        <f>N212-O212</f>
        <v>10000</v>
      </c>
      <c r="R212" s="15">
        <f>M212*N212</f>
        <v>10000</v>
      </c>
      <c r="S212" s="15">
        <f>M212*O212</f>
        <v>0</v>
      </c>
      <c r="T212" s="15">
        <f>M212*Q212</f>
        <v>10000</v>
      </c>
      <c r="U212" s="15"/>
      <c r="V212" s="15">
        <f>M212*U212</f>
        <v>0</v>
      </c>
      <c r="W212" s="15">
        <f>T212-V212</f>
        <v>10000</v>
      </c>
      <c r="X212" s="17">
        <f>IF(T212&gt;0, W212/T212, 0)</f>
        <v>1</v>
      </c>
      <c r="Y212" s="8" t="s">
        <v>41</v>
      </c>
      <c r="Z212" s="10" t="s">
        <v>42</v>
      </c>
      <c r="AA212" s="10" t="s">
        <v>73</v>
      </c>
      <c r="AB212" s="10" t="s">
        <v>44</v>
      </c>
      <c r="AC212" s="8" t="s">
        <v>44</v>
      </c>
    </row>
    <row r="213" spans="1:29">
      <c r="A213" s="11">
        <v>206</v>
      </c>
      <c r="B213" s="11" t="s">
        <v>404</v>
      </c>
      <c r="C213" s="11" t="s">
        <v>401</v>
      </c>
      <c r="D213" s="11" t="s">
        <v>201</v>
      </c>
      <c r="E213" s="11" t="s">
        <v>34</v>
      </c>
      <c r="F213" s="11" t="s">
        <v>35</v>
      </c>
      <c r="G213" s="9" t="s">
        <v>52</v>
      </c>
      <c r="H213" s="9" t="s">
        <v>53</v>
      </c>
      <c r="I213" s="9" t="s">
        <v>53</v>
      </c>
      <c r="J213" s="11">
        <v>152</v>
      </c>
      <c r="K213" s="11" t="s">
        <v>405</v>
      </c>
      <c r="L213" s="11" t="s">
        <v>55</v>
      </c>
      <c r="M213" s="13">
        <v>1</v>
      </c>
      <c r="N213" s="16">
        <v>8000.0</v>
      </c>
      <c r="O213" s="16"/>
      <c r="P213" s="18">
        <f>IF(N213&gt;0, O213/N213, 0)</f>
        <v>0</v>
      </c>
      <c r="Q213" s="16">
        <f>N213-O213</f>
        <v>8000</v>
      </c>
      <c r="R213" s="16">
        <f>M213*N213</f>
        <v>8000</v>
      </c>
      <c r="S213" s="16">
        <f>M213*O213</f>
        <v>0</v>
      </c>
      <c r="T213" s="16">
        <f>M213*Q213</f>
        <v>8000</v>
      </c>
      <c r="U213" s="16"/>
      <c r="V213" s="16">
        <f>M213*U213</f>
        <v>0</v>
      </c>
      <c r="W213" s="16">
        <f>T213-V213</f>
        <v>8000</v>
      </c>
      <c r="X213" s="18">
        <f>IF(T213&gt;0, W213/T213, 0)</f>
        <v>1</v>
      </c>
      <c r="Y213" s="9" t="s">
        <v>41</v>
      </c>
      <c r="Z213" s="11" t="s">
        <v>42</v>
      </c>
      <c r="AA213" s="11" t="s">
        <v>43</v>
      </c>
      <c r="AB213" s="11" t="s">
        <v>44</v>
      </c>
      <c r="AC213" s="9" t="s">
        <v>44</v>
      </c>
    </row>
    <row r="214" spans="1:29">
      <c r="A214" s="10">
        <v>207</v>
      </c>
      <c r="B214" s="10" t="s">
        <v>406</v>
      </c>
      <c r="C214" s="10" t="s">
        <v>401</v>
      </c>
      <c r="D214" s="10" t="s">
        <v>201</v>
      </c>
      <c r="E214" s="10" t="s">
        <v>34</v>
      </c>
      <c r="F214" s="10" t="s">
        <v>35</v>
      </c>
      <c r="G214" s="8" t="s">
        <v>52</v>
      </c>
      <c r="H214" s="8" t="s">
        <v>53</v>
      </c>
      <c r="I214" s="8" t="s">
        <v>53</v>
      </c>
      <c r="J214" s="10">
        <v>164</v>
      </c>
      <c r="K214" s="10" t="s">
        <v>407</v>
      </c>
      <c r="L214" s="10" t="s">
        <v>55</v>
      </c>
      <c r="M214" s="12">
        <v>1</v>
      </c>
      <c r="N214" s="15">
        <v>8000.0</v>
      </c>
      <c r="O214" s="15"/>
      <c r="P214" s="17">
        <f>IF(N214&gt;0, O214/N214, 0)</f>
        <v>0</v>
      </c>
      <c r="Q214" s="15">
        <f>N214-O214</f>
        <v>8000</v>
      </c>
      <c r="R214" s="15">
        <f>M214*N214</f>
        <v>8000</v>
      </c>
      <c r="S214" s="15">
        <f>M214*O214</f>
        <v>0</v>
      </c>
      <c r="T214" s="15">
        <f>M214*Q214</f>
        <v>8000</v>
      </c>
      <c r="U214" s="15"/>
      <c r="V214" s="15">
        <f>M214*U214</f>
        <v>0</v>
      </c>
      <c r="W214" s="15">
        <f>T214-V214</f>
        <v>8000</v>
      </c>
      <c r="X214" s="17">
        <f>IF(T214&gt;0, W214/T214, 0)</f>
        <v>1</v>
      </c>
      <c r="Y214" s="8" t="s">
        <v>41</v>
      </c>
      <c r="Z214" s="10" t="s">
        <v>42</v>
      </c>
      <c r="AA214" s="10" t="s">
        <v>43</v>
      </c>
      <c r="AB214" s="10" t="s">
        <v>44</v>
      </c>
      <c r="AC214" s="8" t="s">
        <v>44</v>
      </c>
    </row>
    <row r="215" spans="1:29">
      <c r="A215" s="11">
        <v>208</v>
      </c>
      <c r="B215" s="11" t="s">
        <v>408</v>
      </c>
      <c r="C215" s="11" t="s">
        <v>401</v>
      </c>
      <c r="D215" s="11" t="s">
        <v>201</v>
      </c>
      <c r="E215" s="11" t="s">
        <v>34</v>
      </c>
      <c r="F215" s="11" t="s">
        <v>35</v>
      </c>
      <c r="G215" s="9" t="s">
        <v>52</v>
      </c>
      <c r="H215" s="9" t="s">
        <v>37</v>
      </c>
      <c r="I215" s="9" t="s">
        <v>38</v>
      </c>
      <c r="J215" s="11">
        <v>152</v>
      </c>
      <c r="K215" s="11" t="s">
        <v>154</v>
      </c>
      <c r="L215" s="11" t="s">
        <v>55</v>
      </c>
      <c r="M215" s="13">
        <v>2</v>
      </c>
      <c r="N215" s="16">
        <v>7000.0</v>
      </c>
      <c r="O215" s="16"/>
      <c r="P215" s="18">
        <f>IF(N215&gt;0, O215/N215, 0)</f>
        <v>0</v>
      </c>
      <c r="Q215" s="16">
        <f>N215-O215</f>
        <v>7000</v>
      </c>
      <c r="R215" s="16">
        <f>M215*N215</f>
        <v>14000</v>
      </c>
      <c r="S215" s="16">
        <f>M215*O215</f>
        <v>0</v>
      </c>
      <c r="T215" s="16">
        <f>M215*Q215</f>
        <v>14000</v>
      </c>
      <c r="U215" s="16"/>
      <c r="V215" s="16">
        <f>M215*U215</f>
        <v>0</v>
      </c>
      <c r="W215" s="16">
        <f>T215-V215</f>
        <v>14000</v>
      </c>
      <c r="X215" s="18">
        <f>IF(T215&gt;0, W215/T215, 0)</f>
        <v>1</v>
      </c>
      <c r="Y215" s="9" t="s">
        <v>41</v>
      </c>
      <c r="Z215" s="11" t="s">
        <v>42</v>
      </c>
      <c r="AA215" s="11" t="s">
        <v>43</v>
      </c>
      <c r="AB215" s="11" t="s">
        <v>44</v>
      </c>
      <c r="AC215" s="9" t="s">
        <v>44</v>
      </c>
    </row>
    <row r="216" spans="1:29">
      <c r="A216" s="10">
        <v>209</v>
      </c>
      <c r="B216" s="10" t="s">
        <v>409</v>
      </c>
      <c r="C216" s="10" t="s">
        <v>401</v>
      </c>
      <c r="D216" s="10" t="s">
        <v>201</v>
      </c>
      <c r="E216" s="10" t="s">
        <v>34</v>
      </c>
      <c r="F216" s="10" t="s">
        <v>35</v>
      </c>
      <c r="G216" s="8" t="s">
        <v>52</v>
      </c>
      <c r="H216" s="8" t="s">
        <v>37</v>
      </c>
      <c r="I216" s="8" t="s">
        <v>38</v>
      </c>
      <c r="J216" s="10">
        <v>164</v>
      </c>
      <c r="K216" s="10" t="s">
        <v>410</v>
      </c>
      <c r="L216" s="10" t="s">
        <v>55</v>
      </c>
      <c r="M216" s="12">
        <v>2</v>
      </c>
      <c r="N216" s="15">
        <v>7000.0</v>
      </c>
      <c r="O216" s="15"/>
      <c r="P216" s="17">
        <f>IF(N216&gt;0, O216/N216, 0)</f>
        <v>0</v>
      </c>
      <c r="Q216" s="15">
        <f>N216-O216</f>
        <v>7000</v>
      </c>
      <c r="R216" s="15">
        <f>M216*N216</f>
        <v>14000</v>
      </c>
      <c r="S216" s="15">
        <f>M216*O216</f>
        <v>0</v>
      </c>
      <c r="T216" s="15">
        <f>M216*Q216</f>
        <v>14000</v>
      </c>
      <c r="U216" s="15"/>
      <c r="V216" s="15">
        <f>M216*U216</f>
        <v>0</v>
      </c>
      <c r="W216" s="15">
        <f>T216-V216</f>
        <v>14000</v>
      </c>
      <c r="X216" s="17">
        <f>IF(T216&gt;0, W216/T216, 0)</f>
        <v>1</v>
      </c>
      <c r="Y216" s="8" t="s">
        <v>41</v>
      </c>
      <c r="Z216" s="10" t="s">
        <v>42</v>
      </c>
      <c r="AA216" s="10" t="s">
        <v>43</v>
      </c>
      <c r="AB216" s="10" t="s">
        <v>44</v>
      </c>
      <c r="AC216" s="8" t="s">
        <v>44</v>
      </c>
    </row>
    <row r="217" spans="1:29">
      <c r="A217" s="11">
        <v>210</v>
      </c>
      <c r="B217" s="11" t="s">
        <v>411</v>
      </c>
      <c r="C217" s="11" t="s">
        <v>401</v>
      </c>
      <c r="D217" s="11" t="s">
        <v>201</v>
      </c>
      <c r="E217" s="11" t="s">
        <v>34</v>
      </c>
      <c r="F217" s="11" t="s">
        <v>35</v>
      </c>
      <c r="G217" s="9" t="s">
        <v>52</v>
      </c>
      <c r="H217" s="9" t="s">
        <v>58</v>
      </c>
      <c r="I217" s="9" t="s">
        <v>58</v>
      </c>
      <c r="J217" s="11">
        <v>164</v>
      </c>
      <c r="K217" s="11" t="s">
        <v>412</v>
      </c>
      <c r="L217" s="11" t="s">
        <v>40</v>
      </c>
      <c r="M217" s="13">
        <v>1</v>
      </c>
      <c r="N217" s="16">
        <v>7000.0</v>
      </c>
      <c r="O217" s="16"/>
      <c r="P217" s="18">
        <f>IF(N217&gt;0, O217/N217, 0)</f>
        <v>0</v>
      </c>
      <c r="Q217" s="16">
        <f>N217-O217</f>
        <v>7000</v>
      </c>
      <c r="R217" s="16">
        <f>M217*N217</f>
        <v>7000</v>
      </c>
      <c r="S217" s="16">
        <f>M217*O217</f>
        <v>0</v>
      </c>
      <c r="T217" s="16">
        <f>M217*Q217</f>
        <v>7000</v>
      </c>
      <c r="U217" s="16"/>
      <c r="V217" s="16">
        <f>M217*U217</f>
        <v>0</v>
      </c>
      <c r="W217" s="16">
        <f>T217-V217</f>
        <v>7000</v>
      </c>
      <c r="X217" s="18">
        <f>IF(T217&gt;0, W217/T217, 0)</f>
        <v>1</v>
      </c>
      <c r="Y217" s="9" t="s">
        <v>41</v>
      </c>
      <c r="Z217" s="11" t="s">
        <v>42</v>
      </c>
      <c r="AA217" s="11" t="s">
        <v>43</v>
      </c>
      <c r="AB217" s="11" t="s">
        <v>44</v>
      </c>
      <c r="AC217" s="9" t="s">
        <v>44</v>
      </c>
    </row>
    <row r="218" spans="1:29">
      <c r="A218" s="10">
        <v>211</v>
      </c>
      <c r="B218" s="10" t="s">
        <v>413</v>
      </c>
      <c r="C218" s="10" t="s">
        <v>401</v>
      </c>
      <c r="D218" s="10" t="s">
        <v>201</v>
      </c>
      <c r="E218" s="10" t="s">
        <v>34</v>
      </c>
      <c r="F218" s="10" t="s">
        <v>35</v>
      </c>
      <c r="G218" s="8" t="s">
        <v>52</v>
      </c>
      <c r="H218" s="8" t="s">
        <v>47</v>
      </c>
      <c r="I218" s="8" t="s">
        <v>48</v>
      </c>
      <c r="J218" s="10">
        <v>152</v>
      </c>
      <c r="K218" s="10" t="s">
        <v>414</v>
      </c>
      <c r="L218" s="10" t="s">
        <v>40</v>
      </c>
      <c r="M218" s="12">
        <v>1</v>
      </c>
      <c r="N218" s="15">
        <v>18000.0</v>
      </c>
      <c r="O218" s="15"/>
      <c r="P218" s="17">
        <f>IF(N218&gt;0, O218/N218, 0)</f>
        <v>0</v>
      </c>
      <c r="Q218" s="15">
        <f>N218-O218</f>
        <v>18000</v>
      </c>
      <c r="R218" s="15">
        <f>M218*N218</f>
        <v>18000</v>
      </c>
      <c r="S218" s="15">
        <f>M218*O218</f>
        <v>0</v>
      </c>
      <c r="T218" s="15">
        <f>M218*Q218</f>
        <v>18000</v>
      </c>
      <c r="U218" s="15"/>
      <c r="V218" s="15">
        <f>M218*U218</f>
        <v>0</v>
      </c>
      <c r="W218" s="15">
        <f>T218-V218</f>
        <v>18000</v>
      </c>
      <c r="X218" s="17">
        <f>IF(T218&gt;0, W218/T218, 0)</f>
        <v>1</v>
      </c>
      <c r="Y218" s="8" t="s">
        <v>41</v>
      </c>
      <c r="Z218" s="10" t="s">
        <v>42</v>
      </c>
      <c r="AA218" s="10" t="s">
        <v>43</v>
      </c>
      <c r="AB218" s="10" t="s">
        <v>44</v>
      </c>
      <c r="AC218" s="8" t="s">
        <v>44</v>
      </c>
    </row>
    <row r="219" spans="1:29">
      <c r="A219" s="11">
        <v>212</v>
      </c>
      <c r="B219" s="11" t="s">
        <v>415</v>
      </c>
      <c r="C219" s="11" t="s">
        <v>401</v>
      </c>
      <c r="D219" s="11" t="s">
        <v>201</v>
      </c>
      <c r="E219" s="11" t="s">
        <v>34</v>
      </c>
      <c r="F219" s="11" t="s">
        <v>35</v>
      </c>
      <c r="G219" s="9" t="s">
        <v>36</v>
      </c>
      <c r="H219" s="9" t="s">
        <v>47</v>
      </c>
      <c r="I219" s="9" t="s">
        <v>48</v>
      </c>
      <c r="J219" s="11">
        <v>164</v>
      </c>
      <c r="K219" s="11" t="s">
        <v>321</v>
      </c>
      <c r="L219" s="11" t="s">
        <v>40</v>
      </c>
      <c r="M219" s="13">
        <v>1</v>
      </c>
      <c r="N219" s="16">
        <v>18000.0</v>
      </c>
      <c r="O219" s="16"/>
      <c r="P219" s="18">
        <f>IF(N219&gt;0, O219/N219, 0)</f>
        <v>0</v>
      </c>
      <c r="Q219" s="16">
        <f>N219-O219</f>
        <v>18000</v>
      </c>
      <c r="R219" s="16">
        <f>M219*N219</f>
        <v>18000</v>
      </c>
      <c r="S219" s="16">
        <f>M219*O219</f>
        <v>0</v>
      </c>
      <c r="T219" s="16">
        <f>M219*Q219</f>
        <v>18000</v>
      </c>
      <c r="U219" s="16"/>
      <c r="V219" s="16">
        <f>M219*U219</f>
        <v>0</v>
      </c>
      <c r="W219" s="16">
        <f>T219-V219</f>
        <v>18000</v>
      </c>
      <c r="X219" s="18">
        <f>IF(T219&gt;0, W219/T219, 0)</f>
        <v>1</v>
      </c>
      <c r="Y219" s="9" t="s">
        <v>41</v>
      </c>
      <c r="Z219" s="11" t="s">
        <v>42</v>
      </c>
      <c r="AA219" s="11" t="s">
        <v>43</v>
      </c>
      <c r="AB219" s="11" t="s">
        <v>44</v>
      </c>
      <c r="AC219" s="9" t="s">
        <v>44</v>
      </c>
    </row>
    <row r="220" spans="1:29">
      <c r="A220" s="10">
        <v>213</v>
      </c>
      <c r="B220" s="10" t="s">
        <v>416</v>
      </c>
      <c r="C220" s="10" t="s">
        <v>401</v>
      </c>
      <c r="D220" s="10" t="s">
        <v>201</v>
      </c>
      <c r="E220" s="10" t="s">
        <v>34</v>
      </c>
      <c r="F220" s="10" t="s">
        <v>35</v>
      </c>
      <c r="G220" s="8" t="s">
        <v>52</v>
      </c>
      <c r="H220" s="8" t="s">
        <v>47</v>
      </c>
      <c r="I220" s="8" t="s">
        <v>48</v>
      </c>
      <c r="J220" s="10">
        <v>140</v>
      </c>
      <c r="K220" s="10" t="s">
        <v>417</v>
      </c>
      <c r="L220" s="10" t="s">
        <v>40</v>
      </c>
      <c r="M220" s="12">
        <v>1</v>
      </c>
      <c r="N220" s="15">
        <v>18000.0</v>
      </c>
      <c r="O220" s="15"/>
      <c r="P220" s="17">
        <f>IF(N220&gt;0, O220/N220, 0)</f>
        <v>0</v>
      </c>
      <c r="Q220" s="15">
        <f>N220-O220</f>
        <v>18000</v>
      </c>
      <c r="R220" s="15">
        <f>M220*N220</f>
        <v>18000</v>
      </c>
      <c r="S220" s="15">
        <f>M220*O220</f>
        <v>0</v>
      </c>
      <c r="T220" s="15">
        <f>M220*Q220</f>
        <v>18000</v>
      </c>
      <c r="U220" s="15"/>
      <c r="V220" s="15">
        <f>M220*U220</f>
        <v>0</v>
      </c>
      <c r="W220" s="15">
        <f>T220-V220</f>
        <v>18000</v>
      </c>
      <c r="X220" s="17">
        <f>IF(T220&gt;0, W220/T220, 0)</f>
        <v>1</v>
      </c>
      <c r="Y220" s="8" t="s">
        <v>41</v>
      </c>
      <c r="Z220" s="10" t="s">
        <v>42</v>
      </c>
      <c r="AA220" s="10" t="s">
        <v>43</v>
      </c>
      <c r="AB220" s="10" t="s">
        <v>44</v>
      </c>
      <c r="AC220" s="8" t="s">
        <v>44</v>
      </c>
    </row>
    <row r="221" spans="1:29">
      <c r="A221" s="11">
        <v>214</v>
      </c>
      <c r="B221" s="11" t="s">
        <v>418</v>
      </c>
      <c r="C221" s="11" t="s">
        <v>401</v>
      </c>
      <c r="D221" s="11" t="s">
        <v>201</v>
      </c>
      <c r="E221" s="11" t="s">
        <v>34</v>
      </c>
      <c r="F221" s="11" t="s">
        <v>35</v>
      </c>
      <c r="G221" s="9" t="s">
        <v>52</v>
      </c>
      <c r="H221" s="9" t="s">
        <v>53</v>
      </c>
      <c r="I221" s="9" t="s">
        <v>53</v>
      </c>
      <c r="J221" s="11">
        <v>134</v>
      </c>
      <c r="K221" s="11" t="s">
        <v>178</v>
      </c>
      <c r="L221" s="11" t="s">
        <v>55</v>
      </c>
      <c r="M221" s="13">
        <v>1</v>
      </c>
      <c r="N221" s="16">
        <v>8000.0</v>
      </c>
      <c r="O221" s="16"/>
      <c r="P221" s="18">
        <f>IF(N221&gt;0, O221/N221, 0)</f>
        <v>0</v>
      </c>
      <c r="Q221" s="16">
        <f>N221-O221</f>
        <v>8000</v>
      </c>
      <c r="R221" s="16">
        <f>M221*N221</f>
        <v>8000</v>
      </c>
      <c r="S221" s="16">
        <f>M221*O221</f>
        <v>0</v>
      </c>
      <c r="T221" s="16">
        <f>M221*Q221</f>
        <v>8000</v>
      </c>
      <c r="U221" s="16"/>
      <c r="V221" s="16">
        <f>M221*U221</f>
        <v>0</v>
      </c>
      <c r="W221" s="16">
        <f>T221-V221</f>
        <v>8000</v>
      </c>
      <c r="X221" s="18">
        <f>IF(T221&gt;0, W221/T221, 0)</f>
        <v>1</v>
      </c>
      <c r="Y221" s="9" t="s">
        <v>41</v>
      </c>
      <c r="Z221" s="11" t="s">
        <v>42</v>
      </c>
      <c r="AA221" s="11" t="s">
        <v>43</v>
      </c>
      <c r="AB221" s="11" t="s">
        <v>44</v>
      </c>
      <c r="AC221" s="9" t="s">
        <v>44</v>
      </c>
    </row>
    <row r="222" spans="1:29">
      <c r="A222" s="10">
        <v>215</v>
      </c>
      <c r="B222" s="10" t="s">
        <v>419</v>
      </c>
      <c r="C222" s="10" t="s">
        <v>401</v>
      </c>
      <c r="D222" s="10" t="s">
        <v>201</v>
      </c>
      <c r="E222" s="10" t="s">
        <v>34</v>
      </c>
      <c r="F222" s="10" t="s">
        <v>35</v>
      </c>
      <c r="G222" s="8" t="s">
        <v>52</v>
      </c>
      <c r="H222" s="8" t="s">
        <v>37</v>
      </c>
      <c r="I222" s="8" t="s">
        <v>38</v>
      </c>
      <c r="J222" s="10">
        <v>140</v>
      </c>
      <c r="K222" s="10" t="s">
        <v>226</v>
      </c>
      <c r="L222" s="10" t="s">
        <v>55</v>
      </c>
      <c r="M222" s="12">
        <v>1</v>
      </c>
      <c r="N222" s="15">
        <v>7000.0</v>
      </c>
      <c r="O222" s="15"/>
      <c r="P222" s="17">
        <f>IF(N222&gt;0, O222/N222, 0)</f>
        <v>0</v>
      </c>
      <c r="Q222" s="15">
        <f>N222-O222</f>
        <v>7000</v>
      </c>
      <c r="R222" s="15">
        <f>M222*N222</f>
        <v>7000</v>
      </c>
      <c r="S222" s="15">
        <f>M222*O222</f>
        <v>0</v>
      </c>
      <c r="T222" s="15">
        <f>M222*Q222</f>
        <v>7000</v>
      </c>
      <c r="U222" s="15"/>
      <c r="V222" s="15">
        <f>M222*U222</f>
        <v>0</v>
      </c>
      <c r="W222" s="15">
        <f>T222-V222</f>
        <v>7000</v>
      </c>
      <c r="X222" s="17">
        <f>IF(T222&gt;0, W222/T222, 0)</f>
        <v>1</v>
      </c>
      <c r="Y222" s="8" t="s">
        <v>41</v>
      </c>
      <c r="Z222" s="10" t="s">
        <v>42</v>
      </c>
      <c r="AA222" s="10" t="s">
        <v>43</v>
      </c>
      <c r="AB222" s="10" t="s">
        <v>44</v>
      </c>
      <c r="AC222" s="8" t="s">
        <v>44</v>
      </c>
    </row>
    <row r="223" spans="1:29">
      <c r="A223" s="11">
        <v>216</v>
      </c>
      <c r="B223" s="11" t="s">
        <v>420</v>
      </c>
      <c r="C223" s="11" t="s">
        <v>401</v>
      </c>
      <c r="D223" s="11" t="s">
        <v>201</v>
      </c>
      <c r="E223" s="11" t="s">
        <v>34</v>
      </c>
      <c r="F223" s="11" t="s">
        <v>35</v>
      </c>
      <c r="G223" s="9" t="s">
        <v>36</v>
      </c>
      <c r="H223" s="9" t="s">
        <v>53</v>
      </c>
      <c r="I223" s="9" t="s">
        <v>53</v>
      </c>
      <c r="J223" s="11">
        <v>176</v>
      </c>
      <c r="K223" s="11" t="s">
        <v>421</v>
      </c>
      <c r="L223" s="11" t="s">
        <v>40</v>
      </c>
      <c r="M223" s="13">
        <v>1</v>
      </c>
      <c r="N223" s="16">
        <v>8500.0</v>
      </c>
      <c r="O223" s="16"/>
      <c r="P223" s="18">
        <f>IF(N223&gt;0, O223/N223, 0)</f>
        <v>0</v>
      </c>
      <c r="Q223" s="16">
        <f>N223-O223</f>
        <v>8500</v>
      </c>
      <c r="R223" s="16">
        <f>M223*N223</f>
        <v>8500</v>
      </c>
      <c r="S223" s="16">
        <f>M223*O223</f>
        <v>0</v>
      </c>
      <c r="T223" s="16">
        <f>M223*Q223</f>
        <v>8500</v>
      </c>
      <c r="U223" s="16"/>
      <c r="V223" s="16">
        <f>M223*U223</f>
        <v>0</v>
      </c>
      <c r="W223" s="16">
        <f>T223-V223</f>
        <v>8500</v>
      </c>
      <c r="X223" s="18">
        <f>IF(T223&gt;0, W223/T223, 0)</f>
        <v>1</v>
      </c>
      <c r="Y223" s="9" t="s">
        <v>41</v>
      </c>
      <c r="Z223" s="11" t="s">
        <v>42</v>
      </c>
      <c r="AA223" s="11" t="s">
        <v>43</v>
      </c>
      <c r="AB223" s="11" t="s">
        <v>44</v>
      </c>
      <c r="AC223" s="9" t="s">
        <v>44</v>
      </c>
    </row>
    <row r="224" spans="1:29">
      <c r="A224" s="10">
        <v>217</v>
      </c>
      <c r="B224" s="10" t="s">
        <v>422</v>
      </c>
      <c r="C224" s="10" t="s">
        <v>401</v>
      </c>
      <c r="D224" s="10" t="s">
        <v>201</v>
      </c>
      <c r="E224" s="10" t="s">
        <v>34</v>
      </c>
      <c r="F224" s="10" t="s">
        <v>35</v>
      </c>
      <c r="G224" s="8" t="s">
        <v>36</v>
      </c>
      <c r="H224" s="8" t="s">
        <v>37</v>
      </c>
      <c r="I224" s="8" t="s">
        <v>75</v>
      </c>
      <c r="J224" s="10">
        <v>176</v>
      </c>
      <c r="K224" s="10" t="s">
        <v>423</v>
      </c>
      <c r="L224" s="10" t="s">
        <v>40</v>
      </c>
      <c r="M224" s="12">
        <v>1</v>
      </c>
      <c r="N224" s="15">
        <v>9000.0</v>
      </c>
      <c r="O224" s="15"/>
      <c r="P224" s="17">
        <f>IF(N224&gt;0, O224/N224, 0)</f>
        <v>0</v>
      </c>
      <c r="Q224" s="15">
        <f>N224-O224</f>
        <v>9000</v>
      </c>
      <c r="R224" s="15">
        <f>M224*N224</f>
        <v>9000</v>
      </c>
      <c r="S224" s="15">
        <f>M224*O224</f>
        <v>0</v>
      </c>
      <c r="T224" s="15">
        <f>M224*Q224</f>
        <v>9000</v>
      </c>
      <c r="U224" s="15"/>
      <c r="V224" s="15">
        <f>M224*U224</f>
        <v>0</v>
      </c>
      <c r="W224" s="15">
        <f>T224-V224</f>
        <v>9000</v>
      </c>
      <c r="X224" s="17">
        <f>IF(T224&gt;0, W224/T224, 0)</f>
        <v>1</v>
      </c>
      <c r="Y224" s="8" t="s">
        <v>41</v>
      </c>
      <c r="Z224" s="10" t="s">
        <v>42</v>
      </c>
      <c r="AA224" s="10" t="s">
        <v>43</v>
      </c>
      <c r="AB224" s="10" t="s">
        <v>44</v>
      </c>
      <c r="AC224" s="8" t="s">
        <v>44</v>
      </c>
    </row>
    <row r="225" spans="1:29">
      <c r="A225" s="11">
        <v>218</v>
      </c>
      <c r="B225" s="11" t="s">
        <v>424</v>
      </c>
      <c r="C225" s="11" t="s">
        <v>401</v>
      </c>
      <c r="D225" s="11" t="s">
        <v>201</v>
      </c>
      <c r="E225" s="11" t="s">
        <v>34</v>
      </c>
      <c r="F225" s="11" t="s">
        <v>35</v>
      </c>
      <c r="G225" s="9" t="s">
        <v>36</v>
      </c>
      <c r="H225" s="9" t="s">
        <v>71</v>
      </c>
      <c r="I225" s="9" t="s">
        <v>71</v>
      </c>
      <c r="J225" s="11">
        <v>182</v>
      </c>
      <c r="K225" s="11" t="s">
        <v>425</v>
      </c>
      <c r="L225" s="11" t="s">
        <v>40</v>
      </c>
      <c r="M225" s="13">
        <v>1</v>
      </c>
      <c r="N225" s="16">
        <v>16500.0</v>
      </c>
      <c r="O225" s="16"/>
      <c r="P225" s="18">
        <f>IF(N225&gt;0, O225/N225, 0)</f>
        <v>0</v>
      </c>
      <c r="Q225" s="16">
        <f>N225-O225</f>
        <v>16500</v>
      </c>
      <c r="R225" s="16">
        <f>M225*N225</f>
        <v>16500</v>
      </c>
      <c r="S225" s="16">
        <f>M225*O225</f>
        <v>0</v>
      </c>
      <c r="T225" s="16">
        <f>M225*Q225</f>
        <v>16500</v>
      </c>
      <c r="U225" s="16"/>
      <c r="V225" s="16">
        <f>M225*U225</f>
        <v>0</v>
      </c>
      <c r="W225" s="16">
        <f>T225-V225</f>
        <v>16500</v>
      </c>
      <c r="X225" s="18">
        <f>IF(T225&gt;0, W225/T225, 0)</f>
        <v>1</v>
      </c>
      <c r="Y225" s="9" t="s">
        <v>41</v>
      </c>
      <c r="Z225" s="11" t="s">
        <v>42</v>
      </c>
      <c r="AA225" s="11" t="s">
        <v>43</v>
      </c>
      <c r="AB225" s="11" t="s">
        <v>44</v>
      </c>
      <c r="AC225" s="9" t="s">
        <v>44</v>
      </c>
    </row>
    <row r="226" spans="1:29">
      <c r="A226" s="10">
        <v>219</v>
      </c>
      <c r="B226" s="10" t="s">
        <v>426</v>
      </c>
      <c r="C226" s="10" t="s">
        <v>401</v>
      </c>
      <c r="D226" s="10" t="s">
        <v>201</v>
      </c>
      <c r="E226" s="10" t="s">
        <v>34</v>
      </c>
      <c r="F226" s="10" t="s">
        <v>35</v>
      </c>
      <c r="G226" s="8" t="s">
        <v>36</v>
      </c>
      <c r="H226" s="8" t="s">
        <v>47</v>
      </c>
      <c r="I226" s="8" t="s">
        <v>48</v>
      </c>
      <c r="J226" s="10">
        <v>176</v>
      </c>
      <c r="K226" s="10" t="s">
        <v>427</v>
      </c>
      <c r="L226" s="10" t="s">
        <v>40</v>
      </c>
      <c r="M226" s="12">
        <v>1</v>
      </c>
      <c r="N226" s="15">
        <v>18000.0</v>
      </c>
      <c r="O226" s="15"/>
      <c r="P226" s="17">
        <f>IF(N226&gt;0, O226/N226, 0)</f>
        <v>0</v>
      </c>
      <c r="Q226" s="15">
        <f>N226-O226</f>
        <v>18000</v>
      </c>
      <c r="R226" s="15">
        <f>M226*N226</f>
        <v>18000</v>
      </c>
      <c r="S226" s="15">
        <f>M226*O226</f>
        <v>0</v>
      </c>
      <c r="T226" s="15">
        <f>M226*Q226</f>
        <v>18000</v>
      </c>
      <c r="U226" s="15"/>
      <c r="V226" s="15">
        <f>M226*U226</f>
        <v>0</v>
      </c>
      <c r="W226" s="15">
        <f>T226-V226</f>
        <v>18000</v>
      </c>
      <c r="X226" s="17">
        <f>IF(T226&gt;0, W226/T226, 0)</f>
        <v>1</v>
      </c>
      <c r="Y226" s="8" t="s">
        <v>41</v>
      </c>
      <c r="Z226" s="10" t="s">
        <v>42</v>
      </c>
      <c r="AA226" s="10" t="s">
        <v>43</v>
      </c>
      <c r="AB226" s="10" t="s">
        <v>44</v>
      </c>
      <c r="AC226" s="8" t="s">
        <v>44</v>
      </c>
    </row>
    <row r="227" spans="1:29">
      <c r="A227" s="11">
        <v>220</v>
      </c>
      <c r="B227" s="11" t="s">
        <v>428</v>
      </c>
      <c r="C227" s="11" t="s">
        <v>429</v>
      </c>
      <c r="D227" s="11" t="s">
        <v>201</v>
      </c>
      <c r="E227" s="11" t="s">
        <v>34</v>
      </c>
      <c r="F227" s="11" t="s">
        <v>35</v>
      </c>
      <c r="G227" s="9" t="s">
        <v>52</v>
      </c>
      <c r="H227" s="9" t="s">
        <v>37</v>
      </c>
      <c r="I227" s="9" t="s">
        <v>38</v>
      </c>
      <c r="J227" s="11">
        <v>140</v>
      </c>
      <c r="K227" s="11" t="s">
        <v>226</v>
      </c>
      <c r="L227" s="11" t="s">
        <v>55</v>
      </c>
      <c r="M227" s="13">
        <v>1</v>
      </c>
      <c r="N227" s="16">
        <v>7000.0</v>
      </c>
      <c r="O227" s="16"/>
      <c r="P227" s="18">
        <f>IF(N227&gt;0, O227/N227, 0)</f>
        <v>0</v>
      </c>
      <c r="Q227" s="16">
        <f>N227-O227</f>
        <v>7000</v>
      </c>
      <c r="R227" s="16">
        <f>M227*N227</f>
        <v>7000</v>
      </c>
      <c r="S227" s="16">
        <f>M227*O227</f>
        <v>0</v>
      </c>
      <c r="T227" s="16">
        <f>M227*Q227</f>
        <v>7000</v>
      </c>
      <c r="U227" s="16"/>
      <c r="V227" s="16">
        <f>M227*U227</f>
        <v>0</v>
      </c>
      <c r="W227" s="16">
        <f>T227-V227</f>
        <v>7000</v>
      </c>
      <c r="X227" s="18">
        <f>IF(T227&gt;0, W227/T227, 0)</f>
        <v>1</v>
      </c>
      <c r="Y227" s="9" t="s">
        <v>41</v>
      </c>
      <c r="Z227" s="11" t="s">
        <v>42</v>
      </c>
      <c r="AA227" s="11" t="s">
        <v>43</v>
      </c>
      <c r="AB227" s="11" t="s">
        <v>44</v>
      </c>
      <c r="AC227" s="9" t="s">
        <v>44</v>
      </c>
    </row>
    <row r="228" spans="1:29">
      <c r="A228" s="10">
        <v>221</v>
      </c>
      <c r="B228" s="10" t="s">
        <v>430</v>
      </c>
      <c r="C228" s="10" t="s">
        <v>431</v>
      </c>
      <c r="D228" s="10" t="s">
        <v>201</v>
      </c>
      <c r="E228" s="10" t="s">
        <v>70</v>
      </c>
      <c r="F228" s="10" t="s">
        <v>35</v>
      </c>
      <c r="G228" s="8" t="s">
        <v>52</v>
      </c>
      <c r="H228" s="8" t="s">
        <v>65</v>
      </c>
      <c r="I228" s="8" t="s">
        <v>151</v>
      </c>
      <c r="J228" s="10">
        <v>152</v>
      </c>
      <c r="K228" s="10" t="s">
        <v>254</v>
      </c>
      <c r="L228" s="10" t="s">
        <v>40</v>
      </c>
      <c r="M228" s="12">
        <v>1</v>
      </c>
      <c r="N228" s="15">
        <v>10000.0</v>
      </c>
      <c r="O228" s="15"/>
      <c r="P228" s="17">
        <f>IF(N228&gt;0, O228/N228, 0)</f>
        <v>0</v>
      </c>
      <c r="Q228" s="15">
        <f>N228-O228</f>
        <v>10000</v>
      </c>
      <c r="R228" s="15">
        <f>M228*N228</f>
        <v>10000</v>
      </c>
      <c r="S228" s="15">
        <f>M228*O228</f>
        <v>0</v>
      </c>
      <c r="T228" s="15">
        <f>M228*Q228</f>
        <v>10000</v>
      </c>
      <c r="U228" s="15"/>
      <c r="V228" s="15">
        <f>M228*U228</f>
        <v>0</v>
      </c>
      <c r="W228" s="15">
        <f>T228-V228</f>
        <v>10000</v>
      </c>
      <c r="X228" s="17">
        <f>IF(T228&gt;0, W228/T228, 0)</f>
        <v>1</v>
      </c>
      <c r="Y228" s="8" t="s">
        <v>41</v>
      </c>
      <c r="Z228" s="10" t="s">
        <v>42</v>
      </c>
      <c r="AA228" s="10" t="s">
        <v>73</v>
      </c>
      <c r="AB228" s="10" t="s">
        <v>44</v>
      </c>
      <c r="AC228" s="8" t="s">
        <v>44</v>
      </c>
    </row>
    <row r="229" spans="1:29">
      <c r="A229" s="11">
        <v>222</v>
      </c>
      <c r="B229" s="11" t="s">
        <v>432</v>
      </c>
      <c r="C229" s="11" t="s">
        <v>431</v>
      </c>
      <c r="D229" s="11" t="s">
        <v>201</v>
      </c>
      <c r="E229" s="11" t="s">
        <v>70</v>
      </c>
      <c r="F229" s="11" t="s">
        <v>35</v>
      </c>
      <c r="G229" s="9" t="s">
        <v>161</v>
      </c>
      <c r="H229" s="9" t="s">
        <v>162</v>
      </c>
      <c r="I229" s="9" t="s">
        <v>162</v>
      </c>
      <c r="J229" s="11" t="s">
        <v>44</v>
      </c>
      <c r="K229" s="11" t="s">
        <v>361</v>
      </c>
      <c r="L229" s="11" t="s">
        <v>40</v>
      </c>
      <c r="M229" s="13">
        <v>1</v>
      </c>
      <c r="N229" s="16">
        <v>5000.0</v>
      </c>
      <c r="O229" s="16"/>
      <c r="P229" s="18">
        <f>IF(N229&gt;0, O229/N229, 0)</f>
        <v>0</v>
      </c>
      <c r="Q229" s="16">
        <f>N229-O229</f>
        <v>5000</v>
      </c>
      <c r="R229" s="16">
        <f>M229*N229</f>
        <v>5000</v>
      </c>
      <c r="S229" s="16">
        <f>M229*O229</f>
        <v>0</v>
      </c>
      <c r="T229" s="16">
        <f>M229*Q229</f>
        <v>5000</v>
      </c>
      <c r="U229" s="16"/>
      <c r="V229" s="16">
        <f>M229*U229</f>
        <v>0</v>
      </c>
      <c r="W229" s="16">
        <f>T229-V229</f>
        <v>5000</v>
      </c>
      <c r="X229" s="18">
        <f>IF(T229&gt;0, W229/T229, 0)</f>
        <v>1</v>
      </c>
      <c r="Y229" s="9" t="s">
        <v>41</v>
      </c>
      <c r="Z229" s="11" t="s">
        <v>42</v>
      </c>
      <c r="AA229" s="11" t="s">
        <v>73</v>
      </c>
      <c r="AB229" s="11" t="s">
        <v>44</v>
      </c>
      <c r="AC229" s="9" t="s">
        <v>44</v>
      </c>
    </row>
    <row r="230" spans="1:29">
      <c r="A230" s="10">
        <v>223</v>
      </c>
      <c r="B230" s="10" t="s">
        <v>433</v>
      </c>
      <c r="C230" s="10" t="s">
        <v>431</v>
      </c>
      <c r="D230" s="10" t="s">
        <v>201</v>
      </c>
      <c r="E230" s="10" t="s">
        <v>70</v>
      </c>
      <c r="F230" s="10" t="s">
        <v>35</v>
      </c>
      <c r="G230" s="8" t="s">
        <v>52</v>
      </c>
      <c r="H230" s="8" t="s">
        <v>434</v>
      </c>
      <c r="I230" s="8" t="s">
        <v>434</v>
      </c>
      <c r="J230" s="10">
        <v>152</v>
      </c>
      <c r="K230" s="10" t="s">
        <v>435</v>
      </c>
      <c r="L230" s="10" t="s">
        <v>40</v>
      </c>
      <c r="M230" s="12">
        <v>1</v>
      </c>
      <c r="N230" s="15">
        <v>15000.0</v>
      </c>
      <c r="O230" s="15"/>
      <c r="P230" s="17">
        <f>IF(N230&gt;0, O230/N230, 0)</f>
        <v>0</v>
      </c>
      <c r="Q230" s="15">
        <f>N230-O230</f>
        <v>15000</v>
      </c>
      <c r="R230" s="15">
        <f>M230*N230</f>
        <v>15000</v>
      </c>
      <c r="S230" s="15">
        <f>M230*O230</f>
        <v>0</v>
      </c>
      <c r="T230" s="15">
        <f>M230*Q230</f>
        <v>15000</v>
      </c>
      <c r="U230" s="15"/>
      <c r="V230" s="15">
        <f>M230*U230</f>
        <v>0</v>
      </c>
      <c r="W230" s="15">
        <f>T230-V230</f>
        <v>15000</v>
      </c>
      <c r="X230" s="17">
        <f>IF(T230&gt;0, W230/T230, 0)</f>
        <v>1</v>
      </c>
      <c r="Y230" s="8" t="s">
        <v>41</v>
      </c>
      <c r="Z230" s="10" t="s">
        <v>42</v>
      </c>
      <c r="AA230" s="10" t="s">
        <v>73</v>
      </c>
      <c r="AB230" s="10" t="s">
        <v>44</v>
      </c>
      <c r="AC230" s="8" t="s">
        <v>44</v>
      </c>
    </row>
    <row r="231" spans="1:29">
      <c r="A231" s="11">
        <v>224</v>
      </c>
      <c r="B231" s="11" t="s">
        <v>436</v>
      </c>
      <c r="C231" s="11" t="s">
        <v>431</v>
      </c>
      <c r="D231" s="11" t="s">
        <v>201</v>
      </c>
      <c r="E231" s="11" t="s">
        <v>70</v>
      </c>
      <c r="F231" s="11" t="s">
        <v>35</v>
      </c>
      <c r="G231" s="9" t="s">
        <v>52</v>
      </c>
      <c r="H231" s="9" t="s">
        <v>65</v>
      </c>
      <c r="I231" s="9" t="s">
        <v>151</v>
      </c>
      <c r="J231" s="11">
        <v>158</v>
      </c>
      <c r="K231" s="11" t="s">
        <v>437</v>
      </c>
      <c r="L231" s="11" t="s">
        <v>40</v>
      </c>
      <c r="M231" s="13">
        <v>2</v>
      </c>
      <c r="N231" s="16">
        <v>10000.0</v>
      </c>
      <c r="O231" s="16"/>
      <c r="P231" s="18">
        <f>IF(N231&gt;0, O231/N231, 0)</f>
        <v>0</v>
      </c>
      <c r="Q231" s="16">
        <f>N231-O231</f>
        <v>10000</v>
      </c>
      <c r="R231" s="16">
        <f>M231*N231</f>
        <v>20000</v>
      </c>
      <c r="S231" s="16">
        <f>M231*O231</f>
        <v>0</v>
      </c>
      <c r="T231" s="16">
        <f>M231*Q231</f>
        <v>20000</v>
      </c>
      <c r="U231" s="16"/>
      <c r="V231" s="16">
        <f>M231*U231</f>
        <v>0</v>
      </c>
      <c r="W231" s="16">
        <f>T231-V231</f>
        <v>20000</v>
      </c>
      <c r="X231" s="18">
        <f>IF(T231&gt;0, W231/T231, 0)</f>
        <v>1</v>
      </c>
      <c r="Y231" s="9" t="s">
        <v>41</v>
      </c>
      <c r="Z231" s="11" t="s">
        <v>42</v>
      </c>
      <c r="AA231" s="11" t="s">
        <v>73</v>
      </c>
      <c r="AB231" s="11" t="s">
        <v>44</v>
      </c>
      <c r="AC231" s="9" t="s">
        <v>44</v>
      </c>
    </row>
    <row r="232" spans="1:29">
      <c r="A232" s="10">
        <v>225</v>
      </c>
      <c r="B232" s="10" t="s">
        <v>438</v>
      </c>
      <c r="C232" s="10" t="s">
        <v>431</v>
      </c>
      <c r="D232" s="10" t="s">
        <v>201</v>
      </c>
      <c r="E232" s="10" t="s">
        <v>70</v>
      </c>
      <c r="F232" s="10" t="s">
        <v>35</v>
      </c>
      <c r="G232" s="8" t="s">
        <v>52</v>
      </c>
      <c r="H232" s="8" t="s">
        <v>65</v>
      </c>
      <c r="I232" s="8" t="s">
        <v>151</v>
      </c>
      <c r="J232" s="10">
        <v>146</v>
      </c>
      <c r="K232" s="10" t="s">
        <v>170</v>
      </c>
      <c r="L232" s="10" t="s">
        <v>40</v>
      </c>
      <c r="M232" s="12">
        <v>1</v>
      </c>
      <c r="N232" s="15">
        <v>10000.0</v>
      </c>
      <c r="O232" s="15"/>
      <c r="P232" s="17">
        <f>IF(N232&gt;0, O232/N232, 0)</f>
        <v>0</v>
      </c>
      <c r="Q232" s="15">
        <f>N232-O232</f>
        <v>10000</v>
      </c>
      <c r="R232" s="15">
        <f>M232*N232</f>
        <v>10000</v>
      </c>
      <c r="S232" s="15">
        <f>M232*O232</f>
        <v>0</v>
      </c>
      <c r="T232" s="15">
        <f>M232*Q232</f>
        <v>10000</v>
      </c>
      <c r="U232" s="15"/>
      <c r="V232" s="15">
        <f>M232*U232</f>
        <v>0</v>
      </c>
      <c r="W232" s="15">
        <f>T232-V232</f>
        <v>10000</v>
      </c>
      <c r="X232" s="17">
        <f>IF(T232&gt;0, W232/T232, 0)</f>
        <v>1</v>
      </c>
      <c r="Y232" s="8" t="s">
        <v>41</v>
      </c>
      <c r="Z232" s="10" t="s">
        <v>42</v>
      </c>
      <c r="AA232" s="10" t="s">
        <v>73</v>
      </c>
      <c r="AB232" s="10" t="s">
        <v>44</v>
      </c>
      <c r="AC232" s="8" t="s">
        <v>44</v>
      </c>
    </row>
    <row r="233" spans="1:29">
      <c r="A233" s="11">
        <v>226</v>
      </c>
      <c r="B233" s="11" t="s">
        <v>439</v>
      </c>
      <c r="C233" s="11" t="s">
        <v>431</v>
      </c>
      <c r="D233" s="11" t="s">
        <v>201</v>
      </c>
      <c r="E233" s="11" t="s">
        <v>70</v>
      </c>
      <c r="F233" s="11" t="s">
        <v>35</v>
      </c>
      <c r="G233" s="9" t="s">
        <v>52</v>
      </c>
      <c r="H233" s="9" t="s">
        <v>65</v>
      </c>
      <c r="I233" s="9" t="s">
        <v>151</v>
      </c>
      <c r="J233" s="11">
        <v>140</v>
      </c>
      <c r="K233" s="11" t="s">
        <v>224</v>
      </c>
      <c r="L233" s="11" t="s">
        <v>40</v>
      </c>
      <c r="M233" s="13">
        <v>2</v>
      </c>
      <c r="N233" s="16">
        <v>10000.0</v>
      </c>
      <c r="O233" s="16"/>
      <c r="P233" s="18">
        <f>IF(N233&gt;0, O233/N233, 0)</f>
        <v>0</v>
      </c>
      <c r="Q233" s="16">
        <f>N233-O233</f>
        <v>10000</v>
      </c>
      <c r="R233" s="16">
        <f>M233*N233</f>
        <v>20000</v>
      </c>
      <c r="S233" s="16">
        <f>M233*O233</f>
        <v>0</v>
      </c>
      <c r="T233" s="16">
        <f>M233*Q233</f>
        <v>20000</v>
      </c>
      <c r="U233" s="16"/>
      <c r="V233" s="16">
        <f>M233*U233</f>
        <v>0</v>
      </c>
      <c r="W233" s="16">
        <f>T233-V233</f>
        <v>20000</v>
      </c>
      <c r="X233" s="18">
        <f>IF(T233&gt;0, W233/T233, 0)</f>
        <v>1</v>
      </c>
      <c r="Y233" s="9" t="s">
        <v>41</v>
      </c>
      <c r="Z233" s="11" t="s">
        <v>42</v>
      </c>
      <c r="AA233" s="11" t="s">
        <v>73</v>
      </c>
      <c r="AB233" s="11" t="s">
        <v>44</v>
      </c>
      <c r="AC233" s="9" t="s">
        <v>44</v>
      </c>
    </row>
    <row r="234" spans="1:29">
      <c r="A234" s="10">
        <v>227</v>
      </c>
      <c r="B234" s="10" t="s">
        <v>440</v>
      </c>
      <c r="C234" s="10" t="s">
        <v>431</v>
      </c>
      <c r="D234" s="10" t="s">
        <v>201</v>
      </c>
      <c r="E234" s="10" t="s">
        <v>70</v>
      </c>
      <c r="F234" s="10" t="s">
        <v>35</v>
      </c>
      <c r="G234" s="8" t="s">
        <v>161</v>
      </c>
      <c r="H234" s="8" t="s">
        <v>162</v>
      </c>
      <c r="I234" s="8" t="s">
        <v>162</v>
      </c>
      <c r="J234" s="10" t="s">
        <v>44</v>
      </c>
      <c r="K234" s="10" t="s">
        <v>361</v>
      </c>
      <c r="L234" s="10" t="s">
        <v>40</v>
      </c>
      <c r="M234" s="12">
        <v>1</v>
      </c>
      <c r="N234" s="15">
        <v>5000.0</v>
      </c>
      <c r="O234" s="15"/>
      <c r="P234" s="17">
        <f>IF(N234&gt;0, O234/N234, 0)</f>
        <v>0</v>
      </c>
      <c r="Q234" s="15">
        <f>N234-O234</f>
        <v>5000</v>
      </c>
      <c r="R234" s="15">
        <f>M234*N234</f>
        <v>5000</v>
      </c>
      <c r="S234" s="15">
        <f>M234*O234</f>
        <v>0</v>
      </c>
      <c r="T234" s="15">
        <f>M234*Q234</f>
        <v>5000</v>
      </c>
      <c r="U234" s="15"/>
      <c r="V234" s="15">
        <f>M234*U234</f>
        <v>0</v>
      </c>
      <c r="W234" s="15">
        <f>T234-V234</f>
        <v>5000</v>
      </c>
      <c r="X234" s="17">
        <f>IF(T234&gt;0, W234/T234, 0)</f>
        <v>1</v>
      </c>
      <c r="Y234" s="8" t="s">
        <v>41</v>
      </c>
      <c r="Z234" s="10" t="s">
        <v>42</v>
      </c>
      <c r="AA234" s="10" t="s">
        <v>73</v>
      </c>
      <c r="AB234" s="10" t="s">
        <v>44</v>
      </c>
      <c r="AC234" s="8" t="s">
        <v>44</v>
      </c>
    </row>
    <row r="235" spans="1:29">
      <c r="A235" s="11">
        <v>228</v>
      </c>
      <c r="B235" s="11" t="s">
        <v>441</v>
      </c>
      <c r="C235" s="11" t="s">
        <v>431</v>
      </c>
      <c r="D235" s="11" t="s">
        <v>201</v>
      </c>
      <c r="E235" s="11" t="s">
        <v>34</v>
      </c>
      <c r="F235" s="11" t="s">
        <v>35</v>
      </c>
      <c r="G235" s="9" t="s">
        <v>161</v>
      </c>
      <c r="H235" s="9" t="s">
        <v>162</v>
      </c>
      <c r="I235" s="9" t="s">
        <v>162</v>
      </c>
      <c r="J235" s="11" t="s">
        <v>44</v>
      </c>
      <c r="K235" s="11" t="s">
        <v>361</v>
      </c>
      <c r="L235" s="11" t="s">
        <v>40</v>
      </c>
      <c r="M235" s="13">
        <v>1</v>
      </c>
      <c r="N235" s="16">
        <v>5000.0</v>
      </c>
      <c r="O235" s="16"/>
      <c r="P235" s="18">
        <f>IF(N235&gt;0, O235/N235, 0)</f>
        <v>0</v>
      </c>
      <c r="Q235" s="16">
        <f>N235-O235</f>
        <v>5000</v>
      </c>
      <c r="R235" s="16">
        <f>M235*N235</f>
        <v>5000</v>
      </c>
      <c r="S235" s="16">
        <f>M235*O235</f>
        <v>0</v>
      </c>
      <c r="T235" s="16">
        <f>M235*Q235</f>
        <v>5000</v>
      </c>
      <c r="U235" s="16"/>
      <c r="V235" s="16">
        <f>M235*U235</f>
        <v>0</v>
      </c>
      <c r="W235" s="16">
        <f>T235-V235</f>
        <v>5000</v>
      </c>
      <c r="X235" s="18">
        <f>IF(T235&gt;0, W235/T235, 0)</f>
        <v>1</v>
      </c>
      <c r="Y235" s="9" t="s">
        <v>41</v>
      </c>
      <c r="Z235" s="11" t="s">
        <v>42</v>
      </c>
      <c r="AA235" s="11" t="s">
        <v>43</v>
      </c>
      <c r="AB235" s="11" t="s">
        <v>44</v>
      </c>
      <c r="AC235" s="9" t="s">
        <v>44</v>
      </c>
    </row>
    <row r="236" spans="1:29">
      <c r="A236" s="10">
        <v>229</v>
      </c>
      <c r="B236" s="10" t="s">
        <v>442</v>
      </c>
      <c r="C236" s="10" t="s">
        <v>443</v>
      </c>
      <c r="D236" s="10" t="s">
        <v>201</v>
      </c>
      <c r="E236" s="10" t="s">
        <v>34</v>
      </c>
      <c r="F236" s="10" t="s">
        <v>35</v>
      </c>
      <c r="G236" s="8" t="s">
        <v>52</v>
      </c>
      <c r="H236" s="8" t="s">
        <v>47</v>
      </c>
      <c r="I236" s="8" t="s">
        <v>48</v>
      </c>
      <c r="J236" s="10">
        <v>158</v>
      </c>
      <c r="K236" s="10" t="s">
        <v>444</v>
      </c>
      <c r="L236" s="10" t="s">
        <v>40</v>
      </c>
      <c r="M236" s="12">
        <v>1</v>
      </c>
      <c r="N236" s="15">
        <v>18000.0</v>
      </c>
      <c r="O236" s="15"/>
      <c r="P236" s="17">
        <f>IF(N236&gt;0, O236/N236, 0)</f>
        <v>0</v>
      </c>
      <c r="Q236" s="15">
        <f>N236-O236</f>
        <v>18000</v>
      </c>
      <c r="R236" s="15">
        <f>M236*N236</f>
        <v>18000</v>
      </c>
      <c r="S236" s="15">
        <f>M236*O236</f>
        <v>0</v>
      </c>
      <c r="T236" s="15">
        <f>M236*Q236</f>
        <v>18000</v>
      </c>
      <c r="U236" s="15"/>
      <c r="V236" s="15">
        <f>M236*U236</f>
        <v>0</v>
      </c>
      <c r="W236" s="15">
        <f>T236-V236</f>
        <v>18000</v>
      </c>
      <c r="X236" s="17">
        <f>IF(T236&gt;0, W236/T236, 0)</f>
        <v>1</v>
      </c>
      <c r="Y236" s="8" t="s">
        <v>41</v>
      </c>
      <c r="Z236" s="10" t="s">
        <v>42</v>
      </c>
      <c r="AA236" s="10" t="s">
        <v>43</v>
      </c>
      <c r="AB236" s="10" t="s">
        <v>44</v>
      </c>
      <c r="AC236" s="8" t="s">
        <v>44</v>
      </c>
    </row>
    <row r="237" spans="1:29">
      <c r="A237" s="11">
        <v>230</v>
      </c>
      <c r="B237" s="11" t="s">
        <v>445</v>
      </c>
      <c r="C237" s="11" t="s">
        <v>443</v>
      </c>
      <c r="D237" s="11" t="s">
        <v>201</v>
      </c>
      <c r="E237" s="11" t="s">
        <v>34</v>
      </c>
      <c r="F237" s="11" t="s">
        <v>35</v>
      </c>
      <c r="G237" s="9" t="s">
        <v>52</v>
      </c>
      <c r="H237" s="9" t="s">
        <v>47</v>
      </c>
      <c r="I237" s="9" t="s">
        <v>48</v>
      </c>
      <c r="J237" s="11">
        <v>140</v>
      </c>
      <c r="K237" s="11" t="s">
        <v>417</v>
      </c>
      <c r="L237" s="11" t="s">
        <v>40</v>
      </c>
      <c r="M237" s="13">
        <v>1</v>
      </c>
      <c r="N237" s="16">
        <v>18000.0</v>
      </c>
      <c r="O237" s="16"/>
      <c r="P237" s="18">
        <f>IF(N237&gt;0, O237/N237, 0)</f>
        <v>0</v>
      </c>
      <c r="Q237" s="16">
        <f>N237-O237</f>
        <v>18000</v>
      </c>
      <c r="R237" s="16">
        <f>M237*N237</f>
        <v>18000</v>
      </c>
      <c r="S237" s="16">
        <f>M237*O237</f>
        <v>0</v>
      </c>
      <c r="T237" s="16">
        <f>M237*Q237</f>
        <v>18000</v>
      </c>
      <c r="U237" s="16"/>
      <c r="V237" s="16">
        <f>M237*U237</f>
        <v>0</v>
      </c>
      <c r="W237" s="16">
        <f>T237-V237</f>
        <v>18000</v>
      </c>
      <c r="X237" s="18">
        <f>IF(T237&gt;0, W237/T237, 0)</f>
        <v>1</v>
      </c>
      <c r="Y237" s="9" t="s">
        <v>41</v>
      </c>
      <c r="Z237" s="11" t="s">
        <v>42</v>
      </c>
      <c r="AA237" s="11" t="s">
        <v>43</v>
      </c>
      <c r="AB237" s="11" t="s">
        <v>44</v>
      </c>
      <c r="AC237" s="9" t="s">
        <v>44</v>
      </c>
    </row>
    <row r="238" spans="1:29">
      <c r="A238" s="10">
        <v>231</v>
      </c>
      <c r="B238" s="10" t="s">
        <v>446</v>
      </c>
      <c r="C238" s="10" t="s">
        <v>443</v>
      </c>
      <c r="D238" s="10" t="s">
        <v>201</v>
      </c>
      <c r="E238" s="10" t="s">
        <v>34</v>
      </c>
      <c r="F238" s="10" t="s">
        <v>144</v>
      </c>
      <c r="G238" s="8" t="s">
        <v>52</v>
      </c>
      <c r="H238" s="8" t="s">
        <v>434</v>
      </c>
      <c r="I238" s="8" t="s">
        <v>447</v>
      </c>
      <c r="J238" s="10">
        <v>140</v>
      </c>
      <c r="K238" s="10" t="s">
        <v>448</v>
      </c>
      <c r="L238" s="10" t="s">
        <v>40</v>
      </c>
      <c r="M238" s="12">
        <v>1</v>
      </c>
      <c r="N238" s="15">
        <v>15000.0</v>
      </c>
      <c r="O238" s="15"/>
      <c r="P238" s="17">
        <f>IF(N238&gt;0, O238/N238, 0)</f>
        <v>0</v>
      </c>
      <c r="Q238" s="15">
        <f>N238-O238</f>
        <v>15000</v>
      </c>
      <c r="R238" s="15">
        <f>M238*N238</f>
        <v>15000</v>
      </c>
      <c r="S238" s="15">
        <f>M238*O238</f>
        <v>0</v>
      </c>
      <c r="T238" s="15">
        <f>M238*Q238</f>
        <v>15000</v>
      </c>
      <c r="U238" s="15"/>
      <c r="V238" s="15">
        <f>M238*U238</f>
        <v>0</v>
      </c>
      <c r="W238" s="15">
        <f>T238-V238</f>
        <v>15000</v>
      </c>
      <c r="X238" s="17">
        <f>IF(T238&gt;0, W238/T238, 0)</f>
        <v>1</v>
      </c>
      <c r="Y238" s="8" t="s">
        <v>41</v>
      </c>
      <c r="Z238" s="10" t="s">
        <v>42</v>
      </c>
      <c r="AA238" s="10" t="s">
        <v>43</v>
      </c>
      <c r="AB238" s="10" t="s">
        <v>44</v>
      </c>
      <c r="AC238" s="8" t="s">
        <v>449</v>
      </c>
    </row>
    <row r="239" spans="1:29">
      <c r="A239" s="11">
        <v>232</v>
      </c>
      <c r="B239" s="11" t="s">
        <v>450</v>
      </c>
      <c r="C239" s="11" t="s">
        <v>443</v>
      </c>
      <c r="D239" s="11" t="s">
        <v>201</v>
      </c>
      <c r="E239" s="11" t="s">
        <v>34</v>
      </c>
      <c r="F239" s="11" t="s">
        <v>35</v>
      </c>
      <c r="G239" s="9" t="s">
        <v>52</v>
      </c>
      <c r="H239" s="9" t="s">
        <v>71</v>
      </c>
      <c r="I239" s="9" t="s">
        <v>71</v>
      </c>
      <c r="J239" s="11">
        <v>146</v>
      </c>
      <c r="K239" s="11" t="s">
        <v>385</v>
      </c>
      <c r="L239" s="11" t="s">
        <v>40</v>
      </c>
      <c r="M239" s="13">
        <v>1</v>
      </c>
      <c r="N239" s="16">
        <v>18000.0</v>
      </c>
      <c r="O239" s="16"/>
      <c r="P239" s="18">
        <f>IF(N239&gt;0, O239/N239, 0)</f>
        <v>0</v>
      </c>
      <c r="Q239" s="16">
        <f>N239-O239</f>
        <v>18000</v>
      </c>
      <c r="R239" s="16">
        <f>M239*N239</f>
        <v>18000</v>
      </c>
      <c r="S239" s="16">
        <f>M239*O239</f>
        <v>0</v>
      </c>
      <c r="T239" s="16">
        <f>M239*Q239</f>
        <v>18000</v>
      </c>
      <c r="U239" s="16"/>
      <c r="V239" s="16">
        <f>M239*U239</f>
        <v>0</v>
      </c>
      <c r="W239" s="16">
        <f>T239-V239</f>
        <v>18000</v>
      </c>
      <c r="X239" s="18">
        <f>IF(T239&gt;0, W239/T239, 0)</f>
        <v>1</v>
      </c>
      <c r="Y239" s="9" t="s">
        <v>41</v>
      </c>
      <c r="Z239" s="11" t="s">
        <v>42</v>
      </c>
      <c r="AA239" s="11" t="s">
        <v>43</v>
      </c>
      <c r="AB239" s="11" t="s">
        <v>44</v>
      </c>
      <c r="AC239" s="9" t="s">
        <v>44</v>
      </c>
    </row>
    <row r="240" spans="1:29">
      <c r="A240" s="10">
        <v>233</v>
      </c>
      <c r="B240" s="10" t="s">
        <v>451</v>
      </c>
      <c r="C240" s="10" t="s">
        <v>443</v>
      </c>
      <c r="D240" s="10" t="s">
        <v>201</v>
      </c>
      <c r="E240" s="10" t="s">
        <v>34</v>
      </c>
      <c r="F240" s="10" t="s">
        <v>35</v>
      </c>
      <c r="G240" s="8" t="s">
        <v>52</v>
      </c>
      <c r="H240" s="8" t="s">
        <v>37</v>
      </c>
      <c r="I240" s="8" t="s">
        <v>75</v>
      </c>
      <c r="J240" s="10">
        <v>146</v>
      </c>
      <c r="K240" s="10" t="s">
        <v>343</v>
      </c>
      <c r="L240" s="10" t="s">
        <v>55</v>
      </c>
      <c r="M240" s="12">
        <v>1</v>
      </c>
      <c r="N240" s="15">
        <v>8000.0</v>
      </c>
      <c r="O240" s="15"/>
      <c r="P240" s="17">
        <f>IF(N240&gt;0, O240/N240, 0)</f>
        <v>0</v>
      </c>
      <c r="Q240" s="15">
        <f>N240-O240</f>
        <v>8000</v>
      </c>
      <c r="R240" s="15">
        <f>M240*N240</f>
        <v>8000</v>
      </c>
      <c r="S240" s="15">
        <f>M240*O240</f>
        <v>0</v>
      </c>
      <c r="T240" s="15">
        <f>M240*Q240</f>
        <v>8000</v>
      </c>
      <c r="U240" s="15"/>
      <c r="V240" s="15">
        <f>M240*U240</f>
        <v>0</v>
      </c>
      <c r="W240" s="15">
        <f>T240-V240</f>
        <v>8000</v>
      </c>
      <c r="X240" s="17">
        <f>IF(T240&gt;0, W240/T240, 0)</f>
        <v>1</v>
      </c>
      <c r="Y240" s="8" t="s">
        <v>41</v>
      </c>
      <c r="Z240" s="10" t="s">
        <v>42</v>
      </c>
      <c r="AA240" s="10" t="s">
        <v>43</v>
      </c>
      <c r="AB240" s="10" t="s">
        <v>44</v>
      </c>
      <c r="AC240" s="8" t="s">
        <v>44</v>
      </c>
    </row>
    <row r="241" spans="1:29">
      <c r="A241" s="11">
        <v>234</v>
      </c>
      <c r="B241" s="11" t="s">
        <v>452</v>
      </c>
      <c r="C241" s="11" t="s">
        <v>443</v>
      </c>
      <c r="D241" s="11" t="s">
        <v>201</v>
      </c>
      <c r="E241" s="11" t="s">
        <v>34</v>
      </c>
      <c r="F241" s="11" t="s">
        <v>35</v>
      </c>
      <c r="G241" s="9" t="s">
        <v>52</v>
      </c>
      <c r="H241" s="9" t="s">
        <v>37</v>
      </c>
      <c r="I241" s="9" t="s">
        <v>38</v>
      </c>
      <c r="J241" s="11">
        <v>146</v>
      </c>
      <c r="K241" s="11" t="s">
        <v>260</v>
      </c>
      <c r="L241" s="11" t="s">
        <v>55</v>
      </c>
      <c r="M241" s="13">
        <v>1</v>
      </c>
      <c r="N241" s="16">
        <v>7000.0</v>
      </c>
      <c r="O241" s="16"/>
      <c r="P241" s="18">
        <f>IF(N241&gt;0, O241/N241, 0)</f>
        <v>0</v>
      </c>
      <c r="Q241" s="16">
        <f>N241-O241</f>
        <v>7000</v>
      </c>
      <c r="R241" s="16">
        <f>M241*N241</f>
        <v>7000</v>
      </c>
      <c r="S241" s="16">
        <f>M241*O241</f>
        <v>0</v>
      </c>
      <c r="T241" s="16">
        <f>M241*Q241</f>
        <v>7000</v>
      </c>
      <c r="U241" s="16"/>
      <c r="V241" s="16">
        <f>M241*U241</f>
        <v>0</v>
      </c>
      <c r="W241" s="16">
        <f>T241-V241</f>
        <v>7000</v>
      </c>
      <c r="X241" s="18">
        <f>IF(T241&gt;0, W241/T241, 0)</f>
        <v>1</v>
      </c>
      <c r="Y241" s="9" t="s">
        <v>41</v>
      </c>
      <c r="Z241" s="11" t="s">
        <v>42</v>
      </c>
      <c r="AA241" s="11" t="s">
        <v>43</v>
      </c>
      <c r="AB241" s="11" t="s">
        <v>44</v>
      </c>
      <c r="AC241" s="9" t="s">
        <v>44</v>
      </c>
    </row>
    <row r="242" spans="1:29">
      <c r="A242" s="10">
        <v>235</v>
      </c>
      <c r="B242" s="10" t="s">
        <v>453</v>
      </c>
      <c r="C242" s="10" t="s">
        <v>443</v>
      </c>
      <c r="D242" s="10" t="s">
        <v>201</v>
      </c>
      <c r="E242" s="10" t="s">
        <v>34</v>
      </c>
      <c r="F242" s="10" t="s">
        <v>35</v>
      </c>
      <c r="G242" s="8" t="s">
        <v>52</v>
      </c>
      <c r="H242" s="8" t="s">
        <v>37</v>
      </c>
      <c r="I242" s="8" t="s">
        <v>38</v>
      </c>
      <c r="J242" s="10">
        <v>134</v>
      </c>
      <c r="K242" s="10" t="s">
        <v>180</v>
      </c>
      <c r="L242" s="10" t="s">
        <v>55</v>
      </c>
      <c r="M242" s="12">
        <v>1</v>
      </c>
      <c r="N242" s="15">
        <v>7000.0</v>
      </c>
      <c r="O242" s="15"/>
      <c r="P242" s="17">
        <f>IF(N242&gt;0, O242/N242, 0)</f>
        <v>0</v>
      </c>
      <c r="Q242" s="15">
        <f>N242-O242</f>
        <v>7000</v>
      </c>
      <c r="R242" s="15">
        <f>M242*N242</f>
        <v>7000</v>
      </c>
      <c r="S242" s="15">
        <f>M242*O242</f>
        <v>0</v>
      </c>
      <c r="T242" s="15">
        <f>M242*Q242</f>
        <v>7000</v>
      </c>
      <c r="U242" s="15"/>
      <c r="V242" s="15">
        <f>M242*U242</f>
        <v>0</v>
      </c>
      <c r="W242" s="15">
        <f>T242-V242</f>
        <v>7000</v>
      </c>
      <c r="X242" s="17">
        <f>IF(T242&gt;0, W242/T242, 0)</f>
        <v>1</v>
      </c>
      <c r="Y242" s="8" t="s">
        <v>41</v>
      </c>
      <c r="Z242" s="10" t="s">
        <v>42</v>
      </c>
      <c r="AA242" s="10" t="s">
        <v>43</v>
      </c>
      <c r="AB242" s="10" t="s">
        <v>44</v>
      </c>
      <c r="AC242" s="8" t="s">
        <v>44</v>
      </c>
    </row>
    <row r="243" spans="1:29">
      <c r="A243" s="11">
        <v>236</v>
      </c>
      <c r="B243" s="11" t="s">
        <v>454</v>
      </c>
      <c r="C243" s="11" t="s">
        <v>443</v>
      </c>
      <c r="D243" s="11" t="s">
        <v>201</v>
      </c>
      <c r="E243" s="11" t="s">
        <v>34</v>
      </c>
      <c r="F243" s="11" t="s">
        <v>35</v>
      </c>
      <c r="G243" s="9" t="s">
        <v>52</v>
      </c>
      <c r="H243" s="9" t="s">
        <v>37</v>
      </c>
      <c r="I243" s="9" t="s">
        <v>38</v>
      </c>
      <c r="J243" s="11">
        <v>140</v>
      </c>
      <c r="K243" s="11" t="s">
        <v>226</v>
      </c>
      <c r="L243" s="11" t="s">
        <v>55</v>
      </c>
      <c r="M243" s="13">
        <v>1</v>
      </c>
      <c r="N243" s="16">
        <v>7000.0</v>
      </c>
      <c r="O243" s="16"/>
      <c r="P243" s="18">
        <f>IF(N243&gt;0, O243/N243, 0)</f>
        <v>0</v>
      </c>
      <c r="Q243" s="16">
        <f>N243-O243</f>
        <v>7000</v>
      </c>
      <c r="R243" s="16">
        <f>M243*N243</f>
        <v>7000</v>
      </c>
      <c r="S243" s="16">
        <f>M243*O243</f>
        <v>0</v>
      </c>
      <c r="T243" s="16">
        <f>M243*Q243</f>
        <v>7000</v>
      </c>
      <c r="U243" s="16"/>
      <c r="V243" s="16">
        <f>M243*U243</f>
        <v>0</v>
      </c>
      <c r="W243" s="16">
        <f>T243-V243</f>
        <v>7000</v>
      </c>
      <c r="X243" s="18">
        <f>IF(T243&gt;0, W243/T243, 0)</f>
        <v>1</v>
      </c>
      <c r="Y243" s="9" t="s">
        <v>41</v>
      </c>
      <c r="Z243" s="11" t="s">
        <v>42</v>
      </c>
      <c r="AA243" s="11" t="s">
        <v>43</v>
      </c>
      <c r="AB243" s="11" t="s">
        <v>44</v>
      </c>
      <c r="AC243" s="9" t="s">
        <v>44</v>
      </c>
    </row>
    <row r="244" spans="1:29">
      <c r="A244" s="10">
        <v>237</v>
      </c>
      <c r="B244" s="10" t="s">
        <v>455</v>
      </c>
      <c r="C244" s="10" t="s">
        <v>443</v>
      </c>
      <c r="D244" s="10" t="s">
        <v>201</v>
      </c>
      <c r="E244" s="10" t="s">
        <v>34</v>
      </c>
      <c r="F244" s="10" t="s">
        <v>35</v>
      </c>
      <c r="G244" s="8" t="s">
        <v>52</v>
      </c>
      <c r="H244" s="8" t="s">
        <v>71</v>
      </c>
      <c r="I244" s="8" t="s">
        <v>71</v>
      </c>
      <c r="J244" s="10">
        <v>128</v>
      </c>
      <c r="K244" s="10" t="s">
        <v>112</v>
      </c>
      <c r="L244" s="10" t="s">
        <v>40</v>
      </c>
      <c r="M244" s="12">
        <v>1</v>
      </c>
      <c r="N244" s="15">
        <v>18000.0</v>
      </c>
      <c r="O244" s="15"/>
      <c r="P244" s="17">
        <f>IF(N244&gt;0, O244/N244, 0)</f>
        <v>0</v>
      </c>
      <c r="Q244" s="15">
        <f>N244-O244</f>
        <v>18000</v>
      </c>
      <c r="R244" s="15">
        <f>M244*N244</f>
        <v>18000</v>
      </c>
      <c r="S244" s="15">
        <f>M244*O244</f>
        <v>0</v>
      </c>
      <c r="T244" s="15">
        <f>M244*Q244</f>
        <v>18000</v>
      </c>
      <c r="U244" s="15"/>
      <c r="V244" s="15">
        <f>M244*U244</f>
        <v>0</v>
      </c>
      <c r="W244" s="15">
        <f>T244-V244</f>
        <v>18000</v>
      </c>
      <c r="X244" s="17">
        <f>IF(T244&gt;0, W244/T244, 0)</f>
        <v>1</v>
      </c>
      <c r="Y244" s="8" t="s">
        <v>41</v>
      </c>
      <c r="Z244" s="10" t="s">
        <v>42</v>
      </c>
      <c r="AA244" s="10" t="s">
        <v>43</v>
      </c>
      <c r="AB244" s="10" t="s">
        <v>44</v>
      </c>
      <c r="AC244" s="8" t="s">
        <v>44</v>
      </c>
    </row>
    <row r="245" spans="1:29">
      <c r="A245" s="11">
        <v>238</v>
      </c>
      <c r="B245" s="11" t="s">
        <v>456</v>
      </c>
      <c r="C245" s="11" t="s">
        <v>443</v>
      </c>
      <c r="D245" s="11" t="s">
        <v>201</v>
      </c>
      <c r="E245" s="11" t="s">
        <v>34</v>
      </c>
      <c r="F245" s="11" t="s">
        <v>35</v>
      </c>
      <c r="G245" s="9" t="s">
        <v>52</v>
      </c>
      <c r="H245" s="9" t="s">
        <v>37</v>
      </c>
      <c r="I245" s="9" t="s">
        <v>38</v>
      </c>
      <c r="J245" s="11">
        <v>128</v>
      </c>
      <c r="K245" s="11" t="s">
        <v>159</v>
      </c>
      <c r="L245" s="11" t="s">
        <v>55</v>
      </c>
      <c r="M245" s="13">
        <v>1</v>
      </c>
      <c r="N245" s="16">
        <v>7000.0</v>
      </c>
      <c r="O245" s="16"/>
      <c r="P245" s="18">
        <f>IF(N245&gt;0, O245/N245, 0)</f>
        <v>0</v>
      </c>
      <c r="Q245" s="16">
        <f>N245-O245</f>
        <v>7000</v>
      </c>
      <c r="R245" s="16">
        <f>M245*N245</f>
        <v>7000</v>
      </c>
      <c r="S245" s="16">
        <f>M245*O245</f>
        <v>0</v>
      </c>
      <c r="T245" s="16">
        <f>M245*Q245</f>
        <v>7000</v>
      </c>
      <c r="U245" s="16"/>
      <c r="V245" s="16">
        <f>M245*U245</f>
        <v>0</v>
      </c>
      <c r="W245" s="16">
        <f>T245-V245</f>
        <v>7000</v>
      </c>
      <c r="X245" s="18">
        <f>IF(T245&gt;0, W245/T245, 0)</f>
        <v>1</v>
      </c>
      <c r="Y245" s="9" t="s">
        <v>41</v>
      </c>
      <c r="Z245" s="11" t="s">
        <v>42</v>
      </c>
      <c r="AA245" s="11" t="s">
        <v>43</v>
      </c>
      <c r="AB245" s="11" t="s">
        <v>44</v>
      </c>
      <c r="AC245" s="9" t="s">
        <v>44</v>
      </c>
    </row>
    <row r="246" spans="1:29">
      <c r="A246" s="10">
        <v>239</v>
      </c>
      <c r="B246" s="10" t="s">
        <v>457</v>
      </c>
      <c r="C246" s="10" t="s">
        <v>443</v>
      </c>
      <c r="D246" s="10" t="s">
        <v>201</v>
      </c>
      <c r="E246" s="10" t="s">
        <v>34</v>
      </c>
      <c r="F246" s="10" t="s">
        <v>35</v>
      </c>
      <c r="G246" s="8" t="s">
        <v>52</v>
      </c>
      <c r="H246" s="8" t="s">
        <v>71</v>
      </c>
      <c r="I246" s="8" t="s">
        <v>71</v>
      </c>
      <c r="J246" s="10">
        <v>152</v>
      </c>
      <c r="K246" s="10" t="s">
        <v>353</v>
      </c>
      <c r="L246" s="10" t="s">
        <v>40</v>
      </c>
      <c r="M246" s="12">
        <v>1</v>
      </c>
      <c r="N246" s="15">
        <v>18000.0</v>
      </c>
      <c r="O246" s="15"/>
      <c r="P246" s="17">
        <f>IF(N246&gt;0, O246/N246, 0)</f>
        <v>0</v>
      </c>
      <c r="Q246" s="15">
        <f>N246-O246</f>
        <v>18000</v>
      </c>
      <c r="R246" s="15">
        <f>M246*N246</f>
        <v>18000</v>
      </c>
      <c r="S246" s="15">
        <f>M246*O246</f>
        <v>0</v>
      </c>
      <c r="T246" s="15">
        <f>M246*Q246</f>
        <v>18000</v>
      </c>
      <c r="U246" s="15"/>
      <c r="V246" s="15">
        <f>M246*U246</f>
        <v>0</v>
      </c>
      <c r="W246" s="15">
        <f>T246-V246</f>
        <v>18000</v>
      </c>
      <c r="X246" s="17">
        <f>IF(T246&gt;0, W246/T246, 0)</f>
        <v>1</v>
      </c>
      <c r="Y246" s="8" t="s">
        <v>41</v>
      </c>
      <c r="Z246" s="10" t="s">
        <v>42</v>
      </c>
      <c r="AA246" s="10" t="s">
        <v>43</v>
      </c>
      <c r="AB246" s="10" t="s">
        <v>44</v>
      </c>
      <c r="AC246" s="8" t="s">
        <v>44</v>
      </c>
    </row>
    <row r="247" spans="1:29">
      <c r="A247" s="11">
        <v>240</v>
      </c>
      <c r="B247" s="11" t="s">
        <v>458</v>
      </c>
      <c r="C247" s="11" t="s">
        <v>443</v>
      </c>
      <c r="D247" s="11" t="s">
        <v>201</v>
      </c>
      <c r="E247" s="11" t="s">
        <v>34</v>
      </c>
      <c r="F247" s="11" t="s">
        <v>35</v>
      </c>
      <c r="G247" s="9" t="s">
        <v>52</v>
      </c>
      <c r="H247" s="9" t="s">
        <v>37</v>
      </c>
      <c r="I247" s="9" t="s">
        <v>38</v>
      </c>
      <c r="J247" s="11">
        <v>152</v>
      </c>
      <c r="K247" s="11" t="s">
        <v>154</v>
      </c>
      <c r="L247" s="11" t="s">
        <v>55</v>
      </c>
      <c r="M247" s="13">
        <v>1</v>
      </c>
      <c r="N247" s="16">
        <v>7000.0</v>
      </c>
      <c r="O247" s="16"/>
      <c r="P247" s="18">
        <f>IF(N247&gt;0, O247/N247, 0)</f>
        <v>0</v>
      </c>
      <c r="Q247" s="16">
        <f>N247-O247</f>
        <v>7000</v>
      </c>
      <c r="R247" s="16">
        <f>M247*N247</f>
        <v>7000</v>
      </c>
      <c r="S247" s="16">
        <f>M247*O247</f>
        <v>0</v>
      </c>
      <c r="T247" s="16">
        <f>M247*Q247</f>
        <v>7000</v>
      </c>
      <c r="U247" s="16"/>
      <c r="V247" s="16">
        <f>M247*U247</f>
        <v>0</v>
      </c>
      <c r="W247" s="16">
        <f>T247-V247</f>
        <v>7000</v>
      </c>
      <c r="X247" s="18">
        <f>IF(T247&gt;0, W247/T247, 0)</f>
        <v>1</v>
      </c>
      <c r="Y247" s="9" t="s">
        <v>41</v>
      </c>
      <c r="Z247" s="11" t="s">
        <v>42</v>
      </c>
      <c r="AA247" s="11" t="s">
        <v>43</v>
      </c>
      <c r="AB247" s="11" t="s">
        <v>44</v>
      </c>
      <c r="AC247" s="9" t="s">
        <v>44</v>
      </c>
    </row>
    <row r="248" spans="1:29">
      <c r="A248" s="10">
        <v>241</v>
      </c>
      <c r="B248" s="10" t="s">
        <v>459</v>
      </c>
      <c r="C248" s="10" t="s">
        <v>460</v>
      </c>
      <c r="D248" s="10" t="s">
        <v>201</v>
      </c>
      <c r="E248" s="10" t="s">
        <v>70</v>
      </c>
      <c r="F248" s="10" t="s">
        <v>35</v>
      </c>
      <c r="G248" s="8" t="s">
        <v>52</v>
      </c>
      <c r="H248" s="8" t="s">
        <v>65</v>
      </c>
      <c r="I248" s="8" t="s">
        <v>151</v>
      </c>
      <c r="J248" s="10">
        <v>128</v>
      </c>
      <c r="K248" s="10" t="s">
        <v>168</v>
      </c>
      <c r="L248" s="10" t="s">
        <v>40</v>
      </c>
      <c r="M248" s="12">
        <v>1</v>
      </c>
      <c r="N248" s="15">
        <v>10000.0</v>
      </c>
      <c r="O248" s="15"/>
      <c r="P248" s="17">
        <f>IF(N248&gt;0, O248/N248, 0)</f>
        <v>0</v>
      </c>
      <c r="Q248" s="15">
        <f>N248-O248</f>
        <v>10000</v>
      </c>
      <c r="R248" s="15">
        <f>M248*N248</f>
        <v>10000</v>
      </c>
      <c r="S248" s="15">
        <f>M248*O248</f>
        <v>0</v>
      </c>
      <c r="T248" s="15">
        <f>M248*Q248</f>
        <v>10000</v>
      </c>
      <c r="U248" s="15"/>
      <c r="V248" s="15">
        <f>M248*U248</f>
        <v>0</v>
      </c>
      <c r="W248" s="15">
        <f>T248-V248</f>
        <v>10000</v>
      </c>
      <c r="X248" s="17">
        <f>IF(T248&gt;0, W248/T248, 0)</f>
        <v>1</v>
      </c>
      <c r="Y248" s="8" t="s">
        <v>41</v>
      </c>
      <c r="Z248" s="10" t="s">
        <v>42</v>
      </c>
      <c r="AA248" s="10" t="s">
        <v>73</v>
      </c>
      <c r="AB248" s="10" t="s">
        <v>44</v>
      </c>
      <c r="AC248" s="8" t="s">
        <v>44</v>
      </c>
    </row>
    <row r="249" spans="1:29">
      <c r="A249" s="11">
        <v>242</v>
      </c>
      <c r="B249" s="11" t="s">
        <v>461</v>
      </c>
      <c r="C249" s="11" t="s">
        <v>460</v>
      </c>
      <c r="D249" s="11" t="s">
        <v>201</v>
      </c>
      <c r="E249" s="11" t="s">
        <v>70</v>
      </c>
      <c r="F249" s="11" t="s">
        <v>35</v>
      </c>
      <c r="G249" s="9" t="s">
        <v>36</v>
      </c>
      <c r="H249" s="9" t="s">
        <v>65</v>
      </c>
      <c r="I249" s="9" t="s">
        <v>151</v>
      </c>
      <c r="J249" s="11">
        <v>158</v>
      </c>
      <c r="K249" s="11" t="s">
        <v>220</v>
      </c>
      <c r="L249" s="11" t="s">
        <v>40</v>
      </c>
      <c r="M249" s="13">
        <v>2</v>
      </c>
      <c r="N249" s="16">
        <v>12000.0</v>
      </c>
      <c r="O249" s="16"/>
      <c r="P249" s="18">
        <f>IF(N249&gt;0, O249/N249, 0)</f>
        <v>0</v>
      </c>
      <c r="Q249" s="16">
        <f>N249-O249</f>
        <v>12000</v>
      </c>
      <c r="R249" s="16">
        <f>M249*N249</f>
        <v>24000</v>
      </c>
      <c r="S249" s="16">
        <f>M249*O249</f>
        <v>0</v>
      </c>
      <c r="T249" s="16">
        <f>M249*Q249</f>
        <v>24000</v>
      </c>
      <c r="U249" s="16"/>
      <c r="V249" s="16">
        <f>M249*U249</f>
        <v>0</v>
      </c>
      <c r="W249" s="16">
        <f>T249-V249</f>
        <v>24000</v>
      </c>
      <c r="X249" s="18">
        <f>IF(T249&gt;0, W249/T249, 0)</f>
        <v>1</v>
      </c>
      <c r="Y249" s="9" t="s">
        <v>41</v>
      </c>
      <c r="Z249" s="11" t="s">
        <v>42</v>
      </c>
      <c r="AA249" s="11" t="s">
        <v>73</v>
      </c>
      <c r="AB249" s="11" t="s">
        <v>44</v>
      </c>
      <c r="AC249" s="9" t="s">
        <v>44</v>
      </c>
    </row>
    <row r="250" spans="1:29">
      <c r="A250" s="10">
        <v>243</v>
      </c>
      <c r="B250" s="10" t="s">
        <v>462</v>
      </c>
      <c r="C250" s="10" t="s">
        <v>460</v>
      </c>
      <c r="D250" s="10" t="s">
        <v>201</v>
      </c>
      <c r="E250" s="10" t="s">
        <v>34</v>
      </c>
      <c r="F250" s="10" t="s">
        <v>144</v>
      </c>
      <c r="G250" s="8" t="s">
        <v>52</v>
      </c>
      <c r="H250" s="8" t="s">
        <v>65</v>
      </c>
      <c r="I250" s="8" t="s">
        <v>151</v>
      </c>
      <c r="J250" s="10">
        <v>134</v>
      </c>
      <c r="K250" s="10" t="s">
        <v>249</v>
      </c>
      <c r="L250" s="10" t="s">
        <v>40</v>
      </c>
      <c r="M250" s="12">
        <v>1</v>
      </c>
      <c r="N250" s="15">
        <v>10000.0</v>
      </c>
      <c r="O250" s="15"/>
      <c r="P250" s="17">
        <f>IF(N250&gt;0, O250/N250, 0)</f>
        <v>0</v>
      </c>
      <c r="Q250" s="15">
        <f>N250-O250</f>
        <v>10000</v>
      </c>
      <c r="R250" s="15">
        <f>M250*N250</f>
        <v>10000</v>
      </c>
      <c r="S250" s="15">
        <f>M250*O250</f>
        <v>0</v>
      </c>
      <c r="T250" s="15">
        <f>M250*Q250</f>
        <v>10000</v>
      </c>
      <c r="U250" s="15"/>
      <c r="V250" s="15">
        <f>M250*U250</f>
        <v>0</v>
      </c>
      <c r="W250" s="15">
        <f>T250-V250</f>
        <v>10000</v>
      </c>
      <c r="X250" s="17">
        <f>IF(T250&gt;0, W250/T250, 0)</f>
        <v>1</v>
      </c>
      <c r="Y250" s="8" t="s">
        <v>41</v>
      </c>
      <c r="Z250" s="10" t="s">
        <v>42</v>
      </c>
      <c r="AA250" s="10" t="s">
        <v>43</v>
      </c>
      <c r="AB250" s="10" t="s">
        <v>44</v>
      </c>
      <c r="AC250" s="8" t="s">
        <v>146</v>
      </c>
    </row>
    <row r="251" spans="1:29">
      <c r="A251" s="11">
        <v>244</v>
      </c>
      <c r="B251" s="11" t="s">
        <v>463</v>
      </c>
      <c r="C251" s="11" t="s">
        <v>460</v>
      </c>
      <c r="D251" s="11" t="s">
        <v>201</v>
      </c>
      <c r="E251" s="11" t="s">
        <v>70</v>
      </c>
      <c r="F251" s="11" t="s">
        <v>35</v>
      </c>
      <c r="G251" s="9" t="s">
        <v>52</v>
      </c>
      <c r="H251" s="9" t="s">
        <v>37</v>
      </c>
      <c r="I251" s="9" t="s">
        <v>75</v>
      </c>
      <c r="J251" s="11">
        <v>134</v>
      </c>
      <c r="K251" s="11" t="s">
        <v>149</v>
      </c>
      <c r="L251" s="11" t="s">
        <v>55</v>
      </c>
      <c r="M251" s="13">
        <v>1</v>
      </c>
      <c r="N251" s="16">
        <v>9000.0</v>
      </c>
      <c r="O251" s="16"/>
      <c r="P251" s="18">
        <f>IF(N251&gt;0, O251/N251, 0)</f>
        <v>0</v>
      </c>
      <c r="Q251" s="16">
        <f>N251-O251</f>
        <v>9000</v>
      </c>
      <c r="R251" s="16">
        <f>M251*N251</f>
        <v>9000</v>
      </c>
      <c r="S251" s="16">
        <f>M251*O251</f>
        <v>0</v>
      </c>
      <c r="T251" s="16">
        <f>M251*Q251</f>
        <v>9000</v>
      </c>
      <c r="U251" s="16"/>
      <c r="V251" s="16">
        <f>M251*U251</f>
        <v>0</v>
      </c>
      <c r="W251" s="16">
        <f>T251-V251</f>
        <v>9000</v>
      </c>
      <c r="X251" s="18">
        <f>IF(T251&gt;0, W251/T251, 0)</f>
        <v>1</v>
      </c>
      <c r="Y251" s="9" t="s">
        <v>41</v>
      </c>
      <c r="Z251" s="11" t="s">
        <v>42</v>
      </c>
      <c r="AA251" s="11" t="s">
        <v>73</v>
      </c>
      <c r="AB251" s="11" t="s">
        <v>44</v>
      </c>
      <c r="AC251" s="9" t="s">
        <v>44</v>
      </c>
    </row>
    <row r="252" spans="1:29">
      <c r="A252" s="10">
        <v>245</v>
      </c>
      <c r="B252" s="10" t="s">
        <v>464</v>
      </c>
      <c r="C252" s="10" t="s">
        <v>460</v>
      </c>
      <c r="D252" s="10" t="s">
        <v>201</v>
      </c>
      <c r="E252" s="10" t="s">
        <v>34</v>
      </c>
      <c r="F252" s="10" t="s">
        <v>35</v>
      </c>
      <c r="G252" s="8" t="s">
        <v>52</v>
      </c>
      <c r="H252" s="8" t="s">
        <v>71</v>
      </c>
      <c r="I252" s="8" t="s">
        <v>71</v>
      </c>
      <c r="J252" s="10">
        <v>134</v>
      </c>
      <c r="K252" s="10" t="s">
        <v>212</v>
      </c>
      <c r="L252" s="10" t="s">
        <v>40</v>
      </c>
      <c r="M252" s="12">
        <v>1</v>
      </c>
      <c r="N252" s="15">
        <v>16000.0</v>
      </c>
      <c r="O252" s="15"/>
      <c r="P252" s="17">
        <f>IF(N252&gt;0, O252/N252, 0)</f>
        <v>0</v>
      </c>
      <c r="Q252" s="15">
        <f>N252-O252</f>
        <v>16000</v>
      </c>
      <c r="R252" s="15">
        <f>M252*N252</f>
        <v>16000</v>
      </c>
      <c r="S252" s="15">
        <f>M252*O252</f>
        <v>0</v>
      </c>
      <c r="T252" s="15">
        <f>M252*Q252</f>
        <v>16000</v>
      </c>
      <c r="U252" s="15"/>
      <c r="V252" s="15">
        <f>M252*U252</f>
        <v>0</v>
      </c>
      <c r="W252" s="15">
        <f>T252-V252</f>
        <v>16000</v>
      </c>
      <c r="X252" s="17">
        <f>IF(T252&gt;0, W252/T252, 0)</f>
        <v>1</v>
      </c>
      <c r="Y252" s="8" t="s">
        <v>41</v>
      </c>
      <c r="Z252" s="10" t="s">
        <v>42</v>
      </c>
      <c r="AA252" s="10" t="s">
        <v>43</v>
      </c>
      <c r="AB252" s="10" t="s">
        <v>44</v>
      </c>
      <c r="AC252" s="8" t="s">
        <v>44</v>
      </c>
    </row>
    <row r="253" spans="1:29">
      <c r="A253" s="11">
        <v>246</v>
      </c>
      <c r="B253" s="11" t="s">
        <v>465</v>
      </c>
      <c r="C253" s="11" t="s">
        <v>460</v>
      </c>
      <c r="D253" s="11" t="s">
        <v>201</v>
      </c>
      <c r="E253" s="11" t="s">
        <v>34</v>
      </c>
      <c r="F253" s="11" t="s">
        <v>35</v>
      </c>
      <c r="G253" s="9" t="s">
        <v>52</v>
      </c>
      <c r="H253" s="9" t="s">
        <v>37</v>
      </c>
      <c r="I253" s="9" t="s">
        <v>38</v>
      </c>
      <c r="J253" s="11">
        <v>134</v>
      </c>
      <c r="K253" s="11" t="s">
        <v>180</v>
      </c>
      <c r="L253" s="11" t="s">
        <v>55</v>
      </c>
      <c r="M253" s="13">
        <v>1</v>
      </c>
      <c r="N253" s="16">
        <v>7000.0</v>
      </c>
      <c r="O253" s="16"/>
      <c r="P253" s="18">
        <f>IF(N253&gt;0, O253/N253, 0)</f>
        <v>0</v>
      </c>
      <c r="Q253" s="16">
        <f>N253-O253</f>
        <v>7000</v>
      </c>
      <c r="R253" s="16">
        <f>M253*N253</f>
        <v>7000</v>
      </c>
      <c r="S253" s="16">
        <f>M253*O253</f>
        <v>0</v>
      </c>
      <c r="T253" s="16">
        <f>M253*Q253</f>
        <v>7000</v>
      </c>
      <c r="U253" s="16"/>
      <c r="V253" s="16">
        <f>M253*U253</f>
        <v>0</v>
      </c>
      <c r="W253" s="16">
        <f>T253-V253</f>
        <v>7000</v>
      </c>
      <c r="X253" s="18">
        <f>IF(T253&gt;0, W253/T253, 0)</f>
        <v>1</v>
      </c>
      <c r="Y253" s="9" t="s">
        <v>41</v>
      </c>
      <c r="Z253" s="11" t="s">
        <v>42</v>
      </c>
      <c r="AA253" s="11" t="s">
        <v>43</v>
      </c>
      <c r="AB253" s="11" t="s">
        <v>44</v>
      </c>
      <c r="AC253" s="9" t="s">
        <v>44</v>
      </c>
    </row>
    <row r="254" spans="1:29">
      <c r="A254" s="10">
        <v>247</v>
      </c>
      <c r="B254" s="10" t="s">
        <v>466</v>
      </c>
      <c r="C254" s="10" t="s">
        <v>460</v>
      </c>
      <c r="D254" s="10" t="s">
        <v>201</v>
      </c>
      <c r="E254" s="10" t="s">
        <v>70</v>
      </c>
      <c r="F254" s="10" t="s">
        <v>35</v>
      </c>
      <c r="G254" s="8" t="s">
        <v>52</v>
      </c>
      <c r="H254" s="8" t="s">
        <v>53</v>
      </c>
      <c r="I254" s="8" t="s">
        <v>53</v>
      </c>
      <c r="J254" s="10">
        <v>116</v>
      </c>
      <c r="K254" s="10" t="s">
        <v>467</v>
      </c>
      <c r="L254" s="10" t="s">
        <v>55</v>
      </c>
      <c r="M254" s="12">
        <v>1</v>
      </c>
      <c r="N254" s="15">
        <v>9000.0</v>
      </c>
      <c r="O254" s="15"/>
      <c r="P254" s="17">
        <f>IF(N254&gt;0, O254/N254, 0)</f>
        <v>0</v>
      </c>
      <c r="Q254" s="15">
        <f>N254-O254</f>
        <v>9000</v>
      </c>
      <c r="R254" s="15">
        <f>M254*N254</f>
        <v>9000</v>
      </c>
      <c r="S254" s="15">
        <f>M254*O254</f>
        <v>0</v>
      </c>
      <c r="T254" s="15">
        <f>M254*Q254</f>
        <v>9000</v>
      </c>
      <c r="U254" s="15"/>
      <c r="V254" s="15">
        <f>M254*U254</f>
        <v>0</v>
      </c>
      <c r="W254" s="15">
        <f>T254-V254</f>
        <v>9000</v>
      </c>
      <c r="X254" s="17">
        <f>IF(T254&gt;0, W254/T254, 0)</f>
        <v>1</v>
      </c>
      <c r="Y254" s="8" t="s">
        <v>41</v>
      </c>
      <c r="Z254" s="10" t="s">
        <v>42</v>
      </c>
      <c r="AA254" s="10" t="s">
        <v>73</v>
      </c>
      <c r="AB254" s="10" t="s">
        <v>44</v>
      </c>
      <c r="AC254" s="8" t="s">
        <v>44</v>
      </c>
    </row>
    <row r="255" spans="1:29">
      <c r="A255" s="11">
        <v>248</v>
      </c>
      <c r="B255" s="11" t="s">
        <v>468</v>
      </c>
      <c r="C255" s="11" t="s">
        <v>460</v>
      </c>
      <c r="D255" s="11" t="s">
        <v>201</v>
      </c>
      <c r="E255" s="11" t="s">
        <v>34</v>
      </c>
      <c r="F255" s="11" t="s">
        <v>35</v>
      </c>
      <c r="G255" s="9" t="s">
        <v>52</v>
      </c>
      <c r="H255" s="9" t="s">
        <v>71</v>
      </c>
      <c r="I255" s="9" t="s">
        <v>71</v>
      </c>
      <c r="J255" s="11">
        <v>116</v>
      </c>
      <c r="K255" s="11" t="s">
        <v>89</v>
      </c>
      <c r="L255" s="11" t="s">
        <v>40</v>
      </c>
      <c r="M255" s="13">
        <v>1</v>
      </c>
      <c r="N255" s="16">
        <v>16000.0</v>
      </c>
      <c r="O255" s="16"/>
      <c r="P255" s="18">
        <f>IF(N255&gt;0, O255/N255, 0)</f>
        <v>0</v>
      </c>
      <c r="Q255" s="16">
        <f>N255-O255</f>
        <v>16000</v>
      </c>
      <c r="R255" s="16">
        <f>M255*N255</f>
        <v>16000</v>
      </c>
      <c r="S255" s="16">
        <f>M255*O255</f>
        <v>0</v>
      </c>
      <c r="T255" s="16">
        <f>M255*Q255</f>
        <v>16000</v>
      </c>
      <c r="U255" s="16"/>
      <c r="V255" s="16">
        <f>M255*U255</f>
        <v>0</v>
      </c>
      <c r="W255" s="16">
        <f>T255-V255</f>
        <v>16000</v>
      </c>
      <c r="X255" s="18">
        <f>IF(T255&gt;0, W255/T255, 0)</f>
        <v>1</v>
      </c>
      <c r="Y255" s="9" t="s">
        <v>41</v>
      </c>
      <c r="Z255" s="11" t="s">
        <v>42</v>
      </c>
      <c r="AA255" s="11" t="s">
        <v>43</v>
      </c>
      <c r="AB255" s="11" t="s">
        <v>44</v>
      </c>
      <c r="AC255" s="9" t="s">
        <v>44</v>
      </c>
    </row>
    <row r="256" spans="1:29">
      <c r="A256" s="10">
        <v>249</v>
      </c>
      <c r="B256" s="10" t="s">
        <v>469</v>
      </c>
      <c r="C256" s="10" t="s">
        <v>460</v>
      </c>
      <c r="D256" s="10" t="s">
        <v>201</v>
      </c>
      <c r="E256" s="10" t="s">
        <v>34</v>
      </c>
      <c r="F256" s="10" t="s">
        <v>35</v>
      </c>
      <c r="G256" s="8" t="s">
        <v>52</v>
      </c>
      <c r="H256" s="8" t="s">
        <v>65</v>
      </c>
      <c r="I256" s="8" t="s">
        <v>151</v>
      </c>
      <c r="J256" s="10">
        <v>122</v>
      </c>
      <c r="K256" s="10" t="s">
        <v>244</v>
      </c>
      <c r="L256" s="10" t="s">
        <v>40</v>
      </c>
      <c r="M256" s="12">
        <v>1</v>
      </c>
      <c r="N256" s="15">
        <v>9000.0</v>
      </c>
      <c r="O256" s="15"/>
      <c r="P256" s="17">
        <f>IF(N256&gt;0, O256/N256, 0)</f>
        <v>0</v>
      </c>
      <c r="Q256" s="15">
        <f>N256-O256</f>
        <v>9000</v>
      </c>
      <c r="R256" s="15">
        <f>M256*N256</f>
        <v>9000</v>
      </c>
      <c r="S256" s="15">
        <f>M256*O256</f>
        <v>0</v>
      </c>
      <c r="T256" s="15">
        <f>M256*Q256</f>
        <v>9000</v>
      </c>
      <c r="U256" s="15"/>
      <c r="V256" s="15">
        <f>M256*U256</f>
        <v>0</v>
      </c>
      <c r="W256" s="15">
        <f>T256-V256</f>
        <v>9000</v>
      </c>
      <c r="X256" s="17">
        <f>IF(T256&gt;0, W256/T256, 0)</f>
        <v>1</v>
      </c>
      <c r="Y256" s="8" t="s">
        <v>41</v>
      </c>
      <c r="Z256" s="10" t="s">
        <v>42</v>
      </c>
      <c r="AA256" s="10" t="s">
        <v>43</v>
      </c>
      <c r="AB256" s="10" t="s">
        <v>44</v>
      </c>
      <c r="AC256" s="8" t="s">
        <v>44</v>
      </c>
    </row>
    <row r="257" spans="1:29">
      <c r="A257" s="11">
        <v>250</v>
      </c>
      <c r="B257" s="11" t="s">
        <v>470</v>
      </c>
      <c r="C257" s="11" t="s">
        <v>460</v>
      </c>
      <c r="D257" s="11" t="s">
        <v>201</v>
      </c>
      <c r="E257" s="11" t="s">
        <v>34</v>
      </c>
      <c r="F257" s="11" t="s">
        <v>35</v>
      </c>
      <c r="G257" s="9" t="s">
        <v>161</v>
      </c>
      <c r="H257" s="9" t="s">
        <v>162</v>
      </c>
      <c r="I257" s="9" t="s">
        <v>162</v>
      </c>
      <c r="J257" s="11" t="s">
        <v>44</v>
      </c>
      <c r="K257" s="11" t="s">
        <v>471</v>
      </c>
      <c r="L257" s="11" t="s">
        <v>40</v>
      </c>
      <c r="M257" s="13">
        <v>1</v>
      </c>
      <c r="N257" s="16">
        <v>5000.0</v>
      </c>
      <c r="O257" s="16"/>
      <c r="P257" s="18">
        <f>IF(N257&gt;0, O257/N257, 0)</f>
        <v>0</v>
      </c>
      <c r="Q257" s="16">
        <f>N257-O257</f>
        <v>5000</v>
      </c>
      <c r="R257" s="16">
        <f>M257*N257</f>
        <v>5000</v>
      </c>
      <c r="S257" s="16">
        <f>M257*O257</f>
        <v>0</v>
      </c>
      <c r="T257" s="16">
        <f>M257*Q257</f>
        <v>5000</v>
      </c>
      <c r="U257" s="16"/>
      <c r="V257" s="16">
        <f>M257*U257</f>
        <v>0</v>
      </c>
      <c r="W257" s="16">
        <f>T257-V257</f>
        <v>5000</v>
      </c>
      <c r="X257" s="18">
        <f>IF(T257&gt;0, W257/T257, 0)</f>
        <v>1</v>
      </c>
      <c r="Y257" s="9" t="s">
        <v>41</v>
      </c>
      <c r="Z257" s="11" t="s">
        <v>42</v>
      </c>
      <c r="AA257" s="11" t="s">
        <v>43</v>
      </c>
      <c r="AB257" s="11" t="s">
        <v>44</v>
      </c>
      <c r="AC257" s="9" t="s">
        <v>44</v>
      </c>
    </row>
    <row r="258" spans="1:29">
      <c r="A258" s="10">
        <v>251</v>
      </c>
      <c r="B258" s="10" t="s">
        <v>472</v>
      </c>
      <c r="C258" s="10" t="s">
        <v>460</v>
      </c>
      <c r="D258" s="10" t="s">
        <v>201</v>
      </c>
      <c r="E258" s="10" t="s">
        <v>34</v>
      </c>
      <c r="F258" s="10" t="s">
        <v>35</v>
      </c>
      <c r="G258" s="8" t="s">
        <v>52</v>
      </c>
      <c r="H258" s="8" t="s">
        <v>37</v>
      </c>
      <c r="I258" s="8" t="s">
        <v>75</v>
      </c>
      <c r="J258" s="10">
        <v>122</v>
      </c>
      <c r="K258" s="10" t="s">
        <v>104</v>
      </c>
      <c r="L258" s="10" t="s">
        <v>55</v>
      </c>
      <c r="M258" s="12">
        <v>1</v>
      </c>
      <c r="N258" s="15">
        <v>8000.0</v>
      </c>
      <c r="O258" s="15"/>
      <c r="P258" s="17">
        <f>IF(N258&gt;0, O258/N258, 0)</f>
        <v>0</v>
      </c>
      <c r="Q258" s="15">
        <f>N258-O258</f>
        <v>8000</v>
      </c>
      <c r="R258" s="15">
        <f>M258*N258</f>
        <v>8000</v>
      </c>
      <c r="S258" s="15">
        <f>M258*O258</f>
        <v>0</v>
      </c>
      <c r="T258" s="15">
        <f>M258*Q258</f>
        <v>8000</v>
      </c>
      <c r="U258" s="15"/>
      <c r="V258" s="15">
        <f>M258*U258</f>
        <v>0</v>
      </c>
      <c r="W258" s="15">
        <f>T258-V258</f>
        <v>8000</v>
      </c>
      <c r="X258" s="17">
        <f>IF(T258&gt;0, W258/T258, 0)</f>
        <v>1</v>
      </c>
      <c r="Y258" s="8" t="s">
        <v>41</v>
      </c>
      <c r="Z258" s="10" t="s">
        <v>42</v>
      </c>
      <c r="AA258" s="10" t="s">
        <v>43</v>
      </c>
      <c r="AB258" s="10" t="s">
        <v>44</v>
      </c>
      <c r="AC258" s="8" t="s">
        <v>44</v>
      </c>
    </row>
    <row r="259" spans="1:29">
      <c r="A259" s="11">
        <v>252</v>
      </c>
      <c r="B259" s="11" t="s">
        <v>473</v>
      </c>
      <c r="C259" s="11" t="s">
        <v>460</v>
      </c>
      <c r="D259" s="11" t="s">
        <v>201</v>
      </c>
      <c r="E259" s="11" t="s">
        <v>34</v>
      </c>
      <c r="F259" s="11" t="s">
        <v>35</v>
      </c>
      <c r="G259" s="9" t="s">
        <v>52</v>
      </c>
      <c r="H259" s="9" t="s">
        <v>37</v>
      </c>
      <c r="I259" s="9" t="s">
        <v>38</v>
      </c>
      <c r="J259" s="11">
        <v>122</v>
      </c>
      <c r="K259" s="11" t="s">
        <v>107</v>
      </c>
      <c r="L259" s="11" t="s">
        <v>55</v>
      </c>
      <c r="M259" s="13">
        <v>1</v>
      </c>
      <c r="N259" s="16">
        <v>7000.0</v>
      </c>
      <c r="O259" s="16"/>
      <c r="P259" s="18">
        <f>IF(N259&gt;0, O259/N259, 0)</f>
        <v>0</v>
      </c>
      <c r="Q259" s="16">
        <f>N259-O259</f>
        <v>7000</v>
      </c>
      <c r="R259" s="16">
        <f>M259*N259</f>
        <v>7000</v>
      </c>
      <c r="S259" s="16">
        <f>M259*O259</f>
        <v>0</v>
      </c>
      <c r="T259" s="16">
        <f>M259*Q259</f>
        <v>7000</v>
      </c>
      <c r="U259" s="16"/>
      <c r="V259" s="16">
        <f>M259*U259</f>
        <v>0</v>
      </c>
      <c r="W259" s="16">
        <f>T259-V259</f>
        <v>7000</v>
      </c>
      <c r="X259" s="18">
        <f>IF(T259&gt;0, W259/T259, 0)</f>
        <v>1</v>
      </c>
      <c r="Y259" s="9" t="s">
        <v>41</v>
      </c>
      <c r="Z259" s="11" t="s">
        <v>42</v>
      </c>
      <c r="AA259" s="11" t="s">
        <v>43</v>
      </c>
      <c r="AB259" s="11" t="s">
        <v>44</v>
      </c>
      <c r="AC259" s="9" t="s">
        <v>44</v>
      </c>
    </row>
    <row r="260" spans="1:29">
      <c r="A260" s="10">
        <v>253</v>
      </c>
      <c r="B260" s="10" t="s">
        <v>474</v>
      </c>
      <c r="C260" s="10" t="s">
        <v>475</v>
      </c>
      <c r="D260" s="10" t="s">
        <v>201</v>
      </c>
      <c r="E260" s="10" t="s">
        <v>34</v>
      </c>
      <c r="F260" s="10" t="s">
        <v>35</v>
      </c>
      <c r="G260" s="8" t="s">
        <v>161</v>
      </c>
      <c r="H260" s="8" t="s">
        <v>162</v>
      </c>
      <c r="I260" s="8" t="s">
        <v>162</v>
      </c>
      <c r="J260" s="10" t="s">
        <v>44</v>
      </c>
      <c r="K260" s="10" t="s">
        <v>476</v>
      </c>
      <c r="L260" s="10" t="s">
        <v>40</v>
      </c>
      <c r="M260" s="12">
        <v>2</v>
      </c>
      <c r="N260" s="15">
        <v>5000.0</v>
      </c>
      <c r="O260" s="15"/>
      <c r="P260" s="17">
        <f>IF(N260&gt;0, O260/N260, 0)</f>
        <v>0</v>
      </c>
      <c r="Q260" s="15">
        <f>N260-O260</f>
        <v>5000</v>
      </c>
      <c r="R260" s="15">
        <f>M260*N260</f>
        <v>10000</v>
      </c>
      <c r="S260" s="15">
        <f>M260*O260</f>
        <v>0</v>
      </c>
      <c r="T260" s="15">
        <f>M260*Q260</f>
        <v>10000</v>
      </c>
      <c r="U260" s="15"/>
      <c r="V260" s="15">
        <f>M260*U260</f>
        <v>0</v>
      </c>
      <c r="W260" s="15">
        <f>T260-V260</f>
        <v>10000</v>
      </c>
      <c r="X260" s="17">
        <f>IF(T260&gt;0, W260/T260, 0)</f>
        <v>1</v>
      </c>
      <c r="Y260" s="8" t="s">
        <v>41</v>
      </c>
      <c r="Z260" s="10" t="s">
        <v>42</v>
      </c>
      <c r="AA260" s="10" t="s">
        <v>43</v>
      </c>
      <c r="AB260" s="10" t="s">
        <v>44</v>
      </c>
      <c r="AC260" s="8" t="s">
        <v>44</v>
      </c>
    </row>
    <row r="261" spans="1:29">
      <c r="A261" s="11">
        <v>254</v>
      </c>
      <c r="B261" s="11" t="s">
        <v>477</v>
      </c>
      <c r="C261" s="11" t="s">
        <v>475</v>
      </c>
      <c r="D261" s="11" t="s">
        <v>201</v>
      </c>
      <c r="E261" s="11" t="s">
        <v>34</v>
      </c>
      <c r="F261" s="11" t="s">
        <v>35</v>
      </c>
      <c r="G261" s="9" t="s">
        <v>52</v>
      </c>
      <c r="H261" s="9" t="s">
        <v>47</v>
      </c>
      <c r="I261" s="9" t="s">
        <v>48</v>
      </c>
      <c r="J261" s="11">
        <v>146</v>
      </c>
      <c r="K261" s="11" t="s">
        <v>142</v>
      </c>
      <c r="L261" s="11" t="s">
        <v>40</v>
      </c>
      <c r="M261" s="13">
        <v>1</v>
      </c>
      <c r="N261" s="16">
        <v>18000.0</v>
      </c>
      <c r="O261" s="16"/>
      <c r="P261" s="18">
        <f>IF(N261&gt;0, O261/N261, 0)</f>
        <v>0</v>
      </c>
      <c r="Q261" s="16">
        <f>N261-O261</f>
        <v>18000</v>
      </c>
      <c r="R261" s="16">
        <f>M261*N261</f>
        <v>18000</v>
      </c>
      <c r="S261" s="16">
        <f>M261*O261</f>
        <v>0</v>
      </c>
      <c r="T261" s="16">
        <f>M261*Q261</f>
        <v>18000</v>
      </c>
      <c r="U261" s="16"/>
      <c r="V261" s="16">
        <f>M261*U261</f>
        <v>0</v>
      </c>
      <c r="W261" s="16">
        <f>T261-V261</f>
        <v>18000</v>
      </c>
      <c r="X261" s="18">
        <f>IF(T261&gt;0, W261/T261, 0)</f>
        <v>1</v>
      </c>
      <c r="Y261" s="9" t="s">
        <v>41</v>
      </c>
      <c r="Z261" s="11" t="s">
        <v>42</v>
      </c>
      <c r="AA261" s="11" t="s">
        <v>43</v>
      </c>
      <c r="AB261" s="11" t="s">
        <v>44</v>
      </c>
      <c r="AC261" s="9" t="s">
        <v>44</v>
      </c>
    </row>
    <row r="262" spans="1:29">
      <c r="A262" s="10">
        <v>255</v>
      </c>
      <c r="B262" s="10" t="s">
        <v>478</v>
      </c>
      <c r="C262" s="10" t="s">
        <v>475</v>
      </c>
      <c r="D262" s="10" t="s">
        <v>201</v>
      </c>
      <c r="E262" s="10" t="s">
        <v>34</v>
      </c>
      <c r="F262" s="10" t="s">
        <v>35</v>
      </c>
      <c r="G262" s="8" t="s">
        <v>52</v>
      </c>
      <c r="H262" s="8" t="s">
        <v>47</v>
      </c>
      <c r="I262" s="8" t="s">
        <v>48</v>
      </c>
      <c r="J262" s="10">
        <v>122</v>
      </c>
      <c r="K262" s="10" t="s">
        <v>479</v>
      </c>
      <c r="L262" s="10" t="s">
        <v>40</v>
      </c>
      <c r="M262" s="12">
        <v>1</v>
      </c>
      <c r="N262" s="15">
        <v>18000.0</v>
      </c>
      <c r="O262" s="15"/>
      <c r="P262" s="17">
        <f>IF(N262&gt;0, O262/N262, 0)</f>
        <v>0</v>
      </c>
      <c r="Q262" s="15">
        <f>N262-O262</f>
        <v>18000</v>
      </c>
      <c r="R262" s="15">
        <f>M262*N262</f>
        <v>18000</v>
      </c>
      <c r="S262" s="15">
        <f>M262*O262</f>
        <v>0</v>
      </c>
      <c r="T262" s="15">
        <f>M262*Q262</f>
        <v>18000</v>
      </c>
      <c r="U262" s="15"/>
      <c r="V262" s="15">
        <f>M262*U262</f>
        <v>0</v>
      </c>
      <c r="W262" s="15">
        <f>T262-V262</f>
        <v>18000</v>
      </c>
      <c r="X262" s="17">
        <f>IF(T262&gt;0, W262/T262, 0)</f>
        <v>1</v>
      </c>
      <c r="Y262" s="8" t="s">
        <v>41</v>
      </c>
      <c r="Z262" s="10" t="s">
        <v>42</v>
      </c>
      <c r="AA262" s="10" t="s">
        <v>43</v>
      </c>
      <c r="AB262" s="10" t="s">
        <v>44</v>
      </c>
      <c r="AC262" s="8" t="s">
        <v>44</v>
      </c>
    </row>
    <row r="263" spans="1:29">
      <c r="A263" s="11">
        <v>256</v>
      </c>
      <c r="B263" s="11" t="s">
        <v>480</v>
      </c>
      <c r="C263" s="11" t="s">
        <v>475</v>
      </c>
      <c r="D263" s="11" t="s">
        <v>201</v>
      </c>
      <c r="E263" s="11" t="s">
        <v>34</v>
      </c>
      <c r="F263" s="11" t="s">
        <v>35</v>
      </c>
      <c r="G263" s="9" t="s">
        <v>52</v>
      </c>
      <c r="H263" s="9" t="s">
        <v>37</v>
      </c>
      <c r="I263" s="9" t="s">
        <v>75</v>
      </c>
      <c r="J263" s="11">
        <v>146</v>
      </c>
      <c r="K263" s="11" t="s">
        <v>343</v>
      </c>
      <c r="L263" s="11" t="s">
        <v>55</v>
      </c>
      <c r="M263" s="13">
        <v>1</v>
      </c>
      <c r="N263" s="16">
        <v>8000.0</v>
      </c>
      <c r="O263" s="16"/>
      <c r="P263" s="18">
        <f>IF(N263&gt;0, O263/N263, 0)</f>
        <v>0</v>
      </c>
      <c r="Q263" s="16">
        <f>N263-O263</f>
        <v>8000</v>
      </c>
      <c r="R263" s="16">
        <f>M263*N263</f>
        <v>8000</v>
      </c>
      <c r="S263" s="16">
        <f>M263*O263</f>
        <v>0</v>
      </c>
      <c r="T263" s="16">
        <f>M263*Q263</f>
        <v>8000</v>
      </c>
      <c r="U263" s="16"/>
      <c r="V263" s="16">
        <f>M263*U263</f>
        <v>0</v>
      </c>
      <c r="W263" s="16">
        <f>T263-V263</f>
        <v>8000</v>
      </c>
      <c r="X263" s="18">
        <f>IF(T263&gt;0, W263/T263, 0)</f>
        <v>1</v>
      </c>
      <c r="Y263" s="9" t="s">
        <v>41</v>
      </c>
      <c r="Z263" s="11" t="s">
        <v>42</v>
      </c>
      <c r="AA263" s="11" t="s">
        <v>43</v>
      </c>
      <c r="AB263" s="11" t="s">
        <v>44</v>
      </c>
      <c r="AC263" s="9" t="s">
        <v>44</v>
      </c>
    </row>
    <row r="264" spans="1:29">
      <c r="A264" s="10">
        <v>257</v>
      </c>
      <c r="B264" s="10" t="s">
        <v>481</v>
      </c>
      <c r="C264" s="10" t="s">
        <v>475</v>
      </c>
      <c r="D264" s="10" t="s">
        <v>201</v>
      </c>
      <c r="E264" s="10" t="s">
        <v>34</v>
      </c>
      <c r="F264" s="10" t="s">
        <v>35</v>
      </c>
      <c r="G264" s="8" t="s">
        <v>52</v>
      </c>
      <c r="H264" s="8" t="s">
        <v>37</v>
      </c>
      <c r="I264" s="8" t="s">
        <v>75</v>
      </c>
      <c r="J264" s="10">
        <v>122</v>
      </c>
      <c r="K264" s="10" t="s">
        <v>104</v>
      </c>
      <c r="L264" s="10" t="s">
        <v>55</v>
      </c>
      <c r="M264" s="12">
        <v>1</v>
      </c>
      <c r="N264" s="15">
        <v>8000.0</v>
      </c>
      <c r="O264" s="15"/>
      <c r="P264" s="17">
        <f>IF(N264&gt;0, O264/N264, 0)</f>
        <v>0</v>
      </c>
      <c r="Q264" s="15">
        <f>N264-O264</f>
        <v>8000</v>
      </c>
      <c r="R264" s="15">
        <f>M264*N264</f>
        <v>8000</v>
      </c>
      <c r="S264" s="15">
        <f>M264*O264</f>
        <v>0</v>
      </c>
      <c r="T264" s="15">
        <f>M264*Q264</f>
        <v>8000</v>
      </c>
      <c r="U264" s="15"/>
      <c r="V264" s="15">
        <f>M264*U264</f>
        <v>0</v>
      </c>
      <c r="W264" s="15">
        <f>T264-V264</f>
        <v>8000</v>
      </c>
      <c r="X264" s="17">
        <f>IF(T264&gt;0, W264/T264, 0)</f>
        <v>1</v>
      </c>
      <c r="Y264" s="8" t="s">
        <v>41</v>
      </c>
      <c r="Z264" s="10" t="s">
        <v>42</v>
      </c>
      <c r="AA264" s="10" t="s">
        <v>43</v>
      </c>
      <c r="AB264" s="10" t="s">
        <v>44</v>
      </c>
      <c r="AC264" s="8" t="s">
        <v>44</v>
      </c>
    </row>
    <row r="265" spans="1:29">
      <c r="A265" s="11">
        <v>258</v>
      </c>
      <c r="B265" s="11" t="s">
        <v>482</v>
      </c>
      <c r="C265" s="11" t="s">
        <v>475</v>
      </c>
      <c r="D265" s="11" t="s">
        <v>201</v>
      </c>
      <c r="E265" s="11" t="s">
        <v>34</v>
      </c>
      <c r="F265" s="11" t="s">
        <v>35</v>
      </c>
      <c r="G265" s="9" t="s">
        <v>36</v>
      </c>
      <c r="H265" s="9" t="s">
        <v>47</v>
      </c>
      <c r="I265" s="9" t="s">
        <v>48</v>
      </c>
      <c r="J265" s="11">
        <v>170</v>
      </c>
      <c r="K265" s="11" t="s">
        <v>184</v>
      </c>
      <c r="L265" s="11" t="s">
        <v>40</v>
      </c>
      <c r="M265" s="13">
        <v>1</v>
      </c>
      <c r="N265" s="16">
        <v>18000.0</v>
      </c>
      <c r="O265" s="16"/>
      <c r="P265" s="18">
        <f>IF(N265&gt;0, O265/N265, 0)</f>
        <v>0</v>
      </c>
      <c r="Q265" s="16">
        <f>N265-O265</f>
        <v>18000</v>
      </c>
      <c r="R265" s="16">
        <f>M265*N265</f>
        <v>18000</v>
      </c>
      <c r="S265" s="16">
        <f>M265*O265</f>
        <v>0</v>
      </c>
      <c r="T265" s="16">
        <f>M265*Q265</f>
        <v>18000</v>
      </c>
      <c r="U265" s="16"/>
      <c r="V265" s="16">
        <f>M265*U265</f>
        <v>0</v>
      </c>
      <c r="W265" s="16">
        <f>T265-V265</f>
        <v>18000</v>
      </c>
      <c r="X265" s="18">
        <f>IF(T265&gt;0, W265/T265, 0)</f>
        <v>1</v>
      </c>
      <c r="Y265" s="9" t="s">
        <v>41</v>
      </c>
      <c r="Z265" s="11" t="s">
        <v>42</v>
      </c>
      <c r="AA265" s="11" t="s">
        <v>43</v>
      </c>
      <c r="AB265" s="11" t="s">
        <v>44</v>
      </c>
      <c r="AC265" s="9" t="s">
        <v>44</v>
      </c>
    </row>
    <row r="266" spans="1:29">
      <c r="A266" s="10">
        <v>259</v>
      </c>
      <c r="B266" s="10" t="s">
        <v>483</v>
      </c>
      <c r="C266" s="10" t="s">
        <v>475</v>
      </c>
      <c r="D266" s="10" t="s">
        <v>201</v>
      </c>
      <c r="E266" s="10" t="s">
        <v>70</v>
      </c>
      <c r="F266" s="10" t="s">
        <v>35</v>
      </c>
      <c r="G266" s="8" t="s">
        <v>36</v>
      </c>
      <c r="H266" s="8" t="s">
        <v>71</v>
      </c>
      <c r="I266" s="8" t="s">
        <v>71</v>
      </c>
      <c r="J266" s="10">
        <v>164</v>
      </c>
      <c r="K266" s="10" t="s">
        <v>72</v>
      </c>
      <c r="L266" s="10" t="s">
        <v>40</v>
      </c>
      <c r="M266" s="12">
        <v>1</v>
      </c>
      <c r="N266" s="15">
        <v>18000.0</v>
      </c>
      <c r="O266" s="15"/>
      <c r="P266" s="17">
        <f>IF(N266&gt;0, O266/N266, 0)</f>
        <v>0</v>
      </c>
      <c r="Q266" s="15">
        <f>N266-O266</f>
        <v>18000</v>
      </c>
      <c r="R266" s="15">
        <f>M266*N266</f>
        <v>18000</v>
      </c>
      <c r="S266" s="15">
        <f>M266*O266</f>
        <v>0</v>
      </c>
      <c r="T266" s="15">
        <f>M266*Q266</f>
        <v>18000</v>
      </c>
      <c r="U266" s="15"/>
      <c r="V266" s="15">
        <f>M266*U266</f>
        <v>0</v>
      </c>
      <c r="W266" s="15">
        <f>T266-V266</f>
        <v>18000</v>
      </c>
      <c r="X266" s="17">
        <f>IF(T266&gt;0, W266/T266, 0)</f>
        <v>1</v>
      </c>
      <c r="Y266" s="8" t="s">
        <v>41</v>
      </c>
      <c r="Z266" s="10" t="s">
        <v>42</v>
      </c>
      <c r="AA266" s="10" t="s">
        <v>73</v>
      </c>
      <c r="AB266" s="10" t="s">
        <v>44</v>
      </c>
      <c r="AC266" s="8" t="s">
        <v>44</v>
      </c>
    </row>
    <row r="267" spans="1:29">
      <c r="A267" s="11">
        <v>260</v>
      </c>
      <c r="B267" s="11" t="s">
        <v>484</v>
      </c>
      <c r="C267" s="11" t="s">
        <v>475</v>
      </c>
      <c r="D267" s="11" t="s">
        <v>201</v>
      </c>
      <c r="E267" s="11" t="s">
        <v>70</v>
      </c>
      <c r="F267" s="11" t="s">
        <v>35</v>
      </c>
      <c r="G267" s="9" t="s">
        <v>36</v>
      </c>
      <c r="H267" s="9" t="s">
        <v>37</v>
      </c>
      <c r="I267" s="9" t="s">
        <v>75</v>
      </c>
      <c r="J267" s="11">
        <v>164</v>
      </c>
      <c r="K267" s="11" t="s">
        <v>76</v>
      </c>
      <c r="L267" s="11" t="s">
        <v>40</v>
      </c>
      <c r="M267" s="13">
        <v>1</v>
      </c>
      <c r="N267" s="16">
        <v>11000.0</v>
      </c>
      <c r="O267" s="16"/>
      <c r="P267" s="18">
        <f>IF(N267&gt;0, O267/N267, 0)</f>
        <v>0</v>
      </c>
      <c r="Q267" s="16">
        <f>N267-O267</f>
        <v>11000</v>
      </c>
      <c r="R267" s="16">
        <f>M267*N267</f>
        <v>11000</v>
      </c>
      <c r="S267" s="16">
        <f>M267*O267</f>
        <v>0</v>
      </c>
      <c r="T267" s="16">
        <f>M267*Q267</f>
        <v>11000</v>
      </c>
      <c r="U267" s="16"/>
      <c r="V267" s="16">
        <f>M267*U267</f>
        <v>0</v>
      </c>
      <c r="W267" s="16">
        <f>T267-V267</f>
        <v>11000</v>
      </c>
      <c r="X267" s="18">
        <f>IF(T267&gt;0, W267/T267, 0)</f>
        <v>1</v>
      </c>
      <c r="Y267" s="9" t="s">
        <v>41</v>
      </c>
      <c r="Z267" s="11" t="s">
        <v>42</v>
      </c>
      <c r="AA267" s="11" t="s">
        <v>73</v>
      </c>
      <c r="AB267" s="11" t="s">
        <v>44</v>
      </c>
      <c r="AC267" s="9" t="s">
        <v>44</v>
      </c>
    </row>
    <row r="268" spans="1:29">
      <c r="A268" s="10">
        <v>261</v>
      </c>
      <c r="B268" s="10" t="s">
        <v>485</v>
      </c>
      <c r="C268" s="10" t="s">
        <v>475</v>
      </c>
      <c r="D268" s="10" t="s">
        <v>201</v>
      </c>
      <c r="E268" s="10" t="s">
        <v>70</v>
      </c>
      <c r="F268" s="10" t="s">
        <v>35</v>
      </c>
      <c r="G268" s="8" t="s">
        <v>36</v>
      </c>
      <c r="H268" s="8" t="s">
        <v>37</v>
      </c>
      <c r="I268" s="8" t="s">
        <v>75</v>
      </c>
      <c r="J268" s="10">
        <v>158</v>
      </c>
      <c r="K268" s="10" t="s">
        <v>294</v>
      </c>
      <c r="L268" s="10" t="s">
        <v>40</v>
      </c>
      <c r="M268" s="12">
        <v>1</v>
      </c>
      <c r="N268" s="15">
        <v>11000.0</v>
      </c>
      <c r="O268" s="15"/>
      <c r="P268" s="17">
        <f>IF(N268&gt;0, O268/N268, 0)</f>
        <v>0</v>
      </c>
      <c r="Q268" s="15">
        <f>N268-O268</f>
        <v>11000</v>
      </c>
      <c r="R268" s="15">
        <f>M268*N268</f>
        <v>11000</v>
      </c>
      <c r="S268" s="15">
        <f>M268*O268</f>
        <v>0</v>
      </c>
      <c r="T268" s="15">
        <f>M268*Q268</f>
        <v>11000</v>
      </c>
      <c r="U268" s="15"/>
      <c r="V268" s="15">
        <f>M268*U268</f>
        <v>0</v>
      </c>
      <c r="W268" s="15">
        <f>T268-V268</f>
        <v>11000</v>
      </c>
      <c r="X268" s="17">
        <f>IF(T268&gt;0, W268/T268, 0)</f>
        <v>1</v>
      </c>
      <c r="Y268" s="8" t="s">
        <v>41</v>
      </c>
      <c r="Z268" s="10" t="s">
        <v>42</v>
      </c>
      <c r="AA268" s="10" t="s">
        <v>73</v>
      </c>
      <c r="AB268" s="10" t="s">
        <v>44</v>
      </c>
      <c r="AC268" s="8" t="s">
        <v>44</v>
      </c>
    </row>
    <row r="269" spans="1:29">
      <c r="A269" s="11">
        <v>262</v>
      </c>
      <c r="B269" s="11" t="s">
        <v>486</v>
      </c>
      <c r="C269" s="11" t="s">
        <v>475</v>
      </c>
      <c r="D269" s="11" t="s">
        <v>201</v>
      </c>
      <c r="E269" s="11" t="s">
        <v>34</v>
      </c>
      <c r="F269" s="11" t="s">
        <v>35</v>
      </c>
      <c r="G269" s="9" t="s">
        <v>36</v>
      </c>
      <c r="H269" s="9" t="s">
        <v>53</v>
      </c>
      <c r="I269" s="9" t="s">
        <v>53</v>
      </c>
      <c r="J269" s="11">
        <v>158</v>
      </c>
      <c r="K269" s="11" t="s">
        <v>124</v>
      </c>
      <c r="L269" s="11" t="s">
        <v>40</v>
      </c>
      <c r="M269" s="13">
        <v>1</v>
      </c>
      <c r="N269" s="16">
        <v>8500.0</v>
      </c>
      <c r="O269" s="16"/>
      <c r="P269" s="18">
        <f>IF(N269&gt;0, O269/N269, 0)</f>
        <v>0</v>
      </c>
      <c r="Q269" s="16">
        <f>N269-O269</f>
        <v>8500</v>
      </c>
      <c r="R269" s="16">
        <f>M269*N269</f>
        <v>8500</v>
      </c>
      <c r="S269" s="16">
        <f>M269*O269</f>
        <v>0</v>
      </c>
      <c r="T269" s="16">
        <f>M269*Q269</f>
        <v>8500</v>
      </c>
      <c r="U269" s="16"/>
      <c r="V269" s="16">
        <f>M269*U269</f>
        <v>0</v>
      </c>
      <c r="W269" s="16">
        <f>T269-V269</f>
        <v>8500</v>
      </c>
      <c r="X269" s="18">
        <f>IF(T269&gt;0, W269/T269, 0)</f>
        <v>1</v>
      </c>
      <c r="Y269" s="9" t="s">
        <v>41</v>
      </c>
      <c r="Z269" s="11" t="s">
        <v>42</v>
      </c>
      <c r="AA269" s="11" t="s">
        <v>43</v>
      </c>
      <c r="AB269" s="11" t="s">
        <v>44</v>
      </c>
      <c r="AC269" s="9" t="s">
        <v>44</v>
      </c>
    </row>
    <row r="270" spans="1:29">
      <c r="A270" s="10">
        <v>263</v>
      </c>
      <c r="B270" s="10" t="s">
        <v>487</v>
      </c>
      <c r="C270" s="10" t="s">
        <v>475</v>
      </c>
      <c r="D270" s="10" t="s">
        <v>201</v>
      </c>
      <c r="E270" s="10" t="s">
        <v>34</v>
      </c>
      <c r="F270" s="10" t="s">
        <v>35</v>
      </c>
      <c r="G270" s="8" t="s">
        <v>36</v>
      </c>
      <c r="H270" s="8" t="s">
        <v>37</v>
      </c>
      <c r="I270" s="8" t="s">
        <v>38</v>
      </c>
      <c r="J270" s="10">
        <v>164</v>
      </c>
      <c r="K270" s="10" t="s">
        <v>79</v>
      </c>
      <c r="L270" s="10" t="s">
        <v>40</v>
      </c>
      <c r="M270" s="12">
        <v>2</v>
      </c>
      <c r="N270" s="15">
        <v>8000.0</v>
      </c>
      <c r="O270" s="15"/>
      <c r="P270" s="17">
        <f>IF(N270&gt;0, O270/N270, 0)</f>
        <v>0</v>
      </c>
      <c r="Q270" s="15">
        <f>N270-O270</f>
        <v>8000</v>
      </c>
      <c r="R270" s="15">
        <f>M270*N270</f>
        <v>16000</v>
      </c>
      <c r="S270" s="15">
        <f>M270*O270</f>
        <v>0</v>
      </c>
      <c r="T270" s="15">
        <f>M270*Q270</f>
        <v>16000</v>
      </c>
      <c r="U270" s="15"/>
      <c r="V270" s="15">
        <f>M270*U270</f>
        <v>0</v>
      </c>
      <c r="W270" s="15">
        <f>T270-V270</f>
        <v>16000</v>
      </c>
      <c r="X270" s="17">
        <f>IF(T270&gt;0, W270/T270, 0)</f>
        <v>1</v>
      </c>
      <c r="Y270" s="8" t="s">
        <v>41</v>
      </c>
      <c r="Z270" s="10" t="s">
        <v>42</v>
      </c>
      <c r="AA270" s="10" t="s">
        <v>43</v>
      </c>
      <c r="AB270" s="10" t="s">
        <v>44</v>
      </c>
      <c r="AC270" s="8" t="s">
        <v>44</v>
      </c>
    </row>
    <row r="271" spans="1:29">
      <c r="A271" s="11">
        <v>264</v>
      </c>
      <c r="B271" s="11" t="s">
        <v>488</v>
      </c>
      <c r="C271" s="11" t="s">
        <v>475</v>
      </c>
      <c r="D271" s="11" t="s">
        <v>201</v>
      </c>
      <c r="E271" s="11" t="s">
        <v>34</v>
      </c>
      <c r="F271" s="11" t="s">
        <v>35</v>
      </c>
      <c r="G271" s="9" t="s">
        <v>52</v>
      </c>
      <c r="H271" s="9" t="s">
        <v>37</v>
      </c>
      <c r="I271" s="9" t="s">
        <v>38</v>
      </c>
      <c r="J271" s="11">
        <v>146</v>
      </c>
      <c r="K271" s="11" t="s">
        <v>260</v>
      </c>
      <c r="L271" s="11" t="s">
        <v>55</v>
      </c>
      <c r="M271" s="13">
        <v>1</v>
      </c>
      <c r="N271" s="16">
        <v>7000.0</v>
      </c>
      <c r="O271" s="16"/>
      <c r="P271" s="18">
        <f>IF(N271&gt;0, O271/N271, 0)</f>
        <v>0</v>
      </c>
      <c r="Q271" s="16">
        <f>N271-O271</f>
        <v>7000</v>
      </c>
      <c r="R271" s="16">
        <f>M271*N271</f>
        <v>7000</v>
      </c>
      <c r="S271" s="16">
        <f>M271*O271</f>
        <v>0</v>
      </c>
      <c r="T271" s="16">
        <f>M271*Q271</f>
        <v>7000</v>
      </c>
      <c r="U271" s="16"/>
      <c r="V271" s="16">
        <f>M271*U271</f>
        <v>0</v>
      </c>
      <c r="W271" s="16">
        <f>T271-V271</f>
        <v>7000</v>
      </c>
      <c r="X271" s="18">
        <f>IF(T271&gt;0, W271/T271, 0)</f>
        <v>1</v>
      </c>
      <c r="Y271" s="9" t="s">
        <v>41</v>
      </c>
      <c r="Z271" s="11" t="s">
        <v>42</v>
      </c>
      <c r="AA271" s="11" t="s">
        <v>43</v>
      </c>
      <c r="AB271" s="11" t="s">
        <v>44</v>
      </c>
      <c r="AC271" s="9" t="s">
        <v>44</v>
      </c>
    </row>
    <row r="272" spans="1:29">
      <c r="A272" s="10">
        <v>265</v>
      </c>
      <c r="B272" s="10" t="s">
        <v>489</v>
      </c>
      <c r="C272" s="10" t="s">
        <v>490</v>
      </c>
      <c r="D272" s="10" t="s">
        <v>201</v>
      </c>
      <c r="E272" s="10" t="s">
        <v>70</v>
      </c>
      <c r="F272" s="10" t="s">
        <v>35</v>
      </c>
      <c r="G272" s="8" t="s">
        <v>36</v>
      </c>
      <c r="H272" s="8" t="s">
        <v>37</v>
      </c>
      <c r="I272" s="8" t="s">
        <v>75</v>
      </c>
      <c r="J272" s="10">
        <v>164</v>
      </c>
      <c r="K272" s="10" t="s">
        <v>76</v>
      </c>
      <c r="L272" s="10" t="s">
        <v>40</v>
      </c>
      <c r="M272" s="12">
        <v>1</v>
      </c>
      <c r="N272" s="15">
        <v>11000.0</v>
      </c>
      <c r="O272" s="15"/>
      <c r="P272" s="17">
        <f>IF(N272&gt;0, O272/N272, 0)</f>
        <v>0</v>
      </c>
      <c r="Q272" s="15">
        <f>N272-O272</f>
        <v>11000</v>
      </c>
      <c r="R272" s="15">
        <f>M272*N272</f>
        <v>11000</v>
      </c>
      <c r="S272" s="15">
        <f>M272*O272</f>
        <v>0</v>
      </c>
      <c r="T272" s="15">
        <f>M272*Q272</f>
        <v>11000</v>
      </c>
      <c r="U272" s="15"/>
      <c r="V272" s="15">
        <f>M272*U272</f>
        <v>0</v>
      </c>
      <c r="W272" s="15">
        <f>T272-V272</f>
        <v>11000</v>
      </c>
      <c r="X272" s="17">
        <f>IF(T272&gt;0, W272/T272, 0)</f>
        <v>1</v>
      </c>
      <c r="Y272" s="8" t="s">
        <v>41</v>
      </c>
      <c r="Z272" s="10" t="s">
        <v>42</v>
      </c>
      <c r="AA272" s="10" t="s">
        <v>73</v>
      </c>
      <c r="AB272" s="10" t="s">
        <v>44</v>
      </c>
      <c r="AC272" s="8" t="s">
        <v>44</v>
      </c>
    </row>
    <row r="273" spans="1:29">
      <c r="A273" s="11">
        <v>266</v>
      </c>
      <c r="B273" s="11" t="s">
        <v>491</v>
      </c>
      <c r="C273" s="11" t="s">
        <v>490</v>
      </c>
      <c r="D273" s="11" t="s">
        <v>201</v>
      </c>
      <c r="E273" s="11" t="s">
        <v>34</v>
      </c>
      <c r="F273" s="11" t="s">
        <v>35</v>
      </c>
      <c r="G273" s="9" t="s">
        <v>36</v>
      </c>
      <c r="H273" s="9" t="s">
        <v>58</v>
      </c>
      <c r="I273" s="9" t="s">
        <v>58</v>
      </c>
      <c r="J273" s="11">
        <v>164</v>
      </c>
      <c r="K273" s="11" t="s">
        <v>59</v>
      </c>
      <c r="L273" s="11" t="s">
        <v>40</v>
      </c>
      <c r="M273" s="13">
        <v>1</v>
      </c>
      <c r="N273" s="16">
        <v>7500.0</v>
      </c>
      <c r="O273" s="16"/>
      <c r="P273" s="18">
        <f>IF(N273&gt;0, O273/N273, 0)</f>
        <v>0</v>
      </c>
      <c r="Q273" s="16">
        <f>N273-O273</f>
        <v>7500</v>
      </c>
      <c r="R273" s="16">
        <f>M273*N273</f>
        <v>7500</v>
      </c>
      <c r="S273" s="16">
        <f>M273*O273</f>
        <v>0</v>
      </c>
      <c r="T273" s="16">
        <f>M273*Q273</f>
        <v>7500</v>
      </c>
      <c r="U273" s="16"/>
      <c r="V273" s="16">
        <f>M273*U273</f>
        <v>0</v>
      </c>
      <c r="W273" s="16">
        <f>T273-V273</f>
        <v>7500</v>
      </c>
      <c r="X273" s="18">
        <f>IF(T273&gt;0, W273/T273, 0)</f>
        <v>1</v>
      </c>
      <c r="Y273" s="9" t="s">
        <v>41</v>
      </c>
      <c r="Z273" s="11" t="s">
        <v>42</v>
      </c>
      <c r="AA273" s="11" t="s">
        <v>43</v>
      </c>
      <c r="AB273" s="11" t="s">
        <v>44</v>
      </c>
      <c r="AC273" s="9" t="s">
        <v>44</v>
      </c>
    </row>
    <row r="274" spans="1:29">
      <c r="A274" s="10">
        <v>267</v>
      </c>
      <c r="B274" s="10" t="s">
        <v>492</v>
      </c>
      <c r="C274" s="10" t="s">
        <v>490</v>
      </c>
      <c r="D274" s="10" t="s">
        <v>201</v>
      </c>
      <c r="E274" s="10" t="s">
        <v>34</v>
      </c>
      <c r="F274" s="10" t="s">
        <v>35</v>
      </c>
      <c r="G274" s="8" t="s">
        <v>36</v>
      </c>
      <c r="H274" s="8" t="s">
        <v>53</v>
      </c>
      <c r="I274" s="8" t="s">
        <v>53</v>
      </c>
      <c r="J274" s="10">
        <v>164</v>
      </c>
      <c r="K274" s="10" t="s">
        <v>63</v>
      </c>
      <c r="L274" s="10" t="s">
        <v>40</v>
      </c>
      <c r="M274" s="12">
        <v>1</v>
      </c>
      <c r="N274" s="15">
        <v>8500.0</v>
      </c>
      <c r="O274" s="15"/>
      <c r="P274" s="17">
        <f>IF(N274&gt;0, O274/N274, 0)</f>
        <v>0</v>
      </c>
      <c r="Q274" s="15">
        <f>N274-O274</f>
        <v>8500</v>
      </c>
      <c r="R274" s="15">
        <f>M274*N274</f>
        <v>8500</v>
      </c>
      <c r="S274" s="15">
        <f>M274*O274</f>
        <v>0</v>
      </c>
      <c r="T274" s="15">
        <f>M274*Q274</f>
        <v>8500</v>
      </c>
      <c r="U274" s="15"/>
      <c r="V274" s="15">
        <f>M274*U274</f>
        <v>0</v>
      </c>
      <c r="W274" s="15">
        <f>T274-V274</f>
        <v>8500</v>
      </c>
      <c r="X274" s="17">
        <f>IF(T274&gt;0, W274/T274, 0)</f>
        <v>1</v>
      </c>
      <c r="Y274" s="8" t="s">
        <v>41</v>
      </c>
      <c r="Z274" s="10" t="s">
        <v>42</v>
      </c>
      <c r="AA274" s="10" t="s">
        <v>43</v>
      </c>
      <c r="AB274" s="10" t="s">
        <v>44</v>
      </c>
      <c r="AC274" s="8" t="s">
        <v>44</v>
      </c>
    </row>
    <row r="275" spans="1:29">
      <c r="A275" s="11">
        <v>268</v>
      </c>
      <c r="B275" s="11" t="s">
        <v>493</v>
      </c>
      <c r="C275" s="11" t="s">
        <v>490</v>
      </c>
      <c r="D275" s="11" t="s">
        <v>201</v>
      </c>
      <c r="E275" s="11" t="s">
        <v>34</v>
      </c>
      <c r="F275" s="11" t="s">
        <v>35</v>
      </c>
      <c r="G275" s="9" t="s">
        <v>36</v>
      </c>
      <c r="H275" s="9" t="s">
        <v>37</v>
      </c>
      <c r="I275" s="9" t="s">
        <v>38</v>
      </c>
      <c r="J275" s="11">
        <v>164</v>
      </c>
      <c r="K275" s="11" t="s">
        <v>79</v>
      </c>
      <c r="L275" s="11" t="s">
        <v>40</v>
      </c>
      <c r="M275" s="13">
        <v>1</v>
      </c>
      <c r="N275" s="16">
        <v>8000.0</v>
      </c>
      <c r="O275" s="16"/>
      <c r="P275" s="18">
        <f>IF(N275&gt;0, O275/N275, 0)</f>
        <v>0</v>
      </c>
      <c r="Q275" s="16">
        <f>N275-O275</f>
        <v>8000</v>
      </c>
      <c r="R275" s="16">
        <f>M275*N275</f>
        <v>8000</v>
      </c>
      <c r="S275" s="16">
        <f>M275*O275</f>
        <v>0</v>
      </c>
      <c r="T275" s="16">
        <f>M275*Q275</f>
        <v>8000</v>
      </c>
      <c r="U275" s="16"/>
      <c r="V275" s="16">
        <f>M275*U275</f>
        <v>0</v>
      </c>
      <c r="W275" s="16">
        <f>T275-V275</f>
        <v>8000</v>
      </c>
      <c r="X275" s="18">
        <f>IF(T275&gt;0, W275/T275, 0)</f>
        <v>1</v>
      </c>
      <c r="Y275" s="9" t="s">
        <v>41</v>
      </c>
      <c r="Z275" s="11" t="s">
        <v>42</v>
      </c>
      <c r="AA275" s="11" t="s">
        <v>43</v>
      </c>
      <c r="AB275" s="11" t="s">
        <v>44</v>
      </c>
      <c r="AC275" s="9" t="s">
        <v>44</v>
      </c>
    </row>
    <row r="276" spans="1:29">
      <c r="A276" s="10">
        <v>269</v>
      </c>
      <c r="B276" s="10" t="s">
        <v>494</v>
      </c>
      <c r="C276" s="10" t="s">
        <v>490</v>
      </c>
      <c r="D276" s="10" t="s">
        <v>201</v>
      </c>
      <c r="E276" s="10" t="s">
        <v>34</v>
      </c>
      <c r="F276" s="10" t="s">
        <v>35</v>
      </c>
      <c r="G276" s="8" t="s">
        <v>36</v>
      </c>
      <c r="H276" s="8" t="s">
        <v>71</v>
      </c>
      <c r="I276" s="8" t="s">
        <v>71</v>
      </c>
      <c r="J276" s="10">
        <v>134</v>
      </c>
      <c r="K276" s="10" t="s">
        <v>495</v>
      </c>
      <c r="L276" s="10" t="s">
        <v>40</v>
      </c>
      <c r="M276" s="12">
        <v>1</v>
      </c>
      <c r="N276" s="15">
        <v>18000.0</v>
      </c>
      <c r="O276" s="15"/>
      <c r="P276" s="17">
        <f>IF(N276&gt;0, O276/N276, 0)</f>
        <v>0</v>
      </c>
      <c r="Q276" s="15">
        <f>N276-O276</f>
        <v>18000</v>
      </c>
      <c r="R276" s="15">
        <f>M276*N276</f>
        <v>18000</v>
      </c>
      <c r="S276" s="15">
        <f>M276*O276</f>
        <v>0</v>
      </c>
      <c r="T276" s="15">
        <f>M276*Q276</f>
        <v>18000</v>
      </c>
      <c r="U276" s="15"/>
      <c r="V276" s="15">
        <f>M276*U276</f>
        <v>0</v>
      </c>
      <c r="W276" s="15">
        <f>T276-V276</f>
        <v>18000</v>
      </c>
      <c r="X276" s="17">
        <f>IF(T276&gt;0, W276/T276, 0)</f>
        <v>1</v>
      </c>
      <c r="Y276" s="8" t="s">
        <v>41</v>
      </c>
      <c r="Z276" s="10" t="s">
        <v>42</v>
      </c>
      <c r="AA276" s="10" t="s">
        <v>43</v>
      </c>
      <c r="AB276" s="10" t="s">
        <v>44</v>
      </c>
      <c r="AC276" s="8" t="s">
        <v>44</v>
      </c>
    </row>
    <row r="277" spans="1:29">
      <c r="A277" s="11">
        <v>270</v>
      </c>
      <c r="B277" s="11" t="s">
        <v>496</v>
      </c>
      <c r="C277" s="11" t="s">
        <v>490</v>
      </c>
      <c r="D277" s="11" t="s">
        <v>201</v>
      </c>
      <c r="E277" s="11" t="s">
        <v>34</v>
      </c>
      <c r="F277" s="11" t="s">
        <v>35</v>
      </c>
      <c r="G277" s="9" t="s">
        <v>36</v>
      </c>
      <c r="H277" s="9" t="s">
        <v>71</v>
      </c>
      <c r="I277" s="9" t="s">
        <v>71</v>
      </c>
      <c r="J277" s="11">
        <v>158</v>
      </c>
      <c r="K277" s="11" t="s">
        <v>263</v>
      </c>
      <c r="L277" s="11" t="s">
        <v>40</v>
      </c>
      <c r="M277" s="13">
        <v>1</v>
      </c>
      <c r="N277" s="16">
        <v>16500.0</v>
      </c>
      <c r="O277" s="16"/>
      <c r="P277" s="18">
        <f>IF(N277&gt;0, O277/N277, 0)</f>
        <v>0</v>
      </c>
      <c r="Q277" s="16">
        <f>N277-O277</f>
        <v>16500</v>
      </c>
      <c r="R277" s="16">
        <f>M277*N277</f>
        <v>16500</v>
      </c>
      <c r="S277" s="16">
        <f>M277*O277</f>
        <v>0</v>
      </c>
      <c r="T277" s="16">
        <f>M277*Q277</f>
        <v>16500</v>
      </c>
      <c r="U277" s="16"/>
      <c r="V277" s="16">
        <f>M277*U277</f>
        <v>0</v>
      </c>
      <c r="W277" s="16">
        <f>T277-V277</f>
        <v>16500</v>
      </c>
      <c r="X277" s="18">
        <f>IF(T277&gt;0, W277/T277, 0)</f>
        <v>1</v>
      </c>
      <c r="Y277" s="9" t="s">
        <v>41</v>
      </c>
      <c r="Z277" s="11" t="s">
        <v>42</v>
      </c>
      <c r="AA277" s="11" t="s">
        <v>43</v>
      </c>
      <c r="AB277" s="11" t="s">
        <v>44</v>
      </c>
      <c r="AC277" s="9" t="s">
        <v>44</v>
      </c>
    </row>
    <row r="278" spans="1:29">
      <c r="A278" s="10">
        <v>271</v>
      </c>
      <c r="B278" s="10" t="s">
        <v>497</v>
      </c>
      <c r="C278" s="10" t="s">
        <v>490</v>
      </c>
      <c r="D278" s="10" t="s">
        <v>201</v>
      </c>
      <c r="E278" s="10" t="s">
        <v>34</v>
      </c>
      <c r="F278" s="10" t="s">
        <v>35</v>
      </c>
      <c r="G278" s="8" t="s">
        <v>36</v>
      </c>
      <c r="H278" s="8" t="s">
        <v>53</v>
      </c>
      <c r="I278" s="8" t="s">
        <v>53</v>
      </c>
      <c r="J278" s="10">
        <v>164</v>
      </c>
      <c r="K278" s="10" t="s">
        <v>63</v>
      </c>
      <c r="L278" s="10" t="s">
        <v>40</v>
      </c>
      <c r="M278" s="12">
        <v>1</v>
      </c>
      <c r="N278" s="15">
        <v>8500.0</v>
      </c>
      <c r="O278" s="15"/>
      <c r="P278" s="17">
        <f>IF(N278&gt;0, O278/N278, 0)</f>
        <v>0</v>
      </c>
      <c r="Q278" s="15">
        <f>N278-O278</f>
        <v>8500</v>
      </c>
      <c r="R278" s="15">
        <f>M278*N278</f>
        <v>8500</v>
      </c>
      <c r="S278" s="15">
        <f>M278*O278</f>
        <v>0</v>
      </c>
      <c r="T278" s="15">
        <f>M278*Q278</f>
        <v>8500</v>
      </c>
      <c r="U278" s="15"/>
      <c r="V278" s="15">
        <f>M278*U278</f>
        <v>0</v>
      </c>
      <c r="W278" s="15">
        <f>T278-V278</f>
        <v>8500</v>
      </c>
      <c r="X278" s="17">
        <f>IF(T278&gt;0, W278/T278, 0)</f>
        <v>1</v>
      </c>
      <c r="Y278" s="8" t="s">
        <v>41</v>
      </c>
      <c r="Z278" s="10" t="s">
        <v>42</v>
      </c>
      <c r="AA278" s="10" t="s">
        <v>43</v>
      </c>
      <c r="AB278" s="10" t="s">
        <v>44</v>
      </c>
      <c r="AC278" s="8" t="s">
        <v>44</v>
      </c>
    </row>
    <row r="279" spans="1:29">
      <c r="A279" s="11">
        <v>272</v>
      </c>
      <c r="B279" s="11" t="s">
        <v>498</v>
      </c>
      <c r="C279" s="11" t="s">
        <v>499</v>
      </c>
      <c r="D279" s="11" t="s">
        <v>201</v>
      </c>
      <c r="E279" s="11" t="s">
        <v>70</v>
      </c>
      <c r="F279" s="11" t="s">
        <v>35</v>
      </c>
      <c r="G279" s="9" t="s">
        <v>52</v>
      </c>
      <c r="H279" s="9" t="s">
        <v>65</v>
      </c>
      <c r="I279" s="9" t="s">
        <v>151</v>
      </c>
      <c r="J279" s="11">
        <v>146</v>
      </c>
      <c r="K279" s="11" t="s">
        <v>170</v>
      </c>
      <c r="L279" s="11" t="s">
        <v>40</v>
      </c>
      <c r="M279" s="13">
        <v>1</v>
      </c>
      <c r="N279" s="16">
        <v>10000.0</v>
      </c>
      <c r="O279" s="16"/>
      <c r="P279" s="18">
        <f>IF(N279&gt;0, O279/N279, 0)</f>
        <v>0</v>
      </c>
      <c r="Q279" s="16">
        <f>N279-O279</f>
        <v>10000</v>
      </c>
      <c r="R279" s="16">
        <f>M279*N279</f>
        <v>10000</v>
      </c>
      <c r="S279" s="16">
        <f>M279*O279</f>
        <v>0</v>
      </c>
      <c r="T279" s="16">
        <f>M279*Q279</f>
        <v>10000</v>
      </c>
      <c r="U279" s="16"/>
      <c r="V279" s="16">
        <f>M279*U279</f>
        <v>0</v>
      </c>
      <c r="W279" s="16">
        <f>T279-V279</f>
        <v>10000</v>
      </c>
      <c r="X279" s="18">
        <f>IF(T279&gt;0, W279/T279, 0)</f>
        <v>1</v>
      </c>
      <c r="Y279" s="9" t="s">
        <v>41</v>
      </c>
      <c r="Z279" s="11" t="s">
        <v>42</v>
      </c>
      <c r="AA279" s="11" t="s">
        <v>73</v>
      </c>
      <c r="AB279" s="11" t="s">
        <v>44</v>
      </c>
      <c r="AC279" s="9" t="s">
        <v>44</v>
      </c>
    </row>
    <row r="280" spans="1:29">
      <c r="A280" s="10">
        <v>273</v>
      </c>
      <c r="B280" s="10" t="s">
        <v>500</v>
      </c>
      <c r="C280" s="10" t="s">
        <v>499</v>
      </c>
      <c r="D280" s="10" t="s">
        <v>201</v>
      </c>
      <c r="E280" s="10" t="s">
        <v>34</v>
      </c>
      <c r="F280" s="10" t="s">
        <v>35</v>
      </c>
      <c r="G280" s="8" t="s">
        <v>52</v>
      </c>
      <c r="H280" s="8" t="s">
        <v>37</v>
      </c>
      <c r="I280" s="8" t="s">
        <v>38</v>
      </c>
      <c r="J280" s="10">
        <v>152</v>
      </c>
      <c r="K280" s="10" t="s">
        <v>154</v>
      </c>
      <c r="L280" s="10" t="s">
        <v>55</v>
      </c>
      <c r="M280" s="12">
        <v>1</v>
      </c>
      <c r="N280" s="15">
        <v>7000.0</v>
      </c>
      <c r="O280" s="15"/>
      <c r="P280" s="17">
        <f>IF(N280&gt;0, O280/N280, 0)</f>
        <v>0</v>
      </c>
      <c r="Q280" s="15">
        <f>N280-O280</f>
        <v>7000</v>
      </c>
      <c r="R280" s="15">
        <f>M280*N280</f>
        <v>7000</v>
      </c>
      <c r="S280" s="15">
        <f>M280*O280</f>
        <v>0</v>
      </c>
      <c r="T280" s="15">
        <f>M280*Q280</f>
        <v>7000</v>
      </c>
      <c r="U280" s="15"/>
      <c r="V280" s="15">
        <f>M280*U280</f>
        <v>0</v>
      </c>
      <c r="W280" s="15">
        <f>T280-V280</f>
        <v>7000</v>
      </c>
      <c r="X280" s="17">
        <f>IF(T280&gt;0, W280/T280, 0)</f>
        <v>1</v>
      </c>
      <c r="Y280" s="8" t="s">
        <v>41</v>
      </c>
      <c r="Z280" s="10" t="s">
        <v>42</v>
      </c>
      <c r="AA280" s="10" t="s">
        <v>43</v>
      </c>
      <c r="AB280" s="10" t="s">
        <v>44</v>
      </c>
      <c r="AC280" s="8" t="s">
        <v>44</v>
      </c>
    </row>
    <row r="281" spans="1:29">
      <c r="A281" s="11">
        <v>274</v>
      </c>
      <c r="B281" s="11" t="s">
        <v>501</v>
      </c>
      <c r="C281" s="11" t="s">
        <v>499</v>
      </c>
      <c r="D281" s="11" t="s">
        <v>201</v>
      </c>
      <c r="E281" s="11" t="s">
        <v>34</v>
      </c>
      <c r="F281" s="11" t="s">
        <v>35</v>
      </c>
      <c r="G281" s="9" t="s">
        <v>52</v>
      </c>
      <c r="H281" s="9" t="s">
        <v>37</v>
      </c>
      <c r="I281" s="9" t="s">
        <v>38</v>
      </c>
      <c r="J281" s="11">
        <v>146</v>
      </c>
      <c r="K281" s="11" t="s">
        <v>260</v>
      </c>
      <c r="L281" s="11" t="s">
        <v>55</v>
      </c>
      <c r="M281" s="13">
        <v>1</v>
      </c>
      <c r="N281" s="16">
        <v>7000.0</v>
      </c>
      <c r="O281" s="16"/>
      <c r="P281" s="18">
        <f>IF(N281&gt;0, O281/N281, 0)</f>
        <v>0</v>
      </c>
      <c r="Q281" s="16">
        <f>N281-O281</f>
        <v>7000</v>
      </c>
      <c r="R281" s="16">
        <f>M281*N281</f>
        <v>7000</v>
      </c>
      <c r="S281" s="16">
        <f>M281*O281</f>
        <v>0</v>
      </c>
      <c r="T281" s="16">
        <f>M281*Q281</f>
        <v>7000</v>
      </c>
      <c r="U281" s="16"/>
      <c r="V281" s="16">
        <f>M281*U281</f>
        <v>0</v>
      </c>
      <c r="W281" s="16">
        <f>T281-V281</f>
        <v>7000</v>
      </c>
      <c r="X281" s="18">
        <f>IF(T281&gt;0, W281/T281, 0)</f>
        <v>1</v>
      </c>
      <c r="Y281" s="9" t="s">
        <v>41</v>
      </c>
      <c r="Z281" s="11" t="s">
        <v>42</v>
      </c>
      <c r="AA281" s="11" t="s">
        <v>43</v>
      </c>
      <c r="AB281" s="11" t="s">
        <v>44</v>
      </c>
      <c r="AC281" s="9" t="s">
        <v>44</v>
      </c>
    </row>
    <row r="282" spans="1:29">
      <c r="A282" s="10">
        <v>275</v>
      </c>
      <c r="B282" s="10" t="s">
        <v>502</v>
      </c>
      <c r="C282" s="10" t="s">
        <v>499</v>
      </c>
      <c r="D282" s="10" t="s">
        <v>201</v>
      </c>
      <c r="E282" s="10" t="s">
        <v>34</v>
      </c>
      <c r="F282" s="10" t="s">
        <v>35</v>
      </c>
      <c r="G282" s="8" t="s">
        <v>52</v>
      </c>
      <c r="H282" s="8" t="s">
        <v>53</v>
      </c>
      <c r="I282" s="8" t="s">
        <v>53</v>
      </c>
      <c r="J282" s="10">
        <v>152</v>
      </c>
      <c r="K282" s="10" t="s">
        <v>405</v>
      </c>
      <c r="L282" s="10" t="s">
        <v>55</v>
      </c>
      <c r="M282" s="12">
        <v>1</v>
      </c>
      <c r="N282" s="15">
        <v>8000.0</v>
      </c>
      <c r="O282" s="15"/>
      <c r="P282" s="17">
        <f>IF(N282&gt;0, O282/N282, 0)</f>
        <v>0</v>
      </c>
      <c r="Q282" s="15">
        <f>N282-O282</f>
        <v>8000</v>
      </c>
      <c r="R282" s="15">
        <f>M282*N282</f>
        <v>8000</v>
      </c>
      <c r="S282" s="15">
        <f>M282*O282</f>
        <v>0</v>
      </c>
      <c r="T282" s="15">
        <f>M282*Q282</f>
        <v>8000</v>
      </c>
      <c r="U282" s="15"/>
      <c r="V282" s="15">
        <f>M282*U282</f>
        <v>0</v>
      </c>
      <c r="W282" s="15">
        <f>T282-V282</f>
        <v>8000</v>
      </c>
      <c r="X282" s="17">
        <f>IF(T282&gt;0, W282/T282, 0)</f>
        <v>1</v>
      </c>
      <c r="Y282" s="8" t="s">
        <v>41</v>
      </c>
      <c r="Z282" s="10" t="s">
        <v>42</v>
      </c>
      <c r="AA282" s="10" t="s">
        <v>43</v>
      </c>
      <c r="AB282" s="10" t="s">
        <v>44</v>
      </c>
      <c r="AC282" s="8" t="s">
        <v>44</v>
      </c>
    </row>
    <row r="283" spans="1:29">
      <c r="A283" s="11">
        <v>276</v>
      </c>
      <c r="B283" s="11" t="s">
        <v>503</v>
      </c>
      <c r="C283" s="11" t="s">
        <v>499</v>
      </c>
      <c r="D283" s="11" t="s">
        <v>201</v>
      </c>
      <c r="E283" s="11" t="s">
        <v>34</v>
      </c>
      <c r="F283" s="11" t="s">
        <v>35</v>
      </c>
      <c r="G283" s="9" t="s">
        <v>52</v>
      </c>
      <c r="H283" s="9" t="s">
        <v>37</v>
      </c>
      <c r="I283" s="9" t="s">
        <v>38</v>
      </c>
      <c r="J283" s="11">
        <v>152</v>
      </c>
      <c r="K283" s="11" t="s">
        <v>154</v>
      </c>
      <c r="L283" s="11" t="s">
        <v>55</v>
      </c>
      <c r="M283" s="13">
        <v>1</v>
      </c>
      <c r="N283" s="16">
        <v>7000.0</v>
      </c>
      <c r="O283" s="16"/>
      <c r="P283" s="18">
        <f>IF(N283&gt;0, O283/N283, 0)</f>
        <v>0</v>
      </c>
      <c r="Q283" s="16">
        <f>N283-O283</f>
        <v>7000</v>
      </c>
      <c r="R283" s="16">
        <f>M283*N283</f>
        <v>7000</v>
      </c>
      <c r="S283" s="16">
        <f>M283*O283</f>
        <v>0</v>
      </c>
      <c r="T283" s="16">
        <f>M283*Q283</f>
        <v>7000</v>
      </c>
      <c r="U283" s="16"/>
      <c r="V283" s="16">
        <f>M283*U283</f>
        <v>0</v>
      </c>
      <c r="W283" s="16">
        <f>T283-V283</f>
        <v>7000</v>
      </c>
      <c r="X283" s="18">
        <f>IF(T283&gt;0, W283/T283, 0)</f>
        <v>1</v>
      </c>
      <c r="Y283" s="9" t="s">
        <v>41</v>
      </c>
      <c r="Z283" s="11" t="s">
        <v>42</v>
      </c>
      <c r="AA283" s="11" t="s">
        <v>43</v>
      </c>
      <c r="AB283" s="11" t="s">
        <v>44</v>
      </c>
      <c r="AC283" s="9" t="s">
        <v>44</v>
      </c>
    </row>
    <row r="284" spans="1:29">
      <c r="A284" s="10">
        <v>277</v>
      </c>
      <c r="B284" s="10" t="s">
        <v>504</v>
      </c>
      <c r="C284" s="10" t="s">
        <v>499</v>
      </c>
      <c r="D284" s="10" t="s">
        <v>201</v>
      </c>
      <c r="E284" s="10" t="s">
        <v>34</v>
      </c>
      <c r="F284" s="10" t="s">
        <v>35</v>
      </c>
      <c r="G284" s="8" t="s">
        <v>36</v>
      </c>
      <c r="H284" s="8" t="s">
        <v>58</v>
      </c>
      <c r="I284" s="8" t="s">
        <v>58</v>
      </c>
      <c r="J284" s="10">
        <v>164</v>
      </c>
      <c r="K284" s="10" t="s">
        <v>59</v>
      </c>
      <c r="L284" s="10" t="s">
        <v>40</v>
      </c>
      <c r="M284" s="12">
        <v>1</v>
      </c>
      <c r="N284" s="15">
        <v>7500.0</v>
      </c>
      <c r="O284" s="15"/>
      <c r="P284" s="17">
        <f>IF(N284&gt;0, O284/N284, 0)</f>
        <v>0</v>
      </c>
      <c r="Q284" s="15">
        <f>N284-O284</f>
        <v>7500</v>
      </c>
      <c r="R284" s="15">
        <f>M284*N284</f>
        <v>7500</v>
      </c>
      <c r="S284" s="15">
        <f>M284*O284</f>
        <v>0</v>
      </c>
      <c r="T284" s="15">
        <f>M284*Q284</f>
        <v>7500</v>
      </c>
      <c r="U284" s="15"/>
      <c r="V284" s="15">
        <f>M284*U284</f>
        <v>0</v>
      </c>
      <c r="W284" s="15">
        <f>T284-V284</f>
        <v>7500</v>
      </c>
      <c r="X284" s="17">
        <f>IF(T284&gt;0, W284/T284, 0)</f>
        <v>1</v>
      </c>
      <c r="Y284" s="8" t="s">
        <v>41</v>
      </c>
      <c r="Z284" s="10" t="s">
        <v>42</v>
      </c>
      <c r="AA284" s="10" t="s">
        <v>43</v>
      </c>
      <c r="AB284" s="10" t="s">
        <v>44</v>
      </c>
      <c r="AC284" s="8" t="s">
        <v>44</v>
      </c>
    </row>
    <row r="285" spans="1:29">
      <c r="A285" s="11">
        <v>278</v>
      </c>
      <c r="B285" s="11" t="s">
        <v>505</v>
      </c>
      <c r="C285" s="11" t="s">
        <v>499</v>
      </c>
      <c r="D285" s="11" t="s">
        <v>201</v>
      </c>
      <c r="E285" s="11" t="s">
        <v>34</v>
      </c>
      <c r="F285" s="11" t="s">
        <v>35</v>
      </c>
      <c r="G285" s="9" t="s">
        <v>36</v>
      </c>
      <c r="H285" s="9" t="s">
        <v>53</v>
      </c>
      <c r="I285" s="9" t="s">
        <v>53</v>
      </c>
      <c r="J285" s="11">
        <v>176</v>
      </c>
      <c r="K285" s="11" t="s">
        <v>421</v>
      </c>
      <c r="L285" s="11" t="s">
        <v>40</v>
      </c>
      <c r="M285" s="13">
        <v>1</v>
      </c>
      <c r="N285" s="16">
        <v>8500.0</v>
      </c>
      <c r="O285" s="16"/>
      <c r="P285" s="18">
        <f>IF(N285&gt;0, O285/N285, 0)</f>
        <v>0</v>
      </c>
      <c r="Q285" s="16">
        <f>N285-O285</f>
        <v>8500</v>
      </c>
      <c r="R285" s="16">
        <f>M285*N285</f>
        <v>8500</v>
      </c>
      <c r="S285" s="16">
        <f>M285*O285</f>
        <v>0</v>
      </c>
      <c r="T285" s="16">
        <f>M285*Q285</f>
        <v>8500</v>
      </c>
      <c r="U285" s="16"/>
      <c r="V285" s="16">
        <f>M285*U285</f>
        <v>0</v>
      </c>
      <c r="W285" s="16">
        <f>T285-V285</f>
        <v>8500</v>
      </c>
      <c r="X285" s="18">
        <f>IF(T285&gt;0, W285/T285, 0)</f>
        <v>1</v>
      </c>
      <c r="Y285" s="9" t="s">
        <v>41</v>
      </c>
      <c r="Z285" s="11" t="s">
        <v>42</v>
      </c>
      <c r="AA285" s="11" t="s">
        <v>43</v>
      </c>
      <c r="AB285" s="11" t="s">
        <v>44</v>
      </c>
      <c r="AC285" s="9" t="s">
        <v>44</v>
      </c>
    </row>
    <row r="286" spans="1:29">
      <c r="A286" s="10">
        <v>279</v>
      </c>
      <c r="B286" s="10" t="s">
        <v>506</v>
      </c>
      <c r="C286" s="10" t="s">
        <v>499</v>
      </c>
      <c r="D286" s="10" t="s">
        <v>201</v>
      </c>
      <c r="E286" s="10" t="s">
        <v>34</v>
      </c>
      <c r="F286" s="10" t="s">
        <v>35</v>
      </c>
      <c r="G286" s="8" t="s">
        <v>36</v>
      </c>
      <c r="H286" s="8" t="s">
        <v>47</v>
      </c>
      <c r="I286" s="8" t="s">
        <v>48</v>
      </c>
      <c r="J286" s="10">
        <v>176</v>
      </c>
      <c r="K286" s="10" t="s">
        <v>427</v>
      </c>
      <c r="L286" s="10" t="s">
        <v>40</v>
      </c>
      <c r="M286" s="12">
        <v>1</v>
      </c>
      <c r="N286" s="15">
        <v>18000.0</v>
      </c>
      <c r="O286" s="15"/>
      <c r="P286" s="17">
        <f>IF(N286&gt;0, O286/N286, 0)</f>
        <v>0</v>
      </c>
      <c r="Q286" s="15">
        <f>N286-O286</f>
        <v>18000</v>
      </c>
      <c r="R286" s="15">
        <f>M286*N286</f>
        <v>18000</v>
      </c>
      <c r="S286" s="15">
        <f>M286*O286</f>
        <v>0</v>
      </c>
      <c r="T286" s="15">
        <f>M286*Q286</f>
        <v>18000</v>
      </c>
      <c r="U286" s="15"/>
      <c r="V286" s="15">
        <f>M286*U286</f>
        <v>0</v>
      </c>
      <c r="W286" s="15">
        <f>T286-V286</f>
        <v>18000</v>
      </c>
      <c r="X286" s="17">
        <f>IF(T286&gt;0, W286/T286, 0)</f>
        <v>1</v>
      </c>
      <c r="Y286" s="8" t="s">
        <v>41</v>
      </c>
      <c r="Z286" s="10" t="s">
        <v>42</v>
      </c>
      <c r="AA286" s="10" t="s">
        <v>43</v>
      </c>
      <c r="AB286" s="10" t="s">
        <v>44</v>
      </c>
      <c r="AC286" s="8" t="s">
        <v>44</v>
      </c>
    </row>
    <row r="287" spans="1:29">
      <c r="A287" s="11">
        <v>280</v>
      </c>
      <c r="B287" s="11" t="s">
        <v>507</v>
      </c>
      <c r="C287" s="11" t="s">
        <v>499</v>
      </c>
      <c r="D287" s="11" t="s">
        <v>201</v>
      </c>
      <c r="E287" s="11" t="s">
        <v>34</v>
      </c>
      <c r="F287" s="11" t="s">
        <v>35</v>
      </c>
      <c r="G287" s="9" t="s">
        <v>36</v>
      </c>
      <c r="H287" s="9" t="s">
        <v>71</v>
      </c>
      <c r="I287" s="9" t="s">
        <v>71</v>
      </c>
      <c r="J287" s="11">
        <v>170</v>
      </c>
      <c r="K287" s="11" t="s">
        <v>182</v>
      </c>
      <c r="L287" s="11" t="s">
        <v>40</v>
      </c>
      <c r="M287" s="13">
        <v>1</v>
      </c>
      <c r="N287" s="16">
        <v>16500.0</v>
      </c>
      <c r="O287" s="16"/>
      <c r="P287" s="18">
        <f>IF(N287&gt;0, O287/N287, 0)</f>
        <v>0</v>
      </c>
      <c r="Q287" s="16">
        <f>N287-O287</f>
        <v>16500</v>
      </c>
      <c r="R287" s="16">
        <f>M287*N287</f>
        <v>16500</v>
      </c>
      <c r="S287" s="16">
        <f>M287*O287</f>
        <v>0</v>
      </c>
      <c r="T287" s="16">
        <f>M287*Q287</f>
        <v>16500</v>
      </c>
      <c r="U287" s="16"/>
      <c r="V287" s="16">
        <f>M287*U287</f>
        <v>0</v>
      </c>
      <c r="W287" s="16">
        <f>T287-V287</f>
        <v>16500</v>
      </c>
      <c r="X287" s="18">
        <f>IF(T287&gt;0, W287/T287, 0)</f>
        <v>1</v>
      </c>
      <c r="Y287" s="9" t="s">
        <v>41</v>
      </c>
      <c r="Z287" s="11" t="s">
        <v>42</v>
      </c>
      <c r="AA287" s="11" t="s">
        <v>43</v>
      </c>
      <c r="AB287" s="11" t="s">
        <v>44</v>
      </c>
      <c r="AC287" s="9" t="s">
        <v>44</v>
      </c>
    </row>
    <row r="288" spans="1:29">
      <c r="A288" s="10">
        <v>281</v>
      </c>
      <c r="B288" s="10" t="s">
        <v>508</v>
      </c>
      <c r="C288" s="10" t="s">
        <v>499</v>
      </c>
      <c r="D288" s="10" t="s">
        <v>201</v>
      </c>
      <c r="E288" s="10" t="s">
        <v>34</v>
      </c>
      <c r="F288" s="10" t="s">
        <v>35</v>
      </c>
      <c r="G288" s="8" t="s">
        <v>36</v>
      </c>
      <c r="H288" s="8" t="s">
        <v>65</v>
      </c>
      <c r="I288" s="8" t="s">
        <v>151</v>
      </c>
      <c r="J288" s="10">
        <v>176</v>
      </c>
      <c r="K288" s="10" t="s">
        <v>236</v>
      </c>
      <c r="L288" s="10" t="s">
        <v>40</v>
      </c>
      <c r="M288" s="12">
        <v>2</v>
      </c>
      <c r="N288" s="15">
        <v>9500.0</v>
      </c>
      <c r="O288" s="15"/>
      <c r="P288" s="17">
        <f>IF(N288&gt;0, O288/N288, 0)</f>
        <v>0</v>
      </c>
      <c r="Q288" s="15">
        <f>N288-O288</f>
        <v>9500</v>
      </c>
      <c r="R288" s="15">
        <f>M288*N288</f>
        <v>19000</v>
      </c>
      <c r="S288" s="15">
        <f>M288*O288</f>
        <v>0</v>
      </c>
      <c r="T288" s="15">
        <f>M288*Q288</f>
        <v>19000</v>
      </c>
      <c r="U288" s="15"/>
      <c r="V288" s="15">
        <f>M288*U288</f>
        <v>0</v>
      </c>
      <c r="W288" s="15">
        <f>T288-V288</f>
        <v>19000</v>
      </c>
      <c r="X288" s="17">
        <f>IF(T288&gt;0, W288/T288, 0)</f>
        <v>1</v>
      </c>
      <c r="Y288" s="8" t="s">
        <v>41</v>
      </c>
      <c r="Z288" s="10" t="s">
        <v>42</v>
      </c>
      <c r="AA288" s="10" t="s">
        <v>43</v>
      </c>
      <c r="AB288" s="10" t="s">
        <v>44</v>
      </c>
      <c r="AC288" s="8" t="s">
        <v>44</v>
      </c>
    </row>
    <row r="289" spans="1:29">
      <c r="A289" s="11">
        <v>282</v>
      </c>
      <c r="B289" s="11" t="s">
        <v>509</v>
      </c>
      <c r="C289" s="11" t="s">
        <v>499</v>
      </c>
      <c r="D289" s="11" t="s">
        <v>201</v>
      </c>
      <c r="E289" s="11" t="s">
        <v>34</v>
      </c>
      <c r="F289" s="11" t="s">
        <v>35</v>
      </c>
      <c r="G289" s="9" t="s">
        <v>36</v>
      </c>
      <c r="H289" s="9" t="s">
        <v>37</v>
      </c>
      <c r="I289" s="9" t="s">
        <v>75</v>
      </c>
      <c r="J289" s="11">
        <v>176</v>
      </c>
      <c r="K289" s="11" t="s">
        <v>423</v>
      </c>
      <c r="L289" s="11" t="s">
        <v>40</v>
      </c>
      <c r="M289" s="13">
        <v>2</v>
      </c>
      <c r="N289" s="16">
        <v>9000.0</v>
      </c>
      <c r="O289" s="16"/>
      <c r="P289" s="18">
        <f>IF(N289&gt;0, O289/N289, 0)</f>
        <v>0</v>
      </c>
      <c r="Q289" s="16">
        <f>N289-O289</f>
        <v>9000</v>
      </c>
      <c r="R289" s="16">
        <f>M289*N289</f>
        <v>18000</v>
      </c>
      <c r="S289" s="16">
        <f>M289*O289</f>
        <v>0</v>
      </c>
      <c r="T289" s="16">
        <f>M289*Q289</f>
        <v>18000</v>
      </c>
      <c r="U289" s="16"/>
      <c r="V289" s="16">
        <f>M289*U289</f>
        <v>0</v>
      </c>
      <c r="W289" s="16">
        <f>T289-V289</f>
        <v>18000</v>
      </c>
      <c r="X289" s="18">
        <f>IF(T289&gt;0, W289/T289, 0)</f>
        <v>1</v>
      </c>
      <c r="Y289" s="9" t="s">
        <v>41</v>
      </c>
      <c r="Z289" s="11" t="s">
        <v>42</v>
      </c>
      <c r="AA289" s="11" t="s">
        <v>43</v>
      </c>
      <c r="AB289" s="11" t="s">
        <v>44</v>
      </c>
      <c r="AC289" s="9" t="s">
        <v>44</v>
      </c>
    </row>
    <row r="290" spans="1:29">
      <c r="A290" s="10">
        <v>283</v>
      </c>
      <c r="B290" s="10" t="s">
        <v>510</v>
      </c>
      <c r="C290" s="10" t="s">
        <v>499</v>
      </c>
      <c r="D290" s="10" t="s">
        <v>201</v>
      </c>
      <c r="E290" s="10" t="s">
        <v>34</v>
      </c>
      <c r="F290" s="10" t="s">
        <v>35</v>
      </c>
      <c r="G290" s="8" t="s">
        <v>36</v>
      </c>
      <c r="H290" s="8" t="s">
        <v>37</v>
      </c>
      <c r="I290" s="8" t="s">
        <v>38</v>
      </c>
      <c r="J290" s="10">
        <v>176</v>
      </c>
      <c r="K290" s="10" t="s">
        <v>355</v>
      </c>
      <c r="L290" s="10" t="s">
        <v>40</v>
      </c>
      <c r="M290" s="12">
        <v>2</v>
      </c>
      <c r="N290" s="15">
        <v>8000.0</v>
      </c>
      <c r="O290" s="15"/>
      <c r="P290" s="17">
        <f>IF(N290&gt;0, O290/N290, 0)</f>
        <v>0</v>
      </c>
      <c r="Q290" s="15">
        <f>N290-O290</f>
        <v>8000</v>
      </c>
      <c r="R290" s="15">
        <f>M290*N290</f>
        <v>16000</v>
      </c>
      <c r="S290" s="15">
        <f>M290*O290</f>
        <v>0</v>
      </c>
      <c r="T290" s="15">
        <f>M290*Q290</f>
        <v>16000</v>
      </c>
      <c r="U290" s="15"/>
      <c r="V290" s="15">
        <f>M290*U290</f>
        <v>0</v>
      </c>
      <c r="W290" s="15">
        <f>T290-V290</f>
        <v>16000</v>
      </c>
      <c r="X290" s="17">
        <f>IF(T290&gt;0, W290/T290, 0)</f>
        <v>1</v>
      </c>
      <c r="Y290" s="8" t="s">
        <v>41</v>
      </c>
      <c r="Z290" s="10" t="s">
        <v>42</v>
      </c>
      <c r="AA290" s="10" t="s">
        <v>43</v>
      </c>
      <c r="AB290" s="10" t="s">
        <v>44</v>
      </c>
      <c r="AC290" s="8" t="s">
        <v>44</v>
      </c>
    </row>
    <row r="291" spans="1:29">
      <c r="A291" s="11">
        <v>284</v>
      </c>
      <c r="B291" s="11" t="s">
        <v>511</v>
      </c>
      <c r="C291" s="11" t="s">
        <v>512</v>
      </c>
      <c r="D291" s="11" t="s">
        <v>201</v>
      </c>
      <c r="E291" s="11" t="s">
        <v>34</v>
      </c>
      <c r="F291" s="11" t="s">
        <v>35</v>
      </c>
      <c r="G291" s="9" t="s">
        <v>36</v>
      </c>
      <c r="H291" s="9" t="s">
        <v>65</v>
      </c>
      <c r="I291" s="9" t="s">
        <v>151</v>
      </c>
      <c r="J291" s="11">
        <v>176</v>
      </c>
      <c r="K291" s="11" t="s">
        <v>236</v>
      </c>
      <c r="L291" s="11" t="s">
        <v>40</v>
      </c>
      <c r="M291" s="13">
        <v>1</v>
      </c>
      <c r="N291" s="16">
        <v>9500.0</v>
      </c>
      <c r="O291" s="16"/>
      <c r="P291" s="18">
        <f>IF(N291&gt;0, O291/N291, 0)</f>
        <v>0</v>
      </c>
      <c r="Q291" s="16">
        <f>N291-O291</f>
        <v>9500</v>
      </c>
      <c r="R291" s="16">
        <f>M291*N291</f>
        <v>9500</v>
      </c>
      <c r="S291" s="16">
        <f>M291*O291</f>
        <v>0</v>
      </c>
      <c r="T291" s="16">
        <f>M291*Q291</f>
        <v>9500</v>
      </c>
      <c r="U291" s="16"/>
      <c r="V291" s="16">
        <f>M291*U291</f>
        <v>0</v>
      </c>
      <c r="W291" s="16">
        <f>T291-V291</f>
        <v>9500</v>
      </c>
      <c r="X291" s="18">
        <f>IF(T291&gt;0, W291/T291, 0)</f>
        <v>1</v>
      </c>
      <c r="Y291" s="9" t="s">
        <v>41</v>
      </c>
      <c r="Z291" s="11" t="s">
        <v>42</v>
      </c>
      <c r="AA291" s="11" t="s">
        <v>43</v>
      </c>
      <c r="AB291" s="11" t="s">
        <v>44</v>
      </c>
      <c r="AC291" s="9" t="s">
        <v>44</v>
      </c>
    </row>
    <row r="292" spans="1:29">
      <c r="A292" s="10">
        <v>285</v>
      </c>
      <c r="B292" s="10" t="s">
        <v>513</v>
      </c>
      <c r="C292" s="10" t="s">
        <v>512</v>
      </c>
      <c r="D292" s="10" t="s">
        <v>201</v>
      </c>
      <c r="E292" s="10" t="s">
        <v>34</v>
      </c>
      <c r="F292" s="10" t="s">
        <v>35</v>
      </c>
      <c r="G292" s="8" t="s">
        <v>36</v>
      </c>
      <c r="H292" s="8" t="s">
        <v>37</v>
      </c>
      <c r="I292" s="8" t="s">
        <v>38</v>
      </c>
      <c r="J292" s="10">
        <v>176</v>
      </c>
      <c r="K292" s="10" t="s">
        <v>355</v>
      </c>
      <c r="L292" s="10" t="s">
        <v>40</v>
      </c>
      <c r="M292" s="12">
        <v>2</v>
      </c>
      <c r="N292" s="15">
        <v>8000.0</v>
      </c>
      <c r="O292" s="15"/>
      <c r="P292" s="17">
        <f>IF(N292&gt;0, O292/N292, 0)</f>
        <v>0</v>
      </c>
      <c r="Q292" s="15">
        <f>N292-O292</f>
        <v>8000</v>
      </c>
      <c r="R292" s="15">
        <f>M292*N292</f>
        <v>16000</v>
      </c>
      <c r="S292" s="15">
        <f>M292*O292</f>
        <v>0</v>
      </c>
      <c r="T292" s="15">
        <f>M292*Q292</f>
        <v>16000</v>
      </c>
      <c r="U292" s="15"/>
      <c r="V292" s="15">
        <f>M292*U292</f>
        <v>0</v>
      </c>
      <c r="W292" s="15">
        <f>T292-V292</f>
        <v>16000</v>
      </c>
      <c r="X292" s="17">
        <f>IF(T292&gt;0, W292/T292, 0)</f>
        <v>1</v>
      </c>
      <c r="Y292" s="8" t="s">
        <v>41</v>
      </c>
      <c r="Z292" s="10" t="s">
        <v>42</v>
      </c>
      <c r="AA292" s="10" t="s">
        <v>43</v>
      </c>
      <c r="AB292" s="10" t="s">
        <v>44</v>
      </c>
      <c r="AC292" s="8" t="s">
        <v>44</v>
      </c>
    </row>
    <row r="293" spans="1:29">
      <c r="A293" s="11">
        <v>286</v>
      </c>
      <c r="B293" s="11" t="s">
        <v>514</v>
      </c>
      <c r="C293" s="11" t="s">
        <v>512</v>
      </c>
      <c r="D293" s="11" t="s">
        <v>201</v>
      </c>
      <c r="E293" s="11" t="s">
        <v>34</v>
      </c>
      <c r="F293" s="11" t="s">
        <v>35</v>
      </c>
      <c r="G293" s="9" t="s">
        <v>36</v>
      </c>
      <c r="H293" s="9" t="s">
        <v>47</v>
      </c>
      <c r="I293" s="9" t="s">
        <v>48</v>
      </c>
      <c r="J293" s="11">
        <v>188</v>
      </c>
      <c r="K293" s="11" t="s">
        <v>515</v>
      </c>
      <c r="L293" s="11" t="s">
        <v>40</v>
      </c>
      <c r="M293" s="13">
        <v>1</v>
      </c>
      <c r="N293" s="16">
        <v>18000.0</v>
      </c>
      <c r="O293" s="16"/>
      <c r="P293" s="18">
        <f>IF(N293&gt;0, O293/N293, 0)</f>
        <v>0</v>
      </c>
      <c r="Q293" s="16">
        <f>N293-O293</f>
        <v>18000</v>
      </c>
      <c r="R293" s="16">
        <f>M293*N293</f>
        <v>18000</v>
      </c>
      <c r="S293" s="16">
        <f>M293*O293</f>
        <v>0</v>
      </c>
      <c r="T293" s="16">
        <f>M293*Q293</f>
        <v>18000</v>
      </c>
      <c r="U293" s="16"/>
      <c r="V293" s="16">
        <f>M293*U293</f>
        <v>0</v>
      </c>
      <c r="W293" s="16">
        <f>T293-V293</f>
        <v>18000</v>
      </c>
      <c r="X293" s="18">
        <f>IF(T293&gt;0, W293/T293, 0)</f>
        <v>1</v>
      </c>
      <c r="Y293" s="9" t="s">
        <v>41</v>
      </c>
      <c r="Z293" s="11" t="s">
        <v>42</v>
      </c>
      <c r="AA293" s="11" t="s">
        <v>43</v>
      </c>
      <c r="AB293" s="11" t="s">
        <v>44</v>
      </c>
      <c r="AC293" s="9" t="s">
        <v>44</v>
      </c>
    </row>
    <row r="294" spans="1:29">
      <c r="A294" s="10">
        <v>287</v>
      </c>
      <c r="B294" s="10" t="s">
        <v>516</v>
      </c>
      <c r="C294" s="10" t="s">
        <v>512</v>
      </c>
      <c r="D294" s="10" t="s">
        <v>201</v>
      </c>
      <c r="E294" s="10" t="s">
        <v>34</v>
      </c>
      <c r="F294" s="10" t="s">
        <v>35</v>
      </c>
      <c r="G294" s="8" t="s">
        <v>36</v>
      </c>
      <c r="H294" s="8" t="s">
        <v>37</v>
      </c>
      <c r="I294" s="8" t="s">
        <v>75</v>
      </c>
      <c r="J294" s="10">
        <v>182</v>
      </c>
      <c r="K294" s="10" t="s">
        <v>357</v>
      </c>
      <c r="L294" s="10" t="s">
        <v>40</v>
      </c>
      <c r="M294" s="12">
        <v>2</v>
      </c>
      <c r="N294" s="15">
        <v>9000.0</v>
      </c>
      <c r="O294" s="15"/>
      <c r="P294" s="17">
        <f>IF(N294&gt;0, O294/N294, 0)</f>
        <v>0</v>
      </c>
      <c r="Q294" s="15">
        <f>N294-O294</f>
        <v>9000</v>
      </c>
      <c r="R294" s="15">
        <f>M294*N294</f>
        <v>18000</v>
      </c>
      <c r="S294" s="15">
        <f>M294*O294</f>
        <v>0</v>
      </c>
      <c r="T294" s="15">
        <f>M294*Q294</f>
        <v>18000</v>
      </c>
      <c r="U294" s="15"/>
      <c r="V294" s="15">
        <f>M294*U294</f>
        <v>0</v>
      </c>
      <c r="W294" s="15">
        <f>T294-V294</f>
        <v>18000</v>
      </c>
      <c r="X294" s="17">
        <f>IF(T294&gt;0, W294/T294, 0)</f>
        <v>1</v>
      </c>
      <c r="Y294" s="8" t="s">
        <v>41</v>
      </c>
      <c r="Z294" s="10" t="s">
        <v>42</v>
      </c>
      <c r="AA294" s="10" t="s">
        <v>43</v>
      </c>
      <c r="AB294" s="10" t="s">
        <v>44</v>
      </c>
      <c r="AC294" s="8" t="s">
        <v>44</v>
      </c>
    </row>
    <row r="295" spans="1:29">
      <c r="A295" s="11">
        <v>288</v>
      </c>
      <c r="B295" s="11" t="s">
        <v>517</v>
      </c>
      <c r="C295" s="11" t="s">
        <v>518</v>
      </c>
      <c r="D295" s="11" t="s">
        <v>201</v>
      </c>
      <c r="E295" s="11" t="s">
        <v>34</v>
      </c>
      <c r="F295" s="11" t="s">
        <v>35</v>
      </c>
      <c r="G295" s="9" t="s">
        <v>52</v>
      </c>
      <c r="H295" s="9" t="s">
        <v>53</v>
      </c>
      <c r="I295" s="9" t="s">
        <v>53</v>
      </c>
      <c r="J295" s="11">
        <v>134</v>
      </c>
      <c r="K295" s="11" t="s">
        <v>178</v>
      </c>
      <c r="L295" s="11" t="s">
        <v>55</v>
      </c>
      <c r="M295" s="13">
        <v>1</v>
      </c>
      <c r="N295" s="16">
        <v>8000.0</v>
      </c>
      <c r="O295" s="16"/>
      <c r="P295" s="18">
        <f>IF(N295&gt;0, O295/N295, 0)</f>
        <v>0</v>
      </c>
      <c r="Q295" s="16">
        <f>N295-O295</f>
        <v>8000</v>
      </c>
      <c r="R295" s="16">
        <f>M295*N295</f>
        <v>8000</v>
      </c>
      <c r="S295" s="16">
        <f>M295*O295</f>
        <v>0</v>
      </c>
      <c r="T295" s="16">
        <f>M295*Q295</f>
        <v>8000</v>
      </c>
      <c r="U295" s="16"/>
      <c r="V295" s="16">
        <f>M295*U295</f>
        <v>0</v>
      </c>
      <c r="W295" s="16">
        <f>T295-V295</f>
        <v>8000</v>
      </c>
      <c r="X295" s="18">
        <f>IF(T295&gt;0, W295/T295, 0)</f>
        <v>1</v>
      </c>
      <c r="Y295" s="9" t="s">
        <v>41</v>
      </c>
      <c r="Z295" s="11" t="s">
        <v>42</v>
      </c>
      <c r="AA295" s="11" t="s">
        <v>43</v>
      </c>
      <c r="AB295" s="11" t="s">
        <v>44</v>
      </c>
      <c r="AC295" s="9" t="s">
        <v>44</v>
      </c>
    </row>
    <row r="296" spans="1:29">
      <c r="A296" s="10">
        <v>289</v>
      </c>
      <c r="B296" s="10" t="s">
        <v>519</v>
      </c>
      <c r="C296" s="10" t="s">
        <v>520</v>
      </c>
      <c r="D296" s="10" t="s">
        <v>201</v>
      </c>
      <c r="E296" s="10" t="s">
        <v>70</v>
      </c>
      <c r="F296" s="10" t="s">
        <v>35</v>
      </c>
      <c r="G296" s="8" t="s">
        <v>36</v>
      </c>
      <c r="H296" s="8" t="s">
        <v>71</v>
      </c>
      <c r="I296" s="8" t="s">
        <v>71</v>
      </c>
      <c r="J296" s="10">
        <v>176</v>
      </c>
      <c r="K296" s="10" t="s">
        <v>206</v>
      </c>
      <c r="L296" s="10" t="s">
        <v>40</v>
      </c>
      <c r="M296" s="12">
        <v>1</v>
      </c>
      <c r="N296" s="15">
        <v>17000.0</v>
      </c>
      <c r="O296" s="15"/>
      <c r="P296" s="17">
        <f>IF(N296&gt;0, O296/N296, 0)</f>
        <v>0</v>
      </c>
      <c r="Q296" s="15">
        <f>N296-O296</f>
        <v>17000</v>
      </c>
      <c r="R296" s="15">
        <f>M296*N296</f>
        <v>17000</v>
      </c>
      <c r="S296" s="15">
        <f>M296*O296</f>
        <v>0</v>
      </c>
      <c r="T296" s="15">
        <f>M296*Q296</f>
        <v>17000</v>
      </c>
      <c r="U296" s="15"/>
      <c r="V296" s="15">
        <f>M296*U296</f>
        <v>0</v>
      </c>
      <c r="W296" s="15">
        <f>T296-V296</f>
        <v>17000</v>
      </c>
      <c r="X296" s="17">
        <f>IF(T296&gt;0, W296/T296, 0)</f>
        <v>1</v>
      </c>
      <c r="Y296" s="8" t="s">
        <v>41</v>
      </c>
      <c r="Z296" s="10" t="s">
        <v>42</v>
      </c>
      <c r="AA296" s="10" t="s">
        <v>73</v>
      </c>
      <c r="AB296" s="10" t="s">
        <v>44</v>
      </c>
      <c r="AC296" s="8" t="s">
        <v>44</v>
      </c>
    </row>
    <row r="297" spans="1:29">
      <c r="A297" s="11">
        <v>290</v>
      </c>
      <c r="B297" s="11" t="s">
        <v>521</v>
      </c>
      <c r="C297" s="11" t="s">
        <v>520</v>
      </c>
      <c r="D297" s="11" t="s">
        <v>201</v>
      </c>
      <c r="E297" s="11" t="s">
        <v>34</v>
      </c>
      <c r="F297" s="11" t="s">
        <v>35</v>
      </c>
      <c r="G297" s="9" t="s">
        <v>36</v>
      </c>
      <c r="H297" s="9" t="s">
        <v>53</v>
      </c>
      <c r="I297" s="9" t="s">
        <v>53</v>
      </c>
      <c r="J297" s="11">
        <v>176</v>
      </c>
      <c r="K297" s="11" t="s">
        <v>421</v>
      </c>
      <c r="L297" s="11" t="s">
        <v>40</v>
      </c>
      <c r="M297" s="13">
        <v>1</v>
      </c>
      <c r="N297" s="16">
        <v>8500.0</v>
      </c>
      <c r="O297" s="16"/>
      <c r="P297" s="18">
        <f>IF(N297&gt;0, O297/N297, 0)</f>
        <v>0</v>
      </c>
      <c r="Q297" s="16">
        <f>N297-O297</f>
        <v>8500</v>
      </c>
      <c r="R297" s="16">
        <f>M297*N297</f>
        <v>8500</v>
      </c>
      <c r="S297" s="16">
        <f>M297*O297</f>
        <v>0</v>
      </c>
      <c r="T297" s="16">
        <f>M297*Q297</f>
        <v>8500</v>
      </c>
      <c r="U297" s="16"/>
      <c r="V297" s="16">
        <f>M297*U297</f>
        <v>0</v>
      </c>
      <c r="W297" s="16">
        <f>T297-V297</f>
        <v>8500</v>
      </c>
      <c r="X297" s="18">
        <f>IF(T297&gt;0, W297/T297, 0)</f>
        <v>1</v>
      </c>
      <c r="Y297" s="9" t="s">
        <v>41</v>
      </c>
      <c r="Z297" s="11" t="s">
        <v>42</v>
      </c>
      <c r="AA297" s="11" t="s">
        <v>43</v>
      </c>
      <c r="AB297" s="11" t="s">
        <v>44</v>
      </c>
      <c r="AC297" s="9" t="s">
        <v>44</v>
      </c>
    </row>
    <row r="298" spans="1:29">
      <c r="A298" s="10">
        <v>291</v>
      </c>
      <c r="B298" s="10" t="s">
        <v>522</v>
      </c>
      <c r="C298" s="10" t="s">
        <v>520</v>
      </c>
      <c r="D298" s="10" t="s">
        <v>201</v>
      </c>
      <c r="E298" s="10" t="s">
        <v>34</v>
      </c>
      <c r="F298" s="10" t="s">
        <v>35</v>
      </c>
      <c r="G298" s="8" t="s">
        <v>36</v>
      </c>
      <c r="H298" s="8" t="s">
        <v>37</v>
      </c>
      <c r="I298" s="8" t="s">
        <v>75</v>
      </c>
      <c r="J298" s="10">
        <v>176</v>
      </c>
      <c r="K298" s="10" t="s">
        <v>423</v>
      </c>
      <c r="L298" s="10" t="s">
        <v>40</v>
      </c>
      <c r="M298" s="12">
        <v>1</v>
      </c>
      <c r="N298" s="15">
        <v>9000.0</v>
      </c>
      <c r="O298" s="15"/>
      <c r="P298" s="17">
        <f>IF(N298&gt;0, O298/N298, 0)</f>
        <v>0</v>
      </c>
      <c r="Q298" s="15">
        <f>N298-O298</f>
        <v>9000</v>
      </c>
      <c r="R298" s="15">
        <f>M298*N298</f>
        <v>9000</v>
      </c>
      <c r="S298" s="15">
        <f>M298*O298</f>
        <v>0</v>
      </c>
      <c r="T298" s="15">
        <f>M298*Q298</f>
        <v>9000</v>
      </c>
      <c r="U298" s="15"/>
      <c r="V298" s="15">
        <f>M298*U298</f>
        <v>0</v>
      </c>
      <c r="W298" s="15">
        <f>T298-V298</f>
        <v>9000</v>
      </c>
      <c r="X298" s="17">
        <f>IF(T298&gt;0, W298/T298, 0)</f>
        <v>1</v>
      </c>
      <c r="Y298" s="8" t="s">
        <v>41</v>
      </c>
      <c r="Z298" s="10" t="s">
        <v>42</v>
      </c>
      <c r="AA298" s="10" t="s">
        <v>43</v>
      </c>
      <c r="AB298" s="10" t="s">
        <v>44</v>
      </c>
      <c r="AC298" s="8" t="s">
        <v>44</v>
      </c>
    </row>
    <row r="299" spans="1:29">
      <c r="A299" s="11">
        <v>292</v>
      </c>
      <c r="B299" s="11" t="s">
        <v>523</v>
      </c>
      <c r="C299" s="11" t="s">
        <v>520</v>
      </c>
      <c r="D299" s="11" t="s">
        <v>201</v>
      </c>
      <c r="E299" s="11" t="s">
        <v>34</v>
      </c>
      <c r="F299" s="11" t="s">
        <v>35</v>
      </c>
      <c r="G299" s="9" t="s">
        <v>36</v>
      </c>
      <c r="H299" s="9" t="s">
        <v>37</v>
      </c>
      <c r="I299" s="9" t="s">
        <v>38</v>
      </c>
      <c r="J299" s="11">
        <v>176</v>
      </c>
      <c r="K299" s="11" t="s">
        <v>355</v>
      </c>
      <c r="L299" s="11" t="s">
        <v>40</v>
      </c>
      <c r="M299" s="13">
        <v>1</v>
      </c>
      <c r="N299" s="16">
        <v>8000.0</v>
      </c>
      <c r="O299" s="16"/>
      <c r="P299" s="18">
        <f>IF(N299&gt;0, O299/N299, 0)</f>
        <v>0</v>
      </c>
      <c r="Q299" s="16">
        <f>N299-O299</f>
        <v>8000</v>
      </c>
      <c r="R299" s="16">
        <f>M299*N299</f>
        <v>8000</v>
      </c>
      <c r="S299" s="16">
        <f>M299*O299</f>
        <v>0</v>
      </c>
      <c r="T299" s="16">
        <f>M299*Q299</f>
        <v>8000</v>
      </c>
      <c r="U299" s="16"/>
      <c r="V299" s="16">
        <f>M299*U299</f>
        <v>0</v>
      </c>
      <c r="W299" s="16">
        <f>T299-V299</f>
        <v>8000</v>
      </c>
      <c r="X299" s="18">
        <f>IF(T299&gt;0, W299/T299, 0)</f>
        <v>1</v>
      </c>
      <c r="Y299" s="9" t="s">
        <v>41</v>
      </c>
      <c r="Z299" s="11" t="s">
        <v>42</v>
      </c>
      <c r="AA299" s="11" t="s">
        <v>43</v>
      </c>
      <c r="AB299" s="11" t="s">
        <v>44</v>
      </c>
      <c r="AC299" s="9" t="s">
        <v>44</v>
      </c>
    </row>
    <row r="300" spans="1:29">
      <c r="A300" s="10">
        <v>293</v>
      </c>
      <c r="B300" s="10" t="s">
        <v>524</v>
      </c>
      <c r="C300" s="10" t="s">
        <v>525</v>
      </c>
      <c r="D300" s="10" t="s">
        <v>201</v>
      </c>
      <c r="E300" s="10" t="s">
        <v>70</v>
      </c>
      <c r="F300" s="10" t="s">
        <v>35</v>
      </c>
      <c r="G300" s="8" t="s">
        <v>52</v>
      </c>
      <c r="H300" s="8" t="s">
        <v>37</v>
      </c>
      <c r="I300" s="8" t="s">
        <v>75</v>
      </c>
      <c r="J300" s="10">
        <v>134</v>
      </c>
      <c r="K300" s="10" t="s">
        <v>149</v>
      </c>
      <c r="L300" s="10" t="s">
        <v>55</v>
      </c>
      <c r="M300" s="12">
        <v>1</v>
      </c>
      <c r="N300" s="15">
        <v>10000.0</v>
      </c>
      <c r="O300" s="15"/>
      <c r="P300" s="17">
        <f>IF(N300&gt;0, O300/N300, 0)</f>
        <v>0</v>
      </c>
      <c r="Q300" s="15">
        <f>N300-O300</f>
        <v>10000</v>
      </c>
      <c r="R300" s="15">
        <f>M300*N300</f>
        <v>10000</v>
      </c>
      <c r="S300" s="15">
        <f>M300*O300</f>
        <v>0</v>
      </c>
      <c r="T300" s="15">
        <f>M300*Q300</f>
        <v>10000</v>
      </c>
      <c r="U300" s="15"/>
      <c r="V300" s="15">
        <f>M300*U300</f>
        <v>0</v>
      </c>
      <c r="W300" s="15">
        <f>T300-V300</f>
        <v>10000</v>
      </c>
      <c r="X300" s="17">
        <f>IF(T300&gt;0, W300/T300, 0)</f>
        <v>1</v>
      </c>
      <c r="Y300" s="8" t="s">
        <v>41</v>
      </c>
      <c r="Z300" s="10" t="s">
        <v>42</v>
      </c>
      <c r="AA300" s="10" t="s">
        <v>73</v>
      </c>
      <c r="AB300" s="10" t="s">
        <v>44</v>
      </c>
      <c r="AC300" s="8" t="s">
        <v>44</v>
      </c>
    </row>
    <row r="301" spans="1:29">
      <c r="A301" s="11">
        <v>294</v>
      </c>
      <c r="B301" s="11" t="s">
        <v>526</v>
      </c>
      <c r="C301" s="11" t="s">
        <v>525</v>
      </c>
      <c r="D301" s="11" t="s">
        <v>201</v>
      </c>
      <c r="E301" s="11" t="s">
        <v>34</v>
      </c>
      <c r="F301" s="11" t="s">
        <v>35</v>
      </c>
      <c r="G301" s="9" t="s">
        <v>52</v>
      </c>
      <c r="H301" s="9" t="s">
        <v>71</v>
      </c>
      <c r="I301" s="9" t="s">
        <v>71</v>
      </c>
      <c r="J301" s="11">
        <v>134</v>
      </c>
      <c r="K301" s="11" t="s">
        <v>212</v>
      </c>
      <c r="L301" s="11" t="s">
        <v>40</v>
      </c>
      <c r="M301" s="13">
        <v>1</v>
      </c>
      <c r="N301" s="16">
        <v>16000.0</v>
      </c>
      <c r="O301" s="16"/>
      <c r="P301" s="18">
        <f>IF(N301&gt;0, O301/N301, 0)</f>
        <v>0</v>
      </c>
      <c r="Q301" s="16">
        <f>N301-O301</f>
        <v>16000</v>
      </c>
      <c r="R301" s="16">
        <f>M301*N301</f>
        <v>16000</v>
      </c>
      <c r="S301" s="16">
        <f>M301*O301</f>
        <v>0</v>
      </c>
      <c r="T301" s="16">
        <f>M301*Q301</f>
        <v>16000</v>
      </c>
      <c r="U301" s="16"/>
      <c r="V301" s="16">
        <f>M301*U301</f>
        <v>0</v>
      </c>
      <c r="W301" s="16">
        <f>T301-V301</f>
        <v>16000</v>
      </c>
      <c r="X301" s="18">
        <f>IF(T301&gt;0, W301/T301, 0)</f>
        <v>1</v>
      </c>
      <c r="Y301" s="9" t="s">
        <v>41</v>
      </c>
      <c r="Z301" s="11" t="s">
        <v>42</v>
      </c>
      <c r="AA301" s="11" t="s">
        <v>43</v>
      </c>
      <c r="AB301" s="11" t="s">
        <v>44</v>
      </c>
      <c r="AC301" s="9" t="s">
        <v>44</v>
      </c>
    </row>
    <row r="302" spans="1:29">
      <c r="A302" s="10">
        <v>295</v>
      </c>
      <c r="B302" s="10" t="s">
        <v>527</v>
      </c>
      <c r="C302" s="10" t="s">
        <v>525</v>
      </c>
      <c r="D302" s="10" t="s">
        <v>201</v>
      </c>
      <c r="E302" s="10" t="s">
        <v>34</v>
      </c>
      <c r="F302" s="10" t="s">
        <v>35</v>
      </c>
      <c r="G302" s="8" t="s">
        <v>52</v>
      </c>
      <c r="H302" s="8" t="s">
        <v>53</v>
      </c>
      <c r="I302" s="8" t="s">
        <v>53</v>
      </c>
      <c r="J302" s="10">
        <v>134</v>
      </c>
      <c r="K302" s="10" t="s">
        <v>178</v>
      </c>
      <c r="L302" s="10" t="s">
        <v>55</v>
      </c>
      <c r="M302" s="12">
        <v>1</v>
      </c>
      <c r="N302" s="15">
        <v>8000.0</v>
      </c>
      <c r="O302" s="15"/>
      <c r="P302" s="17">
        <f>IF(N302&gt;0, O302/N302, 0)</f>
        <v>0</v>
      </c>
      <c r="Q302" s="15">
        <f>N302-O302</f>
        <v>8000</v>
      </c>
      <c r="R302" s="15">
        <f>M302*N302</f>
        <v>8000</v>
      </c>
      <c r="S302" s="15">
        <f>M302*O302</f>
        <v>0</v>
      </c>
      <c r="T302" s="15">
        <f>M302*Q302</f>
        <v>8000</v>
      </c>
      <c r="U302" s="15"/>
      <c r="V302" s="15">
        <f>M302*U302</f>
        <v>0</v>
      </c>
      <c r="W302" s="15">
        <f>T302-V302</f>
        <v>8000</v>
      </c>
      <c r="X302" s="17">
        <f>IF(T302&gt;0, W302/T302, 0)</f>
        <v>1</v>
      </c>
      <c r="Y302" s="8" t="s">
        <v>41</v>
      </c>
      <c r="Z302" s="10" t="s">
        <v>42</v>
      </c>
      <c r="AA302" s="10" t="s">
        <v>43</v>
      </c>
      <c r="AB302" s="10" t="s">
        <v>44</v>
      </c>
      <c r="AC302" s="8" t="s">
        <v>44</v>
      </c>
    </row>
    <row r="303" spans="1:29">
      <c r="A303" s="11">
        <v>296</v>
      </c>
      <c r="B303" s="11" t="s">
        <v>528</v>
      </c>
      <c r="C303" s="11" t="s">
        <v>525</v>
      </c>
      <c r="D303" s="11" t="s">
        <v>201</v>
      </c>
      <c r="E303" s="11" t="s">
        <v>34</v>
      </c>
      <c r="F303" s="11" t="s">
        <v>35</v>
      </c>
      <c r="G303" s="9" t="s">
        <v>52</v>
      </c>
      <c r="H303" s="9" t="s">
        <v>37</v>
      </c>
      <c r="I303" s="9" t="s">
        <v>38</v>
      </c>
      <c r="J303" s="11">
        <v>134</v>
      </c>
      <c r="K303" s="11" t="s">
        <v>180</v>
      </c>
      <c r="L303" s="11" t="s">
        <v>55</v>
      </c>
      <c r="M303" s="13">
        <v>1</v>
      </c>
      <c r="N303" s="16">
        <v>7000.0</v>
      </c>
      <c r="O303" s="16"/>
      <c r="P303" s="18">
        <f>IF(N303&gt;0, O303/N303, 0)</f>
        <v>0</v>
      </c>
      <c r="Q303" s="16">
        <f>N303-O303</f>
        <v>7000</v>
      </c>
      <c r="R303" s="16">
        <f>M303*N303</f>
        <v>7000</v>
      </c>
      <c r="S303" s="16">
        <f>M303*O303</f>
        <v>0</v>
      </c>
      <c r="T303" s="16">
        <f>M303*Q303</f>
        <v>7000</v>
      </c>
      <c r="U303" s="16"/>
      <c r="V303" s="16">
        <f>M303*U303</f>
        <v>0</v>
      </c>
      <c r="W303" s="16">
        <f>T303-V303</f>
        <v>7000</v>
      </c>
      <c r="X303" s="18">
        <f>IF(T303&gt;0, W303/T303, 0)</f>
        <v>1</v>
      </c>
      <c r="Y303" s="9" t="s">
        <v>41</v>
      </c>
      <c r="Z303" s="11" t="s">
        <v>42</v>
      </c>
      <c r="AA303" s="11" t="s">
        <v>43</v>
      </c>
      <c r="AB303" s="11" t="s">
        <v>44</v>
      </c>
      <c r="AC303" s="9" t="s">
        <v>44</v>
      </c>
    </row>
    <row r="304" spans="1:29">
      <c r="A304" s="10">
        <v>297</v>
      </c>
      <c r="B304" s="10" t="s">
        <v>529</v>
      </c>
      <c r="C304" s="10" t="s">
        <v>525</v>
      </c>
      <c r="D304" s="10" t="s">
        <v>201</v>
      </c>
      <c r="E304" s="10" t="s">
        <v>70</v>
      </c>
      <c r="F304" s="10" t="s">
        <v>35</v>
      </c>
      <c r="G304" s="8" t="s">
        <v>36</v>
      </c>
      <c r="H304" s="8" t="s">
        <v>53</v>
      </c>
      <c r="I304" s="8" t="s">
        <v>53</v>
      </c>
      <c r="J304" s="10">
        <v>146</v>
      </c>
      <c r="K304" s="10" t="s">
        <v>327</v>
      </c>
      <c r="L304" s="10" t="s">
        <v>40</v>
      </c>
      <c r="M304" s="12">
        <v>1</v>
      </c>
      <c r="N304" s="15">
        <v>10000.0</v>
      </c>
      <c r="O304" s="15"/>
      <c r="P304" s="17">
        <f>IF(N304&gt;0, O304/N304, 0)</f>
        <v>0</v>
      </c>
      <c r="Q304" s="15">
        <f>N304-O304</f>
        <v>10000</v>
      </c>
      <c r="R304" s="15">
        <f>M304*N304</f>
        <v>10000</v>
      </c>
      <c r="S304" s="15">
        <f>M304*O304</f>
        <v>0</v>
      </c>
      <c r="T304" s="15">
        <f>M304*Q304</f>
        <v>10000</v>
      </c>
      <c r="U304" s="15"/>
      <c r="V304" s="15">
        <f>M304*U304</f>
        <v>0</v>
      </c>
      <c r="W304" s="15">
        <f>T304-V304</f>
        <v>10000</v>
      </c>
      <c r="X304" s="17">
        <f>IF(T304&gt;0, W304/T304, 0)</f>
        <v>1</v>
      </c>
      <c r="Y304" s="8" t="s">
        <v>41</v>
      </c>
      <c r="Z304" s="10" t="s">
        <v>42</v>
      </c>
      <c r="AA304" s="10" t="s">
        <v>73</v>
      </c>
      <c r="AB304" s="10" t="s">
        <v>44</v>
      </c>
      <c r="AC304" s="8" t="s">
        <v>44</v>
      </c>
    </row>
    <row r="305" spans="1:29">
      <c r="A305" s="11">
        <v>298</v>
      </c>
      <c r="B305" s="11" t="s">
        <v>530</v>
      </c>
      <c r="C305" s="11" t="s">
        <v>525</v>
      </c>
      <c r="D305" s="11" t="s">
        <v>201</v>
      </c>
      <c r="E305" s="11" t="s">
        <v>70</v>
      </c>
      <c r="F305" s="11" t="s">
        <v>35</v>
      </c>
      <c r="G305" s="9" t="s">
        <v>36</v>
      </c>
      <c r="H305" s="9" t="s">
        <v>37</v>
      </c>
      <c r="I305" s="9" t="s">
        <v>38</v>
      </c>
      <c r="J305" s="11">
        <v>146</v>
      </c>
      <c r="K305" s="11" t="s">
        <v>531</v>
      </c>
      <c r="L305" s="11" t="s">
        <v>40</v>
      </c>
      <c r="M305" s="13">
        <v>1</v>
      </c>
      <c r="N305" s="16">
        <v>10000.0</v>
      </c>
      <c r="O305" s="16"/>
      <c r="P305" s="18">
        <f>IF(N305&gt;0, O305/N305, 0)</f>
        <v>0</v>
      </c>
      <c r="Q305" s="16">
        <f>N305-O305</f>
        <v>10000</v>
      </c>
      <c r="R305" s="16">
        <f>M305*N305</f>
        <v>10000</v>
      </c>
      <c r="S305" s="16">
        <f>M305*O305</f>
        <v>0</v>
      </c>
      <c r="T305" s="16">
        <f>M305*Q305</f>
        <v>10000</v>
      </c>
      <c r="U305" s="16"/>
      <c r="V305" s="16">
        <f>M305*U305</f>
        <v>0</v>
      </c>
      <c r="W305" s="16">
        <f>T305-V305</f>
        <v>10000</v>
      </c>
      <c r="X305" s="18">
        <f>IF(T305&gt;0, W305/T305, 0)</f>
        <v>1</v>
      </c>
      <c r="Y305" s="9" t="s">
        <v>41</v>
      </c>
      <c r="Z305" s="11" t="s">
        <v>42</v>
      </c>
      <c r="AA305" s="11" t="s">
        <v>73</v>
      </c>
      <c r="AB305" s="11" t="s">
        <v>44</v>
      </c>
      <c r="AC305" s="9" t="s">
        <v>44</v>
      </c>
    </row>
    <row r="306" spans="1:29">
      <c r="A306" s="10">
        <v>299</v>
      </c>
      <c r="B306" s="10" t="s">
        <v>532</v>
      </c>
      <c r="C306" s="10" t="s">
        <v>533</v>
      </c>
      <c r="D306" s="10" t="s">
        <v>201</v>
      </c>
      <c r="E306" s="10" t="s">
        <v>34</v>
      </c>
      <c r="F306" s="10" t="s">
        <v>35</v>
      </c>
      <c r="G306" s="8" t="s">
        <v>52</v>
      </c>
      <c r="H306" s="8" t="s">
        <v>71</v>
      </c>
      <c r="I306" s="8" t="s">
        <v>71</v>
      </c>
      <c r="J306" s="10">
        <v>140</v>
      </c>
      <c r="K306" s="10" t="s">
        <v>228</v>
      </c>
      <c r="L306" s="10" t="s">
        <v>40</v>
      </c>
      <c r="M306" s="12">
        <v>1</v>
      </c>
      <c r="N306" s="15">
        <v>17000.0</v>
      </c>
      <c r="O306" s="15"/>
      <c r="P306" s="17">
        <f>IF(N306&gt;0, O306/N306, 0)</f>
        <v>0</v>
      </c>
      <c r="Q306" s="15">
        <f>N306-O306</f>
        <v>17000</v>
      </c>
      <c r="R306" s="15">
        <f>M306*N306</f>
        <v>17000</v>
      </c>
      <c r="S306" s="15">
        <f>M306*O306</f>
        <v>0</v>
      </c>
      <c r="T306" s="15">
        <f>M306*Q306</f>
        <v>17000</v>
      </c>
      <c r="U306" s="15"/>
      <c r="V306" s="15">
        <f>M306*U306</f>
        <v>0</v>
      </c>
      <c r="W306" s="15">
        <f>T306-V306</f>
        <v>17000</v>
      </c>
      <c r="X306" s="17">
        <f>IF(T306&gt;0, W306/T306, 0)</f>
        <v>1</v>
      </c>
      <c r="Y306" s="8" t="s">
        <v>41</v>
      </c>
      <c r="Z306" s="10" t="s">
        <v>42</v>
      </c>
      <c r="AA306" s="10" t="s">
        <v>43</v>
      </c>
      <c r="AB306" s="10" t="s">
        <v>44</v>
      </c>
      <c r="AC306" s="8" t="s">
        <v>44</v>
      </c>
    </row>
    <row r="307" spans="1:29">
      <c r="A307" s="11">
        <v>300</v>
      </c>
      <c r="B307" s="11" t="s">
        <v>534</v>
      </c>
      <c r="C307" s="11" t="s">
        <v>533</v>
      </c>
      <c r="D307" s="11" t="s">
        <v>201</v>
      </c>
      <c r="E307" s="11" t="s">
        <v>34</v>
      </c>
      <c r="F307" s="11" t="s">
        <v>35</v>
      </c>
      <c r="G307" s="9" t="s">
        <v>36</v>
      </c>
      <c r="H307" s="9" t="s">
        <v>37</v>
      </c>
      <c r="I307" s="9" t="s">
        <v>75</v>
      </c>
      <c r="J307" s="11">
        <v>176</v>
      </c>
      <c r="K307" s="11" t="s">
        <v>423</v>
      </c>
      <c r="L307" s="11" t="s">
        <v>40</v>
      </c>
      <c r="M307" s="13">
        <v>1</v>
      </c>
      <c r="N307" s="16">
        <v>9000.0</v>
      </c>
      <c r="O307" s="16"/>
      <c r="P307" s="18">
        <f>IF(N307&gt;0, O307/N307, 0)</f>
        <v>0</v>
      </c>
      <c r="Q307" s="16">
        <f>N307-O307</f>
        <v>9000</v>
      </c>
      <c r="R307" s="16">
        <f>M307*N307</f>
        <v>9000</v>
      </c>
      <c r="S307" s="16">
        <f>M307*O307</f>
        <v>0</v>
      </c>
      <c r="T307" s="16">
        <f>M307*Q307</f>
        <v>9000</v>
      </c>
      <c r="U307" s="16"/>
      <c r="V307" s="16">
        <f>M307*U307</f>
        <v>0</v>
      </c>
      <c r="W307" s="16">
        <f>T307-V307</f>
        <v>9000</v>
      </c>
      <c r="X307" s="18">
        <f>IF(T307&gt;0, W307/T307, 0)</f>
        <v>1</v>
      </c>
      <c r="Y307" s="9" t="s">
        <v>41</v>
      </c>
      <c r="Z307" s="11" t="s">
        <v>42</v>
      </c>
      <c r="AA307" s="11" t="s">
        <v>43</v>
      </c>
      <c r="AB307" s="11" t="s">
        <v>44</v>
      </c>
      <c r="AC307" s="9" t="s">
        <v>44</v>
      </c>
    </row>
    <row r="308" spans="1:29">
      <c r="A308" s="10">
        <v>301</v>
      </c>
      <c r="B308" s="10" t="s">
        <v>535</v>
      </c>
      <c r="C308" s="10" t="s">
        <v>533</v>
      </c>
      <c r="D308" s="10" t="s">
        <v>201</v>
      </c>
      <c r="E308" s="10" t="s">
        <v>34</v>
      </c>
      <c r="F308" s="10" t="s">
        <v>35</v>
      </c>
      <c r="G308" s="8" t="s">
        <v>52</v>
      </c>
      <c r="H308" s="8" t="s">
        <v>37</v>
      </c>
      <c r="I308" s="8" t="s">
        <v>75</v>
      </c>
      <c r="J308" s="10">
        <v>158</v>
      </c>
      <c r="K308" s="10" t="s">
        <v>536</v>
      </c>
      <c r="L308" s="10" t="s">
        <v>55</v>
      </c>
      <c r="M308" s="12">
        <v>1</v>
      </c>
      <c r="N308" s="15">
        <v>8000.0</v>
      </c>
      <c r="O308" s="15"/>
      <c r="P308" s="17">
        <f>IF(N308&gt;0, O308/N308, 0)</f>
        <v>0</v>
      </c>
      <c r="Q308" s="15">
        <f>N308-O308</f>
        <v>8000</v>
      </c>
      <c r="R308" s="15">
        <f>M308*N308</f>
        <v>8000</v>
      </c>
      <c r="S308" s="15">
        <f>M308*O308</f>
        <v>0</v>
      </c>
      <c r="T308" s="15">
        <f>M308*Q308</f>
        <v>8000</v>
      </c>
      <c r="U308" s="15"/>
      <c r="V308" s="15">
        <f>M308*U308</f>
        <v>0</v>
      </c>
      <c r="W308" s="15">
        <f>T308-V308</f>
        <v>8000</v>
      </c>
      <c r="X308" s="17">
        <f>IF(T308&gt;0, W308/T308, 0)</f>
        <v>1</v>
      </c>
      <c r="Y308" s="8" t="s">
        <v>41</v>
      </c>
      <c r="Z308" s="10" t="s">
        <v>42</v>
      </c>
      <c r="AA308" s="10" t="s">
        <v>43</v>
      </c>
      <c r="AB308" s="10" t="s">
        <v>44</v>
      </c>
      <c r="AC308" s="8" t="s">
        <v>44</v>
      </c>
    </row>
    <row r="309" spans="1:29">
      <c r="A309" s="11">
        <v>302</v>
      </c>
      <c r="B309" s="11" t="s">
        <v>537</v>
      </c>
      <c r="C309" s="11" t="s">
        <v>533</v>
      </c>
      <c r="D309" s="11" t="s">
        <v>201</v>
      </c>
      <c r="E309" s="11" t="s">
        <v>34</v>
      </c>
      <c r="F309" s="11" t="s">
        <v>35</v>
      </c>
      <c r="G309" s="9" t="s">
        <v>52</v>
      </c>
      <c r="H309" s="9" t="s">
        <v>53</v>
      </c>
      <c r="I309" s="9" t="s">
        <v>53</v>
      </c>
      <c r="J309" s="11">
        <v>164</v>
      </c>
      <c r="K309" s="11" t="s">
        <v>407</v>
      </c>
      <c r="L309" s="11" t="s">
        <v>55</v>
      </c>
      <c r="M309" s="13">
        <v>1</v>
      </c>
      <c r="N309" s="16">
        <v>8500.0</v>
      </c>
      <c r="O309" s="16"/>
      <c r="P309" s="18">
        <f>IF(N309&gt;0, O309/N309, 0)</f>
        <v>0</v>
      </c>
      <c r="Q309" s="16">
        <f>N309-O309</f>
        <v>8500</v>
      </c>
      <c r="R309" s="16">
        <f>M309*N309</f>
        <v>8500</v>
      </c>
      <c r="S309" s="16">
        <f>M309*O309</f>
        <v>0</v>
      </c>
      <c r="T309" s="16">
        <f>M309*Q309</f>
        <v>8500</v>
      </c>
      <c r="U309" s="16"/>
      <c r="V309" s="16">
        <f>M309*U309</f>
        <v>0</v>
      </c>
      <c r="W309" s="16">
        <f>T309-V309</f>
        <v>8500</v>
      </c>
      <c r="X309" s="18">
        <f>IF(T309&gt;0, W309/T309, 0)</f>
        <v>1</v>
      </c>
      <c r="Y309" s="9" t="s">
        <v>41</v>
      </c>
      <c r="Z309" s="11" t="s">
        <v>42</v>
      </c>
      <c r="AA309" s="11" t="s">
        <v>43</v>
      </c>
      <c r="AB309" s="11" t="s">
        <v>44</v>
      </c>
      <c r="AC309" s="9" t="s">
        <v>44</v>
      </c>
    </row>
    <row r="310" spans="1:29">
      <c r="A310" s="10">
        <v>303</v>
      </c>
      <c r="B310" s="10" t="s">
        <v>538</v>
      </c>
      <c r="C310" s="10" t="s">
        <v>533</v>
      </c>
      <c r="D310" s="10" t="s">
        <v>201</v>
      </c>
      <c r="E310" s="10" t="s">
        <v>34</v>
      </c>
      <c r="F310" s="10" t="s">
        <v>35</v>
      </c>
      <c r="G310" s="8" t="s">
        <v>36</v>
      </c>
      <c r="H310" s="8" t="s">
        <v>53</v>
      </c>
      <c r="I310" s="8" t="s">
        <v>53</v>
      </c>
      <c r="J310" s="10">
        <v>164</v>
      </c>
      <c r="K310" s="10" t="s">
        <v>63</v>
      </c>
      <c r="L310" s="10" t="s">
        <v>40</v>
      </c>
      <c r="M310" s="12">
        <v>1</v>
      </c>
      <c r="N310" s="15">
        <v>8500.0</v>
      </c>
      <c r="O310" s="15"/>
      <c r="P310" s="17">
        <f>IF(N310&gt;0, O310/N310, 0)</f>
        <v>0</v>
      </c>
      <c r="Q310" s="15">
        <f>N310-O310</f>
        <v>8500</v>
      </c>
      <c r="R310" s="15">
        <f>M310*N310</f>
        <v>8500</v>
      </c>
      <c r="S310" s="15">
        <f>M310*O310</f>
        <v>0</v>
      </c>
      <c r="T310" s="15">
        <f>M310*Q310</f>
        <v>8500</v>
      </c>
      <c r="U310" s="15"/>
      <c r="V310" s="15">
        <f>M310*U310</f>
        <v>0</v>
      </c>
      <c r="W310" s="15">
        <f>T310-V310</f>
        <v>8500</v>
      </c>
      <c r="X310" s="17">
        <f>IF(T310&gt;0, W310/T310, 0)</f>
        <v>1</v>
      </c>
      <c r="Y310" s="8" t="s">
        <v>41</v>
      </c>
      <c r="Z310" s="10" t="s">
        <v>42</v>
      </c>
      <c r="AA310" s="10" t="s">
        <v>43</v>
      </c>
      <c r="AB310" s="10" t="s">
        <v>44</v>
      </c>
      <c r="AC310" s="8" t="s">
        <v>44</v>
      </c>
    </row>
    <row r="311" spans="1:29">
      <c r="A311" s="11">
        <v>304</v>
      </c>
      <c r="B311" s="11" t="s">
        <v>539</v>
      </c>
      <c r="C311" s="11" t="s">
        <v>533</v>
      </c>
      <c r="D311" s="11" t="s">
        <v>201</v>
      </c>
      <c r="E311" s="11" t="s">
        <v>34</v>
      </c>
      <c r="F311" s="11" t="s">
        <v>35</v>
      </c>
      <c r="G311" s="9" t="s">
        <v>36</v>
      </c>
      <c r="H311" s="9" t="s">
        <v>47</v>
      </c>
      <c r="I311" s="9" t="s">
        <v>48</v>
      </c>
      <c r="J311" s="11">
        <v>170</v>
      </c>
      <c r="K311" s="11" t="s">
        <v>184</v>
      </c>
      <c r="L311" s="11" t="s">
        <v>40</v>
      </c>
      <c r="M311" s="13">
        <v>1</v>
      </c>
      <c r="N311" s="16">
        <v>18000.0</v>
      </c>
      <c r="O311" s="16"/>
      <c r="P311" s="18">
        <f>IF(N311&gt;0, O311/N311, 0)</f>
        <v>0</v>
      </c>
      <c r="Q311" s="16">
        <f>N311-O311</f>
        <v>18000</v>
      </c>
      <c r="R311" s="16">
        <f>M311*N311</f>
        <v>18000</v>
      </c>
      <c r="S311" s="16">
        <f>M311*O311</f>
        <v>0</v>
      </c>
      <c r="T311" s="16">
        <f>M311*Q311</f>
        <v>18000</v>
      </c>
      <c r="U311" s="16"/>
      <c r="V311" s="16">
        <f>M311*U311</f>
        <v>0</v>
      </c>
      <c r="W311" s="16">
        <f>T311-V311</f>
        <v>18000</v>
      </c>
      <c r="X311" s="18">
        <f>IF(T311&gt;0, W311/T311, 0)</f>
        <v>1</v>
      </c>
      <c r="Y311" s="9" t="s">
        <v>41</v>
      </c>
      <c r="Z311" s="11" t="s">
        <v>42</v>
      </c>
      <c r="AA311" s="11" t="s">
        <v>43</v>
      </c>
      <c r="AB311" s="11" t="s">
        <v>44</v>
      </c>
      <c r="AC311" s="9" t="s">
        <v>44</v>
      </c>
    </row>
    <row r="312" spans="1:29">
      <c r="A312" s="10">
        <v>305</v>
      </c>
      <c r="B312" s="10" t="s">
        <v>540</v>
      </c>
      <c r="C312" s="10" t="s">
        <v>533</v>
      </c>
      <c r="D312" s="10" t="s">
        <v>201</v>
      </c>
      <c r="E312" s="10" t="s">
        <v>34</v>
      </c>
      <c r="F312" s="10" t="s">
        <v>35</v>
      </c>
      <c r="G312" s="8" t="s">
        <v>36</v>
      </c>
      <c r="H312" s="8" t="s">
        <v>37</v>
      </c>
      <c r="I312" s="8" t="s">
        <v>75</v>
      </c>
      <c r="J312" s="10">
        <v>164</v>
      </c>
      <c r="K312" s="10" t="s">
        <v>76</v>
      </c>
      <c r="L312" s="10" t="s">
        <v>40</v>
      </c>
      <c r="M312" s="12">
        <v>1</v>
      </c>
      <c r="N312" s="15">
        <v>9000.0</v>
      </c>
      <c r="O312" s="15"/>
      <c r="P312" s="17">
        <f>IF(N312&gt;0, O312/N312, 0)</f>
        <v>0</v>
      </c>
      <c r="Q312" s="15">
        <f>N312-O312</f>
        <v>9000</v>
      </c>
      <c r="R312" s="15">
        <f>M312*N312</f>
        <v>9000</v>
      </c>
      <c r="S312" s="15">
        <f>M312*O312</f>
        <v>0</v>
      </c>
      <c r="T312" s="15">
        <f>M312*Q312</f>
        <v>9000</v>
      </c>
      <c r="U312" s="15"/>
      <c r="V312" s="15">
        <f>M312*U312</f>
        <v>0</v>
      </c>
      <c r="W312" s="15">
        <f>T312-V312</f>
        <v>9000</v>
      </c>
      <c r="X312" s="17">
        <f>IF(T312&gt;0, W312/T312, 0)</f>
        <v>1</v>
      </c>
      <c r="Y312" s="8" t="s">
        <v>41</v>
      </c>
      <c r="Z312" s="10" t="s">
        <v>42</v>
      </c>
      <c r="AA312" s="10" t="s">
        <v>43</v>
      </c>
      <c r="AB312" s="10" t="s">
        <v>44</v>
      </c>
      <c r="AC312" s="8" t="s">
        <v>44</v>
      </c>
    </row>
    <row r="313" spans="1:29">
      <c r="A313" s="11">
        <v>306</v>
      </c>
      <c r="B313" s="11" t="s">
        <v>541</v>
      </c>
      <c r="C313" s="11" t="s">
        <v>533</v>
      </c>
      <c r="D313" s="11" t="s">
        <v>201</v>
      </c>
      <c r="E313" s="11" t="s">
        <v>34</v>
      </c>
      <c r="F313" s="11" t="s">
        <v>35</v>
      </c>
      <c r="G313" s="9" t="s">
        <v>52</v>
      </c>
      <c r="H313" s="9" t="s">
        <v>37</v>
      </c>
      <c r="I313" s="9" t="s">
        <v>75</v>
      </c>
      <c r="J313" s="11">
        <v>164</v>
      </c>
      <c r="K313" s="11" t="s">
        <v>190</v>
      </c>
      <c r="L313" s="11" t="s">
        <v>55</v>
      </c>
      <c r="M313" s="13">
        <v>1</v>
      </c>
      <c r="N313" s="16">
        <v>9000.0</v>
      </c>
      <c r="O313" s="16"/>
      <c r="P313" s="18">
        <f>IF(N313&gt;0, O313/N313, 0)</f>
        <v>0</v>
      </c>
      <c r="Q313" s="16">
        <f>N313-O313</f>
        <v>9000</v>
      </c>
      <c r="R313" s="16">
        <f>M313*N313</f>
        <v>9000</v>
      </c>
      <c r="S313" s="16">
        <f>M313*O313</f>
        <v>0</v>
      </c>
      <c r="T313" s="16">
        <f>M313*Q313</f>
        <v>9000</v>
      </c>
      <c r="U313" s="16"/>
      <c r="V313" s="16">
        <f>M313*U313</f>
        <v>0</v>
      </c>
      <c r="W313" s="16">
        <f>T313-V313</f>
        <v>9000</v>
      </c>
      <c r="X313" s="18">
        <f>IF(T313&gt;0, W313/T313, 0)</f>
        <v>1</v>
      </c>
      <c r="Y313" s="9" t="s">
        <v>41</v>
      </c>
      <c r="Z313" s="11" t="s">
        <v>42</v>
      </c>
      <c r="AA313" s="11" t="s">
        <v>43</v>
      </c>
      <c r="AB313" s="11" t="s">
        <v>44</v>
      </c>
      <c r="AC313" s="9" t="s">
        <v>44</v>
      </c>
    </row>
    <row r="314" spans="1:29">
      <c r="A314" s="10">
        <v>307</v>
      </c>
      <c r="B314" s="10" t="s">
        <v>542</v>
      </c>
      <c r="C314" s="10" t="s">
        <v>533</v>
      </c>
      <c r="D314" s="10" t="s">
        <v>201</v>
      </c>
      <c r="E314" s="10" t="s">
        <v>34</v>
      </c>
      <c r="F314" s="10" t="s">
        <v>35</v>
      </c>
      <c r="G314" s="8" t="s">
        <v>52</v>
      </c>
      <c r="H314" s="8" t="s">
        <v>37</v>
      </c>
      <c r="I314" s="8" t="s">
        <v>38</v>
      </c>
      <c r="J314" s="10">
        <v>164</v>
      </c>
      <c r="K314" s="10" t="s">
        <v>410</v>
      </c>
      <c r="L314" s="10" t="s">
        <v>55</v>
      </c>
      <c r="M314" s="12">
        <v>1</v>
      </c>
      <c r="N314" s="15">
        <v>8000.0</v>
      </c>
      <c r="O314" s="15"/>
      <c r="P314" s="17">
        <f>IF(N314&gt;0, O314/N314, 0)</f>
        <v>0</v>
      </c>
      <c r="Q314" s="15">
        <f>N314-O314</f>
        <v>8000</v>
      </c>
      <c r="R314" s="15">
        <f>M314*N314</f>
        <v>8000</v>
      </c>
      <c r="S314" s="15">
        <f>M314*O314</f>
        <v>0</v>
      </c>
      <c r="T314" s="15">
        <f>M314*Q314</f>
        <v>8000</v>
      </c>
      <c r="U314" s="15"/>
      <c r="V314" s="15">
        <f>M314*U314</f>
        <v>0</v>
      </c>
      <c r="W314" s="15">
        <f>T314-V314</f>
        <v>8000</v>
      </c>
      <c r="X314" s="17">
        <f>IF(T314&gt;0, W314/T314, 0)</f>
        <v>1</v>
      </c>
      <c r="Y314" s="8" t="s">
        <v>41</v>
      </c>
      <c r="Z314" s="10" t="s">
        <v>42</v>
      </c>
      <c r="AA314" s="10" t="s">
        <v>43</v>
      </c>
      <c r="AB314" s="10" t="s">
        <v>44</v>
      </c>
      <c r="AC314" s="8" t="s">
        <v>44</v>
      </c>
    </row>
    <row r="315" spans="1:29">
      <c r="A315" s="11">
        <v>308</v>
      </c>
      <c r="B315" s="11" t="s">
        <v>543</v>
      </c>
      <c r="C315" s="11" t="s">
        <v>544</v>
      </c>
      <c r="D315" s="11" t="s">
        <v>201</v>
      </c>
      <c r="E315" s="11" t="s">
        <v>34</v>
      </c>
      <c r="F315" s="11" t="s">
        <v>35</v>
      </c>
      <c r="G315" s="9" t="s">
        <v>36</v>
      </c>
      <c r="H315" s="9" t="s">
        <v>71</v>
      </c>
      <c r="I315" s="9" t="s">
        <v>71</v>
      </c>
      <c r="J315" s="11">
        <v>170</v>
      </c>
      <c r="K315" s="11" t="s">
        <v>182</v>
      </c>
      <c r="L315" s="11" t="s">
        <v>40</v>
      </c>
      <c r="M315" s="13">
        <v>1</v>
      </c>
      <c r="N315" s="16">
        <v>18000.0</v>
      </c>
      <c r="O315" s="16"/>
      <c r="P315" s="18">
        <f>IF(N315&gt;0, O315/N315, 0)</f>
        <v>0</v>
      </c>
      <c r="Q315" s="16">
        <f>N315-O315</f>
        <v>18000</v>
      </c>
      <c r="R315" s="16">
        <f>M315*N315</f>
        <v>18000</v>
      </c>
      <c r="S315" s="16">
        <f>M315*O315</f>
        <v>0</v>
      </c>
      <c r="T315" s="16">
        <f>M315*Q315</f>
        <v>18000</v>
      </c>
      <c r="U315" s="16"/>
      <c r="V315" s="16">
        <f>M315*U315</f>
        <v>0</v>
      </c>
      <c r="W315" s="16">
        <f>T315-V315</f>
        <v>18000</v>
      </c>
      <c r="X315" s="18">
        <f>IF(T315&gt;0, W315/T315, 0)</f>
        <v>1</v>
      </c>
      <c r="Y315" s="9" t="s">
        <v>41</v>
      </c>
      <c r="Z315" s="11" t="s">
        <v>42</v>
      </c>
      <c r="AA315" s="11" t="s">
        <v>43</v>
      </c>
      <c r="AB315" s="11" t="s">
        <v>44</v>
      </c>
      <c r="AC315" s="9" t="s">
        <v>44</v>
      </c>
    </row>
    <row r="316" spans="1:29">
      <c r="A316" s="10">
        <v>309</v>
      </c>
      <c r="B316" s="10" t="s">
        <v>545</v>
      </c>
      <c r="C316" s="10" t="s">
        <v>544</v>
      </c>
      <c r="D316" s="10" t="s">
        <v>201</v>
      </c>
      <c r="E316" s="10" t="s">
        <v>34</v>
      </c>
      <c r="F316" s="10" t="s">
        <v>35</v>
      </c>
      <c r="G316" s="8" t="s">
        <v>52</v>
      </c>
      <c r="H316" s="8" t="s">
        <v>71</v>
      </c>
      <c r="I316" s="8" t="s">
        <v>71</v>
      </c>
      <c r="J316" s="10">
        <v>128</v>
      </c>
      <c r="K316" s="10" t="s">
        <v>112</v>
      </c>
      <c r="L316" s="10" t="s">
        <v>40</v>
      </c>
      <c r="M316" s="12">
        <v>1</v>
      </c>
      <c r="N316" s="15">
        <v>16000.0</v>
      </c>
      <c r="O316" s="15"/>
      <c r="P316" s="17">
        <f>IF(N316&gt;0, O316/N316, 0)</f>
        <v>0</v>
      </c>
      <c r="Q316" s="15">
        <f>N316-O316</f>
        <v>16000</v>
      </c>
      <c r="R316" s="15">
        <f>M316*N316</f>
        <v>16000</v>
      </c>
      <c r="S316" s="15">
        <f>M316*O316</f>
        <v>0</v>
      </c>
      <c r="T316" s="15">
        <f>M316*Q316</f>
        <v>16000</v>
      </c>
      <c r="U316" s="15"/>
      <c r="V316" s="15">
        <f>M316*U316</f>
        <v>0</v>
      </c>
      <c r="W316" s="15">
        <f>T316-V316</f>
        <v>16000</v>
      </c>
      <c r="X316" s="17">
        <f>IF(T316&gt;0, W316/T316, 0)</f>
        <v>1</v>
      </c>
      <c r="Y316" s="8" t="s">
        <v>41</v>
      </c>
      <c r="Z316" s="10" t="s">
        <v>42</v>
      </c>
      <c r="AA316" s="10" t="s">
        <v>43</v>
      </c>
      <c r="AB316" s="10" t="s">
        <v>44</v>
      </c>
      <c r="AC316" s="8" t="s">
        <v>44</v>
      </c>
    </row>
    <row r="317" spans="1:29">
      <c r="A317" s="11">
        <v>310</v>
      </c>
      <c r="B317" s="11" t="s">
        <v>546</v>
      </c>
      <c r="C317" s="11" t="s">
        <v>544</v>
      </c>
      <c r="D317" s="11" t="s">
        <v>201</v>
      </c>
      <c r="E317" s="11" t="s">
        <v>34</v>
      </c>
      <c r="F317" s="11" t="s">
        <v>35</v>
      </c>
      <c r="G317" s="9" t="s">
        <v>36</v>
      </c>
      <c r="H317" s="9" t="s">
        <v>37</v>
      </c>
      <c r="I317" s="9" t="s">
        <v>38</v>
      </c>
      <c r="J317" s="11">
        <v>170</v>
      </c>
      <c r="K317" s="11" t="s">
        <v>145</v>
      </c>
      <c r="L317" s="11" t="s">
        <v>40</v>
      </c>
      <c r="M317" s="13">
        <v>1</v>
      </c>
      <c r="N317" s="16">
        <v>8000.0</v>
      </c>
      <c r="O317" s="16"/>
      <c r="P317" s="18">
        <f>IF(N317&gt;0, O317/N317, 0)</f>
        <v>0</v>
      </c>
      <c r="Q317" s="16">
        <f>N317-O317</f>
        <v>8000</v>
      </c>
      <c r="R317" s="16">
        <f>M317*N317</f>
        <v>8000</v>
      </c>
      <c r="S317" s="16">
        <f>M317*O317</f>
        <v>0</v>
      </c>
      <c r="T317" s="16">
        <f>M317*Q317</f>
        <v>8000</v>
      </c>
      <c r="U317" s="16"/>
      <c r="V317" s="16">
        <f>M317*U317</f>
        <v>0</v>
      </c>
      <c r="W317" s="16">
        <f>T317-V317</f>
        <v>8000</v>
      </c>
      <c r="X317" s="18">
        <f>IF(T317&gt;0, W317/T317, 0)</f>
        <v>1</v>
      </c>
      <c r="Y317" s="9" t="s">
        <v>41</v>
      </c>
      <c r="Z317" s="11" t="s">
        <v>42</v>
      </c>
      <c r="AA317" s="11" t="s">
        <v>43</v>
      </c>
      <c r="AB317" s="11" t="s">
        <v>44</v>
      </c>
      <c r="AC317" s="9" t="s">
        <v>44</v>
      </c>
    </row>
    <row r="318" spans="1:29">
      <c r="A318" s="10">
        <v>311</v>
      </c>
      <c r="B318" s="10" t="s">
        <v>547</v>
      </c>
      <c r="C318" s="10" t="s">
        <v>544</v>
      </c>
      <c r="D318" s="10" t="s">
        <v>201</v>
      </c>
      <c r="E318" s="10" t="s">
        <v>34</v>
      </c>
      <c r="F318" s="10" t="s">
        <v>35</v>
      </c>
      <c r="G318" s="8" t="s">
        <v>52</v>
      </c>
      <c r="H318" s="8" t="s">
        <v>37</v>
      </c>
      <c r="I318" s="8" t="s">
        <v>38</v>
      </c>
      <c r="J318" s="10">
        <v>134</v>
      </c>
      <c r="K318" s="10" t="s">
        <v>180</v>
      </c>
      <c r="L318" s="10" t="s">
        <v>55</v>
      </c>
      <c r="M318" s="12">
        <v>1</v>
      </c>
      <c r="N318" s="15">
        <v>7000.0</v>
      </c>
      <c r="O318" s="15"/>
      <c r="P318" s="17">
        <f>IF(N318&gt;0, O318/N318, 0)</f>
        <v>0</v>
      </c>
      <c r="Q318" s="15">
        <f>N318-O318</f>
        <v>7000</v>
      </c>
      <c r="R318" s="15">
        <f>M318*N318</f>
        <v>7000</v>
      </c>
      <c r="S318" s="15">
        <f>M318*O318</f>
        <v>0</v>
      </c>
      <c r="T318" s="15">
        <f>M318*Q318</f>
        <v>7000</v>
      </c>
      <c r="U318" s="15"/>
      <c r="V318" s="15">
        <f>M318*U318</f>
        <v>0</v>
      </c>
      <c r="W318" s="15">
        <f>T318-V318</f>
        <v>7000</v>
      </c>
      <c r="X318" s="17">
        <f>IF(T318&gt;0, W318/T318, 0)</f>
        <v>1</v>
      </c>
      <c r="Y318" s="8" t="s">
        <v>41</v>
      </c>
      <c r="Z318" s="10" t="s">
        <v>42</v>
      </c>
      <c r="AA318" s="10" t="s">
        <v>43</v>
      </c>
      <c r="AB318" s="10" t="s">
        <v>44</v>
      </c>
      <c r="AC318" s="8" t="s">
        <v>44</v>
      </c>
    </row>
    <row r="319" spans="1:29">
      <c r="A319" s="11">
        <v>312</v>
      </c>
      <c r="B319" s="11" t="s">
        <v>548</v>
      </c>
      <c r="C319" s="11" t="s">
        <v>544</v>
      </c>
      <c r="D319" s="11" t="s">
        <v>201</v>
      </c>
      <c r="E319" s="11" t="s">
        <v>34</v>
      </c>
      <c r="F319" s="11" t="s">
        <v>35</v>
      </c>
      <c r="G319" s="9" t="s">
        <v>52</v>
      </c>
      <c r="H319" s="9" t="s">
        <v>53</v>
      </c>
      <c r="I319" s="9" t="s">
        <v>53</v>
      </c>
      <c r="J319" s="11">
        <v>140</v>
      </c>
      <c r="K319" s="11" t="s">
        <v>282</v>
      </c>
      <c r="L319" s="11" t="s">
        <v>55</v>
      </c>
      <c r="M319" s="13">
        <v>1</v>
      </c>
      <c r="N319" s="16">
        <v>8000.0</v>
      </c>
      <c r="O319" s="16"/>
      <c r="P319" s="18">
        <f>IF(N319&gt;0, O319/N319, 0)</f>
        <v>0</v>
      </c>
      <c r="Q319" s="16">
        <f>N319-O319</f>
        <v>8000</v>
      </c>
      <c r="R319" s="16">
        <f>M319*N319</f>
        <v>8000</v>
      </c>
      <c r="S319" s="16">
        <f>M319*O319</f>
        <v>0</v>
      </c>
      <c r="T319" s="16">
        <f>M319*Q319</f>
        <v>8000</v>
      </c>
      <c r="U319" s="16"/>
      <c r="V319" s="16">
        <f>M319*U319</f>
        <v>0</v>
      </c>
      <c r="W319" s="16">
        <f>T319-V319</f>
        <v>8000</v>
      </c>
      <c r="X319" s="18">
        <f>IF(T319&gt;0, W319/T319, 0)</f>
        <v>1</v>
      </c>
      <c r="Y319" s="9" t="s">
        <v>41</v>
      </c>
      <c r="Z319" s="11" t="s">
        <v>42</v>
      </c>
      <c r="AA319" s="11" t="s">
        <v>43</v>
      </c>
      <c r="AB319" s="11" t="s">
        <v>44</v>
      </c>
      <c r="AC319" s="9" t="s">
        <v>44</v>
      </c>
    </row>
    <row r="320" spans="1:29">
      <c r="A320" s="10">
        <v>313</v>
      </c>
      <c r="B320" s="10" t="s">
        <v>549</v>
      </c>
      <c r="C320" s="10" t="s">
        <v>544</v>
      </c>
      <c r="D320" s="10" t="s">
        <v>201</v>
      </c>
      <c r="E320" s="10" t="s">
        <v>34</v>
      </c>
      <c r="F320" s="10" t="s">
        <v>35</v>
      </c>
      <c r="G320" s="8" t="s">
        <v>52</v>
      </c>
      <c r="H320" s="8" t="s">
        <v>37</v>
      </c>
      <c r="I320" s="8" t="s">
        <v>38</v>
      </c>
      <c r="J320" s="10">
        <v>146</v>
      </c>
      <c r="K320" s="10" t="s">
        <v>260</v>
      </c>
      <c r="L320" s="10" t="s">
        <v>55</v>
      </c>
      <c r="M320" s="12">
        <v>1</v>
      </c>
      <c r="N320" s="15">
        <v>7000.0</v>
      </c>
      <c r="O320" s="15"/>
      <c r="P320" s="17">
        <f>IF(N320&gt;0, O320/N320, 0)</f>
        <v>0</v>
      </c>
      <c r="Q320" s="15">
        <f>N320-O320</f>
        <v>7000</v>
      </c>
      <c r="R320" s="15">
        <f>M320*N320</f>
        <v>7000</v>
      </c>
      <c r="S320" s="15">
        <f>M320*O320</f>
        <v>0</v>
      </c>
      <c r="T320" s="15">
        <f>M320*Q320</f>
        <v>7000</v>
      </c>
      <c r="U320" s="15"/>
      <c r="V320" s="15">
        <f>M320*U320</f>
        <v>0</v>
      </c>
      <c r="W320" s="15">
        <f>T320-V320</f>
        <v>7000</v>
      </c>
      <c r="X320" s="17">
        <f>IF(T320&gt;0, W320/T320, 0)</f>
        <v>1</v>
      </c>
      <c r="Y320" s="8" t="s">
        <v>41</v>
      </c>
      <c r="Z320" s="10" t="s">
        <v>42</v>
      </c>
      <c r="AA320" s="10" t="s">
        <v>43</v>
      </c>
      <c r="AB320" s="10" t="s">
        <v>44</v>
      </c>
      <c r="AC320" s="8" t="s">
        <v>44</v>
      </c>
    </row>
    <row r="321" spans="1:29">
      <c r="A321" s="11">
        <v>314</v>
      </c>
      <c r="B321" s="11" t="s">
        <v>550</v>
      </c>
      <c r="C321" s="11" t="s">
        <v>551</v>
      </c>
      <c r="D321" s="11" t="s">
        <v>201</v>
      </c>
      <c r="E321" s="11" t="s">
        <v>70</v>
      </c>
      <c r="F321" s="11" t="s">
        <v>35</v>
      </c>
      <c r="G321" s="9" t="s">
        <v>36</v>
      </c>
      <c r="H321" s="9" t="s">
        <v>37</v>
      </c>
      <c r="I321" s="9" t="s">
        <v>38</v>
      </c>
      <c r="J321" s="11">
        <v>164</v>
      </c>
      <c r="K321" s="11" t="s">
        <v>79</v>
      </c>
      <c r="L321" s="11" t="s">
        <v>40</v>
      </c>
      <c r="M321" s="13">
        <v>2</v>
      </c>
      <c r="N321" s="16">
        <v>10000.0</v>
      </c>
      <c r="O321" s="16"/>
      <c r="P321" s="18">
        <f>IF(N321&gt;0, O321/N321, 0)</f>
        <v>0</v>
      </c>
      <c r="Q321" s="16">
        <f>N321-O321</f>
        <v>10000</v>
      </c>
      <c r="R321" s="16">
        <f>M321*N321</f>
        <v>20000</v>
      </c>
      <c r="S321" s="16">
        <f>M321*O321</f>
        <v>0</v>
      </c>
      <c r="T321" s="16">
        <f>M321*Q321</f>
        <v>20000</v>
      </c>
      <c r="U321" s="16"/>
      <c r="V321" s="16">
        <f>M321*U321</f>
        <v>0</v>
      </c>
      <c r="W321" s="16">
        <f>T321-V321</f>
        <v>20000</v>
      </c>
      <c r="X321" s="18">
        <f>IF(T321&gt;0, W321/T321, 0)</f>
        <v>1</v>
      </c>
      <c r="Y321" s="9" t="s">
        <v>41</v>
      </c>
      <c r="Z321" s="11" t="s">
        <v>42</v>
      </c>
      <c r="AA321" s="11" t="s">
        <v>73</v>
      </c>
      <c r="AB321" s="11" t="s">
        <v>44</v>
      </c>
      <c r="AC321" s="9" t="s">
        <v>44</v>
      </c>
    </row>
    <row r="322" spans="1:29">
      <c r="A322" s="10">
        <v>315</v>
      </c>
      <c r="B322" s="10" t="s">
        <v>552</v>
      </c>
      <c r="C322" s="10" t="s">
        <v>551</v>
      </c>
      <c r="D322" s="10" t="s">
        <v>201</v>
      </c>
      <c r="E322" s="10" t="s">
        <v>34</v>
      </c>
      <c r="F322" s="10" t="s">
        <v>35</v>
      </c>
      <c r="G322" s="8" t="s">
        <v>36</v>
      </c>
      <c r="H322" s="8" t="s">
        <v>53</v>
      </c>
      <c r="I322" s="8" t="s">
        <v>53</v>
      </c>
      <c r="J322" s="10">
        <v>164</v>
      </c>
      <c r="K322" s="10" t="s">
        <v>63</v>
      </c>
      <c r="L322" s="10" t="s">
        <v>40</v>
      </c>
      <c r="M322" s="12">
        <v>1</v>
      </c>
      <c r="N322" s="15">
        <v>8500.0</v>
      </c>
      <c r="O322" s="15"/>
      <c r="P322" s="17">
        <f>IF(N322&gt;0, O322/N322, 0)</f>
        <v>0</v>
      </c>
      <c r="Q322" s="15">
        <f>N322-O322</f>
        <v>8500</v>
      </c>
      <c r="R322" s="15">
        <f>M322*N322</f>
        <v>8500</v>
      </c>
      <c r="S322" s="15">
        <f>M322*O322</f>
        <v>0</v>
      </c>
      <c r="T322" s="15">
        <f>M322*Q322</f>
        <v>8500</v>
      </c>
      <c r="U322" s="15"/>
      <c r="V322" s="15">
        <f>M322*U322</f>
        <v>0</v>
      </c>
      <c r="W322" s="15">
        <f>T322-V322</f>
        <v>8500</v>
      </c>
      <c r="X322" s="17">
        <f>IF(T322&gt;0, W322/T322, 0)</f>
        <v>1</v>
      </c>
      <c r="Y322" s="8" t="s">
        <v>41</v>
      </c>
      <c r="Z322" s="10" t="s">
        <v>42</v>
      </c>
      <c r="AA322" s="10" t="s">
        <v>43</v>
      </c>
      <c r="AB322" s="10" t="s">
        <v>44</v>
      </c>
      <c r="AC322" s="8" t="s">
        <v>44</v>
      </c>
    </row>
    <row r="323" spans="1:29">
      <c r="A323" s="11">
        <v>316</v>
      </c>
      <c r="B323" s="11" t="s">
        <v>553</v>
      </c>
      <c r="C323" s="11" t="s">
        <v>551</v>
      </c>
      <c r="D323" s="11" t="s">
        <v>201</v>
      </c>
      <c r="E323" s="11" t="s">
        <v>34</v>
      </c>
      <c r="F323" s="11" t="s">
        <v>35</v>
      </c>
      <c r="G323" s="9" t="s">
        <v>36</v>
      </c>
      <c r="H323" s="9" t="s">
        <v>65</v>
      </c>
      <c r="I323" s="9" t="s">
        <v>151</v>
      </c>
      <c r="J323" s="11">
        <v>176</v>
      </c>
      <c r="K323" s="11" t="s">
        <v>236</v>
      </c>
      <c r="L323" s="11" t="s">
        <v>40</v>
      </c>
      <c r="M323" s="13">
        <v>1</v>
      </c>
      <c r="N323" s="16">
        <v>9500.0</v>
      </c>
      <c r="O323" s="16"/>
      <c r="P323" s="18">
        <f>IF(N323&gt;0, O323/N323, 0)</f>
        <v>0</v>
      </c>
      <c r="Q323" s="16">
        <f>N323-O323</f>
        <v>9500</v>
      </c>
      <c r="R323" s="16">
        <f>M323*N323</f>
        <v>9500</v>
      </c>
      <c r="S323" s="16">
        <f>M323*O323</f>
        <v>0</v>
      </c>
      <c r="T323" s="16">
        <f>M323*Q323</f>
        <v>9500</v>
      </c>
      <c r="U323" s="16"/>
      <c r="V323" s="16">
        <f>M323*U323</f>
        <v>0</v>
      </c>
      <c r="W323" s="16">
        <f>T323-V323</f>
        <v>9500</v>
      </c>
      <c r="X323" s="18">
        <f>IF(T323&gt;0, W323/T323, 0)</f>
        <v>1</v>
      </c>
      <c r="Y323" s="9" t="s">
        <v>41</v>
      </c>
      <c r="Z323" s="11" t="s">
        <v>42</v>
      </c>
      <c r="AA323" s="11" t="s">
        <v>43</v>
      </c>
      <c r="AB323" s="11" t="s">
        <v>44</v>
      </c>
      <c r="AC323" s="9" t="s">
        <v>44</v>
      </c>
    </row>
    <row r="324" spans="1:29">
      <c r="A324" s="10">
        <v>317</v>
      </c>
      <c r="B324" s="10" t="s">
        <v>554</v>
      </c>
      <c r="C324" s="10" t="s">
        <v>551</v>
      </c>
      <c r="D324" s="10" t="s">
        <v>201</v>
      </c>
      <c r="E324" s="10" t="s">
        <v>34</v>
      </c>
      <c r="F324" s="10" t="s">
        <v>35</v>
      </c>
      <c r="G324" s="8" t="s">
        <v>36</v>
      </c>
      <c r="H324" s="8" t="s">
        <v>71</v>
      </c>
      <c r="I324" s="8" t="s">
        <v>71</v>
      </c>
      <c r="J324" s="10">
        <v>170</v>
      </c>
      <c r="K324" s="10" t="s">
        <v>182</v>
      </c>
      <c r="L324" s="10" t="s">
        <v>40</v>
      </c>
      <c r="M324" s="12">
        <v>1</v>
      </c>
      <c r="N324" s="15">
        <v>16500.0</v>
      </c>
      <c r="O324" s="15"/>
      <c r="P324" s="17">
        <f>IF(N324&gt;0, O324/N324, 0)</f>
        <v>0</v>
      </c>
      <c r="Q324" s="15">
        <f>N324-O324</f>
        <v>16500</v>
      </c>
      <c r="R324" s="15">
        <f>M324*N324</f>
        <v>16500</v>
      </c>
      <c r="S324" s="15">
        <f>M324*O324</f>
        <v>0</v>
      </c>
      <c r="T324" s="15">
        <f>M324*Q324</f>
        <v>16500</v>
      </c>
      <c r="U324" s="15"/>
      <c r="V324" s="15">
        <f>M324*U324</f>
        <v>0</v>
      </c>
      <c r="W324" s="15">
        <f>T324-V324</f>
        <v>16500</v>
      </c>
      <c r="X324" s="17">
        <f>IF(T324&gt;0, W324/T324, 0)</f>
        <v>1</v>
      </c>
      <c r="Y324" s="8" t="s">
        <v>41</v>
      </c>
      <c r="Z324" s="10" t="s">
        <v>42</v>
      </c>
      <c r="AA324" s="10" t="s">
        <v>43</v>
      </c>
      <c r="AB324" s="10" t="s">
        <v>44</v>
      </c>
      <c r="AC324" s="8" t="s">
        <v>44</v>
      </c>
    </row>
    <row r="325" spans="1:29">
      <c r="A325" s="11">
        <v>318</v>
      </c>
      <c r="B325" s="11" t="s">
        <v>555</v>
      </c>
      <c r="C325" s="11" t="s">
        <v>551</v>
      </c>
      <c r="D325" s="11" t="s">
        <v>201</v>
      </c>
      <c r="E325" s="11" t="s">
        <v>34</v>
      </c>
      <c r="F325" s="11" t="s">
        <v>35</v>
      </c>
      <c r="G325" s="9" t="s">
        <v>36</v>
      </c>
      <c r="H325" s="9" t="s">
        <v>47</v>
      </c>
      <c r="I325" s="9" t="s">
        <v>48</v>
      </c>
      <c r="J325" s="11">
        <v>170</v>
      </c>
      <c r="K325" s="11" t="s">
        <v>184</v>
      </c>
      <c r="L325" s="11" t="s">
        <v>40</v>
      </c>
      <c r="M325" s="13">
        <v>1</v>
      </c>
      <c r="N325" s="16">
        <v>18000.0</v>
      </c>
      <c r="O325" s="16"/>
      <c r="P325" s="18">
        <f>IF(N325&gt;0, O325/N325, 0)</f>
        <v>0</v>
      </c>
      <c r="Q325" s="16">
        <f>N325-O325</f>
        <v>18000</v>
      </c>
      <c r="R325" s="16">
        <f>M325*N325</f>
        <v>18000</v>
      </c>
      <c r="S325" s="16">
        <f>M325*O325</f>
        <v>0</v>
      </c>
      <c r="T325" s="16">
        <f>M325*Q325</f>
        <v>18000</v>
      </c>
      <c r="U325" s="16"/>
      <c r="V325" s="16">
        <f>M325*U325</f>
        <v>0</v>
      </c>
      <c r="W325" s="16">
        <f>T325-V325</f>
        <v>18000</v>
      </c>
      <c r="X325" s="18">
        <f>IF(T325&gt;0, W325/T325, 0)</f>
        <v>1</v>
      </c>
      <c r="Y325" s="9" t="s">
        <v>41</v>
      </c>
      <c r="Z325" s="11" t="s">
        <v>42</v>
      </c>
      <c r="AA325" s="11" t="s">
        <v>43</v>
      </c>
      <c r="AB325" s="11" t="s">
        <v>44</v>
      </c>
      <c r="AC325" s="9" t="s">
        <v>44</v>
      </c>
    </row>
    <row r="326" spans="1:29">
      <c r="A326" s="10">
        <v>319</v>
      </c>
      <c r="B326" s="10" t="s">
        <v>556</v>
      </c>
      <c r="C326" s="10" t="s">
        <v>551</v>
      </c>
      <c r="D326" s="10" t="s">
        <v>201</v>
      </c>
      <c r="E326" s="10" t="s">
        <v>70</v>
      </c>
      <c r="F326" s="10" t="s">
        <v>35</v>
      </c>
      <c r="G326" s="8" t="s">
        <v>52</v>
      </c>
      <c r="H326" s="8" t="s">
        <v>58</v>
      </c>
      <c r="I326" s="8" t="s">
        <v>58</v>
      </c>
      <c r="J326" s="10">
        <v>116</v>
      </c>
      <c r="K326" s="10" t="s">
        <v>81</v>
      </c>
      <c r="L326" s="10" t="s">
        <v>40</v>
      </c>
      <c r="M326" s="12">
        <v>1</v>
      </c>
      <c r="N326" s="15">
        <v>8000.0</v>
      </c>
      <c r="O326" s="15"/>
      <c r="P326" s="17">
        <f>IF(N326&gt;0, O326/N326, 0)</f>
        <v>0</v>
      </c>
      <c r="Q326" s="15">
        <f>N326-O326</f>
        <v>8000</v>
      </c>
      <c r="R326" s="15">
        <f>M326*N326</f>
        <v>8000</v>
      </c>
      <c r="S326" s="15">
        <f>M326*O326</f>
        <v>0</v>
      </c>
      <c r="T326" s="15">
        <f>M326*Q326</f>
        <v>8000</v>
      </c>
      <c r="U326" s="15"/>
      <c r="V326" s="15">
        <f>M326*U326</f>
        <v>0</v>
      </c>
      <c r="W326" s="15">
        <f>T326-V326</f>
        <v>8000</v>
      </c>
      <c r="X326" s="17">
        <f>IF(T326&gt;0, W326/T326, 0)</f>
        <v>1</v>
      </c>
      <c r="Y326" s="8" t="s">
        <v>41</v>
      </c>
      <c r="Z326" s="10" t="s">
        <v>42</v>
      </c>
      <c r="AA326" s="10" t="s">
        <v>73</v>
      </c>
      <c r="AB326" s="10" t="s">
        <v>44</v>
      </c>
      <c r="AC326" s="8" t="s">
        <v>44</v>
      </c>
    </row>
    <row r="327" spans="1:29">
      <c r="A327" s="11">
        <v>320</v>
      </c>
      <c r="B327" s="11" t="s">
        <v>557</v>
      </c>
      <c r="C327" s="11" t="s">
        <v>551</v>
      </c>
      <c r="D327" s="11" t="s">
        <v>201</v>
      </c>
      <c r="E327" s="11" t="s">
        <v>70</v>
      </c>
      <c r="F327" s="11" t="s">
        <v>35</v>
      </c>
      <c r="G327" s="9" t="s">
        <v>52</v>
      </c>
      <c r="H327" s="9" t="s">
        <v>53</v>
      </c>
      <c r="I327" s="9" t="s">
        <v>53</v>
      </c>
      <c r="J327" s="11">
        <v>122</v>
      </c>
      <c r="K327" s="11" t="s">
        <v>84</v>
      </c>
      <c r="L327" s="11" t="s">
        <v>55</v>
      </c>
      <c r="M327" s="13">
        <v>1</v>
      </c>
      <c r="N327" s="16">
        <v>9000.0</v>
      </c>
      <c r="O327" s="16"/>
      <c r="P327" s="18">
        <f>IF(N327&gt;0, O327/N327, 0)</f>
        <v>0</v>
      </c>
      <c r="Q327" s="16">
        <f>N327-O327</f>
        <v>9000</v>
      </c>
      <c r="R327" s="16">
        <f>M327*N327</f>
        <v>9000</v>
      </c>
      <c r="S327" s="16">
        <f>M327*O327</f>
        <v>0</v>
      </c>
      <c r="T327" s="16">
        <f>M327*Q327</f>
        <v>9000</v>
      </c>
      <c r="U327" s="16"/>
      <c r="V327" s="16">
        <f>M327*U327</f>
        <v>0</v>
      </c>
      <c r="W327" s="16">
        <f>T327-V327</f>
        <v>9000</v>
      </c>
      <c r="X327" s="18">
        <f>IF(T327&gt;0, W327/T327, 0)</f>
        <v>1</v>
      </c>
      <c r="Y327" s="9" t="s">
        <v>41</v>
      </c>
      <c r="Z327" s="11" t="s">
        <v>42</v>
      </c>
      <c r="AA327" s="11" t="s">
        <v>73</v>
      </c>
      <c r="AB327" s="11" t="s">
        <v>44</v>
      </c>
      <c r="AC327" s="9" t="s">
        <v>44</v>
      </c>
    </row>
    <row r="328" spans="1:29">
      <c r="A328" s="10">
        <v>321</v>
      </c>
      <c r="B328" s="10" t="s">
        <v>558</v>
      </c>
      <c r="C328" s="10" t="s">
        <v>551</v>
      </c>
      <c r="D328" s="10" t="s">
        <v>201</v>
      </c>
      <c r="E328" s="10" t="s">
        <v>34</v>
      </c>
      <c r="F328" s="10" t="s">
        <v>35</v>
      </c>
      <c r="G328" s="8" t="s">
        <v>52</v>
      </c>
      <c r="H328" s="8" t="s">
        <v>37</v>
      </c>
      <c r="I328" s="8" t="s">
        <v>38</v>
      </c>
      <c r="J328" s="10">
        <v>122</v>
      </c>
      <c r="K328" s="10" t="s">
        <v>107</v>
      </c>
      <c r="L328" s="10" t="s">
        <v>55</v>
      </c>
      <c r="M328" s="12">
        <v>2</v>
      </c>
      <c r="N328" s="15">
        <v>7000.0</v>
      </c>
      <c r="O328" s="15"/>
      <c r="P328" s="17">
        <f>IF(N328&gt;0, O328/N328, 0)</f>
        <v>0</v>
      </c>
      <c r="Q328" s="15">
        <f>N328-O328</f>
        <v>7000</v>
      </c>
      <c r="R328" s="15">
        <f>M328*N328</f>
        <v>14000</v>
      </c>
      <c r="S328" s="15">
        <f>M328*O328</f>
        <v>0</v>
      </c>
      <c r="T328" s="15">
        <f>M328*Q328</f>
        <v>14000</v>
      </c>
      <c r="U328" s="15"/>
      <c r="V328" s="15">
        <f>M328*U328</f>
        <v>0</v>
      </c>
      <c r="W328" s="15">
        <f>T328-V328</f>
        <v>14000</v>
      </c>
      <c r="X328" s="17">
        <f>IF(T328&gt;0, W328/T328, 0)</f>
        <v>1</v>
      </c>
      <c r="Y328" s="8" t="s">
        <v>41</v>
      </c>
      <c r="Z328" s="10" t="s">
        <v>42</v>
      </c>
      <c r="AA328" s="10" t="s">
        <v>43</v>
      </c>
      <c r="AB328" s="10" t="s">
        <v>44</v>
      </c>
      <c r="AC328" s="8" t="s">
        <v>44</v>
      </c>
    </row>
    <row r="329" spans="1:29">
      <c r="A329" s="11">
        <v>322</v>
      </c>
      <c r="B329" s="11" t="s">
        <v>559</v>
      </c>
      <c r="C329" s="11" t="s">
        <v>551</v>
      </c>
      <c r="D329" s="11" t="s">
        <v>201</v>
      </c>
      <c r="E329" s="11" t="s">
        <v>34</v>
      </c>
      <c r="F329" s="11" t="s">
        <v>35</v>
      </c>
      <c r="G329" s="9" t="s">
        <v>52</v>
      </c>
      <c r="H329" s="9" t="s">
        <v>71</v>
      </c>
      <c r="I329" s="9" t="s">
        <v>71</v>
      </c>
      <c r="J329" s="11">
        <v>128</v>
      </c>
      <c r="K329" s="11" t="s">
        <v>112</v>
      </c>
      <c r="L329" s="11" t="s">
        <v>40</v>
      </c>
      <c r="M329" s="13">
        <v>1</v>
      </c>
      <c r="N329" s="16">
        <v>16000.0</v>
      </c>
      <c r="O329" s="16"/>
      <c r="P329" s="18">
        <f>IF(N329&gt;0, O329/N329, 0)</f>
        <v>0</v>
      </c>
      <c r="Q329" s="16">
        <f>N329-O329</f>
        <v>16000</v>
      </c>
      <c r="R329" s="16">
        <f>M329*N329</f>
        <v>16000</v>
      </c>
      <c r="S329" s="16">
        <f>M329*O329</f>
        <v>0</v>
      </c>
      <c r="T329" s="16">
        <f>M329*Q329</f>
        <v>16000</v>
      </c>
      <c r="U329" s="16"/>
      <c r="V329" s="16">
        <f>M329*U329</f>
        <v>0</v>
      </c>
      <c r="W329" s="16">
        <f>T329-V329</f>
        <v>16000</v>
      </c>
      <c r="X329" s="18">
        <f>IF(T329&gt;0, W329/T329, 0)</f>
        <v>1</v>
      </c>
      <c r="Y329" s="9" t="s">
        <v>41</v>
      </c>
      <c r="Z329" s="11" t="s">
        <v>42</v>
      </c>
      <c r="AA329" s="11" t="s">
        <v>43</v>
      </c>
      <c r="AB329" s="11" t="s">
        <v>44</v>
      </c>
      <c r="AC329" s="9" t="s">
        <v>44</v>
      </c>
    </row>
    <row r="330" spans="1:29">
      <c r="A330" s="10">
        <v>323</v>
      </c>
      <c r="B330" s="10" t="s">
        <v>560</v>
      </c>
      <c r="C330" s="10" t="s">
        <v>551</v>
      </c>
      <c r="D330" s="10" t="s">
        <v>201</v>
      </c>
      <c r="E330" s="10" t="s">
        <v>34</v>
      </c>
      <c r="F330" s="10" t="s">
        <v>35</v>
      </c>
      <c r="G330" s="8" t="s">
        <v>36</v>
      </c>
      <c r="H330" s="8" t="s">
        <v>47</v>
      </c>
      <c r="I330" s="8" t="s">
        <v>48</v>
      </c>
      <c r="J330" s="10">
        <v>194</v>
      </c>
      <c r="K330" s="10" t="s">
        <v>561</v>
      </c>
      <c r="L330" s="10" t="s">
        <v>40</v>
      </c>
      <c r="M330" s="12">
        <v>1</v>
      </c>
      <c r="N330" s="15">
        <v>18000.0</v>
      </c>
      <c r="O330" s="15"/>
      <c r="P330" s="17">
        <f>IF(N330&gt;0, O330/N330, 0)</f>
        <v>0</v>
      </c>
      <c r="Q330" s="15">
        <f>N330-O330</f>
        <v>18000</v>
      </c>
      <c r="R330" s="15">
        <f>M330*N330</f>
        <v>18000</v>
      </c>
      <c r="S330" s="15">
        <f>M330*O330</f>
        <v>0</v>
      </c>
      <c r="T330" s="15">
        <f>M330*Q330</f>
        <v>18000</v>
      </c>
      <c r="U330" s="15"/>
      <c r="V330" s="15">
        <f>M330*U330</f>
        <v>0</v>
      </c>
      <c r="W330" s="15">
        <f>T330-V330</f>
        <v>18000</v>
      </c>
      <c r="X330" s="17">
        <f>IF(T330&gt;0, W330/T330, 0)</f>
        <v>1</v>
      </c>
      <c r="Y330" s="8" t="s">
        <v>41</v>
      </c>
      <c r="Z330" s="10" t="s">
        <v>42</v>
      </c>
      <c r="AA330" s="10" t="s">
        <v>43</v>
      </c>
      <c r="AB330" s="10" t="s">
        <v>44</v>
      </c>
      <c r="AC330" s="8" t="s">
        <v>44</v>
      </c>
    </row>
    <row r="331" spans="1:29">
      <c r="A331" s="11">
        <v>324</v>
      </c>
      <c r="B331" s="11" t="s">
        <v>562</v>
      </c>
      <c r="C331" s="11" t="s">
        <v>563</v>
      </c>
      <c r="D331" s="11" t="s">
        <v>201</v>
      </c>
      <c r="E331" s="11" t="s">
        <v>70</v>
      </c>
      <c r="F331" s="11" t="s">
        <v>35</v>
      </c>
      <c r="G331" s="9" t="s">
        <v>36</v>
      </c>
      <c r="H331" s="9" t="s">
        <v>58</v>
      </c>
      <c r="I331" s="9" t="s">
        <v>58</v>
      </c>
      <c r="J331" s="11">
        <v>152</v>
      </c>
      <c r="K331" s="11" t="s">
        <v>332</v>
      </c>
      <c r="L331" s="11" t="s">
        <v>40</v>
      </c>
      <c r="M331" s="13">
        <v>1</v>
      </c>
      <c r="N331" s="16">
        <v>9000.0</v>
      </c>
      <c r="O331" s="16"/>
      <c r="P331" s="18">
        <f>IF(N331&gt;0, O331/N331, 0)</f>
        <v>0</v>
      </c>
      <c r="Q331" s="16">
        <f>N331-O331</f>
        <v>9000</v>
      </c>
      <c r="R331" s="16">
        <f>M331*N331</f>
        <v>9000</v>
      </c>
      <c r="S331" s="16">
        <f>M331*O331</f>
        <v>0</v>
      </c>
      <c r="T331" s="16">
        <f>M331*Q331</f>
        <v>9000</v>
      </c>
      <c r="U331" s="16"/>
      <c r="V331" s="16">
        <f>M331*U331</f>
        <v>0</v>
      </c>
      <c r="W331" s="16">
        <f>T331-V331</f>
        <v>9000</v>
      </c>
      <c r="X331" s="18">
        <f>IF(T331&gt;0, W331/T331, 0)</f>
        <v>1</v>
      </c>
      <c r="Y331" s="9" t="s">
        <v>41</v>
      </c>
      <c r="Z331" s="11" t="s">
        <v>42</v>
      </c>
      <c r="AA331" s="11" t="s">
        <v>73</v>
      </c>
      <c r="AB331" s="11" t="s">
        <v>44</v>
      </c>
      <c r="AC331" s="9" t="s">
        <v>44</v>
      </c>
    </row>
    <row r="332" spans="1:29">
      <c r="A332" s="10">
        <v>325</v>
      </c>
      <c r="B332" s="10" t="s">
        <v>564</v>
      </c>
      <c r="C332" s="10" t="s">
        <v>563</v>
      </c>
      <c r="D332" s="10" t="s">
        <v>201</v>
      </c>
      <c r="E332" s="10" t="s">
        <v>70</v>
      </c>
      <c r="F332" s="10" t="s">
        <v>35</v>
      </c>
      <c r="G332" s="8" t="s">
        <v>36</v>
      </c>
      <c r="H332" s="8" t="s">
        <v>71</v>
      </c>
      <c r="I332" s="8" t="s">
        <v>71</v>
      </c>
      <c r="J332" s="10">
        <v>158</v>
      </c>
      <c r="K332" s="10" t="s">
        <v>263</v>
      </c>
      <c r="L332" s="10" t="s">
        <v>40</v>
      </c>
      <c r="M332" s="12">
        <v>1</v>
      </c>
      <c r="N332" s="15">
        <v>18000.0</v>
      </c>
      <c r="O332" s="15"/>
      <c r="P332" s="17">
        <f>IF(N332&gt;0, O332/N332, 0)</f>
        <v>0</v>
      </c>
      <c r="Q332" s="15">
        <f>N332-O332</f>
        <v>18000</v>
      </c>
      <c r="R332" s="15">
        <f>M332*N332</f>
        <v>18000</v>
      </c>
      <c r="S332" s="15">
        <f>M332*O332</f>
        <v>0</v>
      </c>
      <c r="T332" s="15">
        <f>M332*Q332</f>
        <v>18000</v>
      </c>
      <c r="U332" s="15"/>
      <c r="V332" s="15">
        <f>M332*U332</f>
        <v>0</v>
      </c>
      <c r="W332" s="15">
        <f>T332-V332</f>
        <v>18000</v>
      </c>
      <c r="X332" s="17">
        <f>IF(T332&gt;0, W332/T332, 0)</f>
        <v>1</v>
      </c>
      <c r="Y332" s="8" t="s">
        <v>41</v>
      </c>
      <c r="Z332" s="10" t="s">
        <v>42</v>
      </c>
      <c r="AA332" s="10" t="s">
        <v>73</v>
      </c>
      <c r="AB332" s="10" t="s">
        <v>44</v>
      </c>
      <c r="AC332" s="8" t="s">
        <v>44</v>
      </c>
    </row>
    <row r="333" spans="1:29">
      <c r="A333" s="11">
        <v>326</v>
      </c>
      <c r="B333" s="11" t="s">
        <v>565</v>
      </c>
      <c r="C333" s="11" t="s">
        <v>563</v>
      </c>
      <c r="D333" s="11" t="s">
        <v>201</v>
      </c>
      <c r="E333" s="11" t="s">
        <v>70</v>
      </c>
      <c r="F333" s="11" t="s">
        <v>35</v>
      </c>
      <c r="G333" s="9" t="s">
        <v>36</v>
      </c>
      <c r="H333" s="9" t="s">
        <v>37</v>
      </c>
      <c r="I333" s="9" t="s">
        <v>38</v>
      </c>
      <c r="J333" s="11">
        <v>158</v>
      </c>
      <c r="K333" s="11" t="s">
        <v>39</v>
      </c>
      <c r="L333" s="11" t="s">
        <v>40</v>
      </c>
      <c r="M333" s="13">
        <v>1</v>
      </c>
      <c r="N333" s="16">
        <v>10000.0</v>
      </c>
      <c r="O333" s="16"/>
      <c r="P333" s="18">
        <f>IF(N333&gt;0, O333/N333, 0)</f>
        <v>0</v>
      </c>
      <c r="Q333" s="16">
        <f>N333-O333</f>
        <v>10000</v>
      </c>
      <c r="R333" s="16">
        <f>M333*N333</f>
        <v>10000</v>
      </c>
      <c r="S333" s="16">
        <f>M333*O333</f>
        <v>0</v>
      </c>
      <c r="T333" s="16">
        <f>M333*Q333</f>
        <v>10000</v>
      </c>
      <c r="U333" s="16"/>
      <c r="V333" s="16">
        <f>M333*U333</f>
        <v>0</v>
      </c>
      <c r="W333" s="16">
        <f>T333-V333</f>
        <v>10000</v>
      </c>
      <c r="X333" s="18">
        <f>IF(T333&gt;0, W333/T333, 0)</f>
        <v>1</v>
      </c>
      <c r="Y333" s="9" t="s">
        <v>41</v>
      </c>
      <c r="Z333" s="11" t="s">
        <v>42</v>
      </c>
      <c r="AA333" s="11" t="s">
        <v>73</v>
      </c>
      <c r="AB333" s="11" t="s">
        <v>44</v>
      </c>
      <c r="AC333" s="9" t="s">
        <v>44</v>
      </c>
    </row>
    <row r="334" spans="1:29">
      <c r="A334" s="10">
        <v>327</v>
      </c>
      <c r="B334" s="10" t="s">
        <v>566</v>
      </c>
      <c r="C334" s="10" t="s">
        <v>563</v>
      </c>
      <c r="D334" s="10" t="s">
        <v>201</v>
      </c>
      <c r="E334" s="10" t="s">
        <v>34</v>
      </c>
      <c r="F334" s="10" t="s">
        <v>35</v>
      </c>
      <c r="G334" s="8" t="s">
        <v>36</v>
      </c>
      <c r="H334" s="8" t="s">
        <v>53</v>
      </c>
      <c r="I334" s="8" t="s">
        <v>53</v>
      </c>
      <c r="J334" s="10">
        <v>158</v>
      </c>
      <c r="K334" s="10" t="s">
        <v>124</v>
      </c>
      <c r="L334" s="10" t="s">
        <v>40</v>
      </c>
      <c r="M334" s="12">
        <v>1</v>
      </c>
      <c r="N334" s="15">
        <v>8500.0</v>
      </c>
      <c r="O334" s="15"/>
      <c r="P334" s="17">
        <f>IF(N334&gt;0, O334/N334, 0)</f>
        <v>0</v>
      </c>
      <c r="Q334" s="15">
        <f>N334-O334</f>
        <v>8500</v>
      </c>
      <c r="R334" s="15">
        <f>M334*N334</f>
        <v>8500</v>
      </c>
      <c r="S334" s="15">
        <f>M334*O334</f>
        <v>0</v>
      </c>
      <c r="T334" s="15">
        <f>M334*Q334</f>
        <v>8500</v>
      </c>
      <c r="U334" s="15"/>
      <c r="V334" s="15">
        <f>M334*U334</f>
        <v>0</v>
      </c>
      <c r="W334" s="15">
        <f>T334-V334</f>
        <v>8500</v>
      </c>
      <c r="X334" s="17">
        <f>IF(T334&gt;0, W334/T334, 0)</f>
        <v>1</v>
      </c>
      <c r="Y334" s="8" t="s">
        <v>41</v>
      </c>
      <c r="Z334" s="10" t="s">
        <v>42</v>
      </c>
      <c r="AA334" s="10" t="s">
        <v>43</v>
      </c>
      <c r="AB334" s="10" t="s">
        <v>44</v>
      </c>
      <c r="AC334" s="8" t="s">
        <v>44</v>
      </c>
    </row>
    <row r="335" spans="1:29">
      <c r="A335" s="11">
        <v>328</v>
      </c>
      <c r="B335" s="11" t="s">
        <v>567</v>
      </c>
      <c r="C335" s="11" t="s">
        <v>563</v>
      </c>
      <c r="D335" s="11" t="s">
        <v>201</v>
      </c>
      <c r="E335" s="11" t="s">
        <v>34</v>
      </c>
      <c r="F335" s="11" t="s">
        <v>35</v>
      </c>
      <c r="G335" s="9" t="s">
        <v>36</v>
      </c>
      <c r="H335" s="9" t="s">
        <v>37</v>
      </c>
      <c r="I335" s="9" t="s">
        <v>38</v>
      </c>
      <c r="J335" s="11">
        <v>170</v>
      </c>
      <c r="K335" s="11" t="s">
        <v>145</v>
      </c>
      <c r="L335" s="11" t="s">
        <v>40</v>
      </c>
      <c r="M335" s="13">
        <v>1</v>
      </c>
      <c r="N335" s="16">
        <v>8000.0</v>
      </c>
      <c r="O335" s="16"/>
      <c r="P335" s="18">
        <f>IF(N335&gt;0, O335/N335, 0)</f>
        <v>0</v>
      </c>
      <c r="Q335" s="16">
        <f>N335-O335</f>
        <v>8000</v>
      </c>
      <c r="R335" s="16">
        <f>M335*N335</f>
        <v>8000</v>
      </c>
      <c r="S335" s="16">
        <f>M335*O335</f>
        <v>0</v>
      </c>
      <c r="T335" s="16">
        <f>M335*Q335</f>
        <v>8000</v>
      </c>
      <c r="U335" s="16"/>
      <c r="V335" s="16">
        <f>M335*U335</f>
        <v>0</v>
      </c>
      <c r="W335" s="16">
        <f>T335-V335</f>
        <v>8000</v>
      </c>
      <c r="X335" s="18">
        <f>IF(T335&gt;0, W335/T335, 0)</f>
        <v>1</v>
      </c>
      <c r="Y335" s="9" t="s">
        <v>41</v>
      </c>
      <c r="Z335" s="11" t="s">
        <v>42</v>
      </c>
      <c r="AA335" s="11" t="s">
        <v>43</v>
      </c>
      <c r="AB335" s="11" t="s">
        <v>44</v>
      </c>
      <c r="AC335" s="9" t="s">
        <v>44</v>
      </c>
    </row>
    <row r="336" spans="1:29">
      <c r="A336" s="10">
        <v>329</v>
      </c>
      <c r="B336" s="10" t="s">
        <v>568</v>
      </c>
      <c r="C336" s="10" t="s">
        <v>563</v>
      </c>
      <c r="D336" s="10" t="s">
        <v>201</v>
      </c>
      <c r="E336" s="10" t="s">
        <v>34</v>
      </c>
      <c r="F336" s="10" t="s">
        <v>35</v>
      </c>
      <c r="G336" s="8" t="s">
        <v>52</v>
      </c>
      <c r="H336" s="8" t="s">
        <v>47</v>
      </c>
      <c r="I336" s="8" t="s">
        <v>48</v>
      </c>
      <c r="J336" s="10">
        <v>134</v>
      </c>
      <c r="K336" s="10" t="s">
        <v>379</v>
      </c>
      <c r="L336" s="10" t="s">
        <v>40</v>
      </c>
      <c r="M336" s="12">
        <v>1</v>
      </c>
      <c r="N336" s="15">
        <v>18000.0</v>
      </c>
      <c r="O336" s="15"/>
      <c r="P336" s="17">
        <f>IF(N336&gt;0, O336/N336, 0)</f>
        <v>0</v>
      </c>
      <c r="Q336" s="15">
        <f>N336-O336</f>
        <v>18000</v>
      </c>
      <c r="R336" s="15">
        <f>M336*N336</f>
        <v>18000</v>
      </c>
      <c r="S336" s="15">
        <f>M336*O336</f>
        <v>0</v>
      </c>
      <c r="T336" s="15">
        <f>M336*Q336</f>
        <v>18000</v>
      </c>
      <c r="U336" s="15"/>
      <c r="V336" s="15">
        <f>M336*U336</f>
        <v>0</v>
      </c>
      <c r="W336" s="15">
        <f>T336-V336</f>
        <v>18000</v>
      </c>
      <c r="X336" s="17">
        <f>IF(T336&gt;0, W336/T336, 0)</f>
        <v>1</v>
      </c>
      <c r="Y336" s="8" t="s">
        <v>41</v>
      </c>
      <c r="Z336" s="10" t="s">
        <v>42</v>
      </c>
      <c r="AA336" s="10" t="s">
        <v>43</v>
      </c>
      <c r="AB336" s="10" t="s">
        <v>44</v>
      </c>
      <c r="AC336" s="8" t="s">
        <v>44</v>
      </c>
    </row>
    <row r="337" spans="1:29">
      <c r="A337" s="11">
        <v>330</v>
      </c>
      <c r="B337" s="11" t="s">
        <v>569</v>
      </c>
      <c r="C337" s="11" t="s">
        <v>563</v>
      </c>
      <c r="D337" s="11" t="s">
        <v>201</v>
      </c>
      <c r="E337" s="11" t="s">
        <v>34</v>
      </c>
      <c r="F337" s="11" t="s">
        <v>35</v>
      </c>
      <c r="G337" s="9" t="s">
        <v>161</v>
      </c>
      <c r="H337" s="9" t="s">
        <v>162</v>
      </c>
      <c r="I337" s="9" t="s">
        <v>570</v>
      </c>
      <c r="J337" s="11" t="s">
        <v>44</v>
      </c>
      <c r="K337" s="11" t="s">
        <v>571</v>
      </c>
      <c r="L337" s="11" t="s">
        <v>40</v>
      </c>
      <c r="M337" s="13">
        <v>1</v>
      </c>
      <c r="N337" s="16">
        <v>5000.0</v>
      </c>
      <c r="O337" s="16"/>
      <c r="P337" s="18">
        <f>IF(N337&gt;0, O337/N337, 0)</f>
        <v>0</v>
      </c>
      <c r="Q337" s="16">
        <f>N337-O337</f>
        <v>5000</v>
      </c>
      <c r="R337" s="16">
        <f>M337*N337</f>
        <v>5000</v>
      </c>
      <c r="S337" s="16">
        <f>M337*O337</f>
        <v>0</v>
      </c>
      <c r="T337" s="16">
        <f>M337*Q337</f>
        <v>5000</v>
      </c>
      <c r="U337" s="16"/>
      <c r="V337" s="16">
        <f>M337*U337</f>
        <v>0</v>
      </c>
      <c r="W337" s="16">
        <f>T337-V337</f>
        <v>5000</v>
      </c>
      <c r="X337" s="18">
        <f>IF(T337&gt;0, W337/T337, 0)</f>
        <v>1</v>
      </c>
      <c r="Y337" s="9" t="s">
        <v>41</v>
      </c>
      <c r="Z337" s="11" t="s">
        <v>42</v>
      </c>
      <c r="AA337" s="11" t="s">
        <v>43</v>
      </c>
      <c r="AB337" s="11" t="s">
        <v>44</v>
      </c>
      <c r="AC337" s="9" t="s">
        <v>44</v>
      </c>
    </row>
    <row r="338" spans="1:29">
      <c r="A338" s="10">
        <v>331</v>
      </c>
      <c r="B338" s="10" t="s">
        <v>572</v>
      </c>
      <c r="C338" s="10" t="s">
        <v>563</v>
      </c>
      <c r="D338" s="10" t="s">
        <v>201</v>
      </c>
      <c r="E338" s="10" t="s">
        <v>70</v>
      </c>
      <c r="F338" s="10" t="s">
        <v>35</v>
      </c>
      <c r="G338" s="8" t="s">
        <v>52</v>
      </c>
      <c r="H338" s="8" t="s">
        <v>37</v>
      </c>
      <c r="I338" s="8" t="s">
        <v>75</v>
      </c>
      <c r="J338" s="10">
        <v>140</v>
      </c>
      <c r="K338" s="10" t="s">
        <v>573</v>
      </c>
      <c r="L338" s="10" t="s">
        <v>55</v>
      </c>
      <c r="M338" s="12">
        <v>1</v>
      </c>
      <c r="N338" s="15">
        <v>10000.0</v>
      </c>
      <c r="O338" s="15"/>
      <c r="P338" s="17">
        <f>IF(N338&gt;0, O338/N338, 0)</f>
        <v>0</v>
      </c>
      <c r="Q338" s="15">
        <f>N338-O338</f>
        <v>10000</v>
      </c>
      <c r="R338" s="15">
        <f>M338*N338</f>
        <v>10000</v>
      </c>
      <c r="S338" s="15">
        <f>M338*O338</f>
        <v>0</v>
      </c>
      <c r="T338" s="15">
        <f>M338*Q338</f>
        <v>10000</v>
      </c>
      <c r="U338" s="15"/>
      <c r="V338" s="15">
        <f>M338*U338</f>
        <v>0</v>
      </c>
      <c r="W338" s="15">
        <f>T338-V338</f>
        <v>10000</v>
      </c>
      <c r="X338" s="17">
        <f>IF(T338&gt;0, W338/T338, 0)</f>
        <v>1</v>
      </c>
      <c r="Y338" s="8" t="s">
        <v>41</v>
      </c>
      <c r="Z338" s="10" t="s">
        <v>42</v>
      </c>
      <c r="AA338" s="10" t="s">
        <v>73</v>
      </c>
      <c r="AB338" s="10" t="s">
        <v>44</v>
      </c>
      <c r="AC338" s="8" t="s">
        <v>44</v>
      </c>
    </row>
    <row r="339" spans="1:29">
      <c r="A339" s="11">
        <v>332</v>
      </c>
      <c r="B339" s="11" t="s">
        <v>574</v>
      </c>
      <c r="C339" s="11" t="s">
        <v>563</v>
      </c>
      <c r="D339" s="11" t="s">
        <v>201</v>
      </c>
      <c r="E339" s="11" t="s">
        <v>70</v>
      </c>
      <c r="F339" s="11" t="s">
        <v>35</v>
      </c>
      <c r="G339" s="9" t="s">
        <v>52</v>
      </c>
      <c r="H339" s="9" t="s">
        <v>65</v>
      </c>
      <c r="I339" s="9" t="s">
        <v>151</v>
      </c>
      <c r="J339" s="11">
        <v>134</v>
      </c>
      <c r="K339" s="11" t="s">
        <v>249</v>
      </c>
      <c r="L339" s="11" t="s">
        <v>40</v>
      </c>
      <c r="M339" s="13">
        <v>1</v>
      </c>
      <c r="N339" s="16">
        <v>10000.0</v>
      </c>
      <c r="O339" s="16"/>
      <c r="P339" s="18">
        <f>IF(N339&gt;0, O339/N339, 0)</f>
        <v>0</v>
      </c>
      <c r="Q339" s="16">
        <f>N339-O339</f>
        <v>10000</v>
      </c>
      <c r="R339" s="16">
        <f>M339*N339</f>
        <v>10000</v>
      </c>
      <c r="S339" s="16">
        <f>M339*O339</f>
        <v>0</v>
      </c>
      <c r="T339" s="16">
        <f>M339*Q339</f>
        <v>10000</v>
      </c>
      <c r="U339" s="16"/>
      <c r="V339" s="16">
        <f>M339*U339</f>
        <v>0</v>
      </c>
      <c r="W339" s="16">
        <f>T339-V339</f>
        <v>10000</v>
      </c>
      <c r="X339" s="18">
        <f>IF(T339&gt;0, W339/T339, 0)</f>
        <v>1</v>
      </c>
      <c r="Y339" s="9" t="s">
        <v>41</v>
      </c>
      <c r="Z339" s="11" t="s">
        <v>42</v>
      </c>
      <c r="AA339" s="11" t="s">
        <v>73</v>
      </c>
      <c r="AB339" s="11" t="s">
        <v>44</v>
      </c>
      <c r="AC339" s="9" t="s">
        <v>44</v>
      </c>
    </row>
    <row r="340" spans="1:29">
      <c r="A340" s="10">
        <v>333</v>
      </c>
      <c r="B340" s="10" t="s">
        <v>575</v>
      </c>
      <c r="C340" s="10" t="s">
        <v>563</v>
      </c>
      <c r="D340" s="10" t="s">
        <v>201</v>
      </c>
      <c r="E340" s="10" t="s">
        <v>70</v>
      </c>
      <c r="F340" s="10" t="s">
        <v>35</v>
      </c>
      <c r="G340" s="8" t="s">
        <v>52</v>
      </c>
      <c r="H340" s="8" t="s">
        <v>58</v>
      </c>
      <c r="I340" s="8" t="s">
        <v>58</v>
      </c>
      <c r="J340" s="10">
        <v>134</v>
      </c>
      <c r="K340" s="10" t="s">
        <v>284</v>
      </c>
      <c r="L340" s="10" t="s">
        <v>40</v>
      </c>
      <c r="M340" s="12">
        <v>1</v>
      </c>
      <c r="N340" s="15">
        <v>8000.0</v>
      </c>
      <c r="O340" s="15"/>
      <c r="P340" s="17">
        <f>IF(N340&gt;0, O340/N340, 0)</f>
        <v>0</v>
      </c>
      <c r="Q340" s="15">
        <f>N340-O340</f>
        <v>8000</v>
      </c>
      <c r="R340" s="15">
        <f>M340*N340</f>
        <v>8000</v>
      </c>
      <c r="S340" s="15">
        <f>M340*O340</f>
        <v>0</v>
      </c>
      <c r="T340" s="15">
        <f>M340*Q340</f>
        <v>8000</v>
      </c>
      <c r="U340" s="15"/>
      <c r="V340" s="15">
        <f>M340*U340</f>
        <v>0</v>
      </c>
      <c r="W340" s="15">
        <f>T340-V340</f>
        <v>8000</v>
      </c>
      <c r="X340" s="17">
        <f>IF(T340&gt;0, W340/T340, 0)</f>
        <v>1</v>
      </c>
      <c r="Y340" s="8" t="s">
        <v>41</v>
      </c>
      <c r="Z340" s="10" t="s">
        <v>42</v>
      </c>
      <c r="AA340" s="10" t="s">
        <v>73</v>
      </c>
      <c r="AB340" s="10" t="s">
        <v>44</v>
      </c>
      <c r="AC340" s="8" t="s">
        <v>44</v>
      </c>
    </row>
    <row r="341" spans="1:29">
      <c r="A341" s="11">
        <v>334</v>
      </c>
      <c r="B341" s="11" t="s">
        <v>576</v>
      </c>
      <c r="C341" s="11" t="s">
        <v>563</v>
      </c>
      <c r="D341" s="11" t="s">
        <v>201</v>
      </c>
      <c r="E341" s="11" t="s">
        <v>34</v>
      </c>
      <c r="F341" s="11" t="s">
        <v>35</v>
      </c>
      <c r="G341" s="9" t="s">
        <v>52</v>
      </c>
      <c r="H341" s="9" t="s">
        <v>71</v>
      </c>
      <c r="I341" s="9" t="s">
        <v>71</v>
      </c>
      <c r="J341" s="11">
        <v>140</v>
      </c>
      <c r="K341" s="11" t="s">
        <v>228</v>
      </c>
      <c r="L341" s="11" t="s">
        <v>40</v>
      </c>
      <c r="M341" s="13">
        <v>1</v>
      </c>
      <c r="N341" s="16">
        <v>16000.0</v>
      </c>
      <c r="O341" s="16"/>
      <c r="P341" s="18">
        <f>IF(N341&gt;0, O341/N341, 0)</f>
        <v>0</v>
      </c>
      <c r="Q341" s="16">
        <f>N341-O341</f>
        <v>16000</v>
      </c>
      <c r="R341" s="16">
        <f>M341*N341</f>
        <v>16000</v>
      </c>
      <c r="S341" s="16">
        <f>M341*O341</f>
        <v>0</v>
      </c>
      <c r="T341" s="16">
        <f>M341*Q341</f>
        <v>16000</v>
      </c>
      <c r="U341" s="16"/>
      <c r="V341" s="16">
        <f>M341*U341</f>
        <v>0</v>
      </c>
      <c r="W341" s="16">
        <f>T341-V341</f>
        <v>16000</v>
      </c>
      <c r="X341" s="18">
        <f>IF(T341&gt;0, W341/T341, 0)</f>
        <v>1</v>
      </c>
      <c r="Y341" s="9" t="s">
        <v>41</v>
      </c>
      <c r="Z341" s="11" t="s">
        <v>42</v>
      </c>
      <c r="AA341" s="11" t="s">
        <v>43</v>
      </c>
      <c r="AB341" s="11" t="s">
        <v>44</v>
      </c>
      <c r="AC341" s="9" t="s">
        <v>44</v>
      </c>
    </row>
    <row r="342" spans="1:29">
      <c r="A342" s="10">
        <v>335</v>
      </c>
      <c r="B342" s="10" t="s">
        <v>577</v>
      </c>
      <c r="C342" s="10" t="s">
        <v>563</v>
      </c>
      <c r="D342" s="10" t="s">
        <v>201</v>
      </c>
      <c r="E342" s="10" t="s">
        <v>34</v>
      </c>
      <c r="F342" s="10" t="s">
        <v>35</v>
      </c>
      <c r="G342" s="8" t="s">
        <v>52</v>
      </c>
      <c r="H342" s="8" t="s">
        <v>53</v>
      </c>
      <c r="I342" s="8" t="s">
        <v>53</v>
      </c>
      <c r="J342" s="10">
        <v>140</v>
      </c>
      <c r="K342" s="10" t="s">
        <v>282</v>
      </c>
      <c r="L342" s="10" t="s">
        <v>55</v>
      </c>
      <c r="M342" s="12">
        <v>1</v>
      </c>
      <c r="N342" s="15">
        <v>8000.0</v>
      </c>
      <c r="O342" s="15"/>
      <c r="P342" s="17">
        <f>IF(N342&gt;0, O342/N342, 0)</f>
        <v>0</v>
      </c>
      <c r="Q342" s="15">
        <f>N342-O342</f>
        <v>8000</v>
      </c>
      <c r="R342" s="15">
        <f>M342*N342</f>
        <v>8000</v>
      </c>
      <c r="S342" s="15">
        <f>M342*O342</f>
        <v>0</v>
      </c>
      <c r="T342" s="15">
        <f>M342*Q342</f>
        <v>8000</v>
      </c>
      <c r="U342" s="15"/>
      <c r="V342" s="15">
        <f>M342*U342</f>
        <v>0</v>
      </c>
      <c r="W342" s="15">
        <f>T342-V342</f>
        <v>8000</v>
      </c>
      <c r="X342" s="17">
        <f>IF(T342&gt;0, W342/T342, 0)</f>
        <v>1</v>
      </c>
      <c r="Y342" s="8" t="s">
        <v>41</v>
      </c>
      <c r="Z342" s="10" t="s">
        <v>42</v>
      </c>
      <c r="AA342" s="10" t="s">
        <v>43</v>
      </c>
      <c r="AB342" s="10" t="s">
        <v>44</v>
      </c>
      <c r="AC342" s="8" t="s">
        <v>44</v>
      </c>
    </row>
    <row r="343" spans="1:29">
      <c r="A343" s="11">
        <v>336</v>
      </c>
      <c r="B343" s="11" t="s">
        <v>578</v>
      </c>
      <c r="C343" s="11" t="s">
        <v>563</v>
      </c>
      <c r="D343" s="11" t="s">
        <v>201</v>
      </c>
      <c r="E343" s="11" t="s">
        <v>34</v>
      </c>
      <c r="F343" s="11" t="s">
        <v>35</v>
      </c>
      <c r="G343" s="9" t="s">
        <v>52</v>
      </c>
      <c r="H343" s="9" t="s">
        <v>37</v>
      </c>
      <c r="I343" s="9" t="s">
        <v>38</v>
      </c>
      <c r="J343" s="11">
        <v>140</v>
      </c>
      <c r="K343" s="11" t="s">
        <v>226</v>
      </c>
      <c r="L343" s="11" t="s">
        <v>55</v>
      </c>
      <c r="M343" s="13">
        <v>1</v>
      </c>
      <c r="N343" s="16">
        <v>7000.0</v>
      </c>
      <c r="O343" s="16"/>
      <c r="P343" s="18">
        <f>IF(N343&gt;0, O343/N343, 0)</f>
        <v>0</v>
      </c>
      <c r="Q343" s="16">
        <f>N343-O343</f>
        <v>7000</v>
      </c>
      <c r="R343" s="16">
        <f>M343*N343</f>
        <v>7000</v>
      </c>
      <c r="S343" s="16">
        <f>M343*O343</f>
        <v>0</v>
      </c>
      <c r="T343" s="16">
        <f>M343*Q343</f>
        <v>7000</v>
      </c>
      <c r="U343" s="16"/>
      <c r="V343" s="16">
        <f>M343*U343</f>
        <v>0</v>
      </c>
      <c r="W343" s="16">
        <f>T343-V343</f>
        <v>7000</v>
      </c>
      <c r="X343" s="18">
        <f>IF(T343&gt;0, W343/T343, 0)</f>
        <v>1</v>
      </c>
      <c r="Y343" s="9" t="s">
        <v>41</v>
      </c>
      <c r="Z343" s="11" t="s">
        <v>42</v>
      </c>
      <c r="AA343" s="11" t="s">
        <v>43</v>
      </c>
      <c r="AB343" s="11" t="s">
        <v>44</v>
      </c>
      <c r="AC343" s="9" t="s">
        <v>44</v>
      </c>
    </row>
    <row r="344" spans="1:29">
      <c r="A344" s="10">
        <v>337</v>
      </c>
      <c r="B344" s="10" t="s">
        <v>579</v>
      </c>
      <c r="C344" s="10" t="s">
        <v>563</v>
      </c>
      <c r="D344" s="10" t="s">
        <v>201</v>
      </c>
      <c r="E344" s="10" t="s">
        <v>70</v>
      </c>
      <c r="F344" s="10" t="s">
        <v>35</v>
      </c>
      <c r="G344" s="8" t="s">
        <v>52</v>
      </c>
      <c r="H344" s="8" t="s">
        <v>58</v>
      </c>
      <c r="I344" s="8" t="s">
        <v>58</v>
      </c>
      <c r="J344" s="10">
        <v>128</v>
      </c>
      <c r="K344" s="10" t="s">
        <v>580</v>
      </c>
      <c r="L344" s="10" t="s">
        <v>40</v>
      </c>
      <c r="M344" s="12">
        <v>1</v>
      </c>
      <c r="N344" s="15">
        <v>8000.0</v>
      </c>
      <c r="O344" s="15"/>
      <c r="P344" s="17">
        <f>IF(N344&gt;0, O344/N344, 0)</f>
        <v>0</v>
      </c>
      <c r="Q344" s="15">
        <f>N344-O344</f>
        <v>8000</v>
      </c>
      <c r="R344" s="15">
        <f>M344*N344</f>
        <v>8000</v>
      </c>
      <c r="S344" s="15">
        <f>M344*O344</f>
        <v>0</v>
      </c>
      <c r="T344" s="15">
        <f>M344*Q344</f>
        <v>8000</v>
      </c>
      <c r="U344" s="15"/>
      <c r="V344" s="15">
        <f>M344*U344</f>
        <v>0</v>
      </c>
      <c r="W344" s="15">
        <f>T344-V344</f>
        <v>8000</v>
      </c>
      <c r="X344" s="17">
        <f>IF(T344&gt;0, W344/T344, 0)</f>
        <v>1</v>
      </c>
      <c r="Y344" s="8" t="s">
        <v>41</v>
      </c>
      <c r="Z344" s="10" t="s">
        <v>42</v>
      </c>
      <c r="AA344" s="10" t="s">
        <v>73</v>
      </c>
      <c r="AB344" s="10" t="s">
        <v>44</v>
      </c>
      <c r="AC344" s="8" t="s">
        <v>44</v>
      </c>
    </row>
    <row r="345" spans="1:29">
      <c r="A345" s="11">
        <v>338</v>
      </c>
      <c r="B345" s="11" t="s">
        <v>581</v>
      </c>
      <c r="C345" s="11" t="s">
        <v>563</v>
      </c>
      <c r="D345" s="11" t="s">
        <v>201</v>
      </c>
      <c r="E345" s="11" t="s">
        <v>34</v>
      </c>
      <c r="F345" s="11" t="s">
        <v>35</v>
      </c>
      <c r="G345" s="9" t="s">
        <v>52</v>
      </c>
      <c r="H345" s="9" t="s">
        <v>71</v>
      </c>
      <c r="I345" s="9" t="s">
        <v>71</v>
      </c>
      <c r="J345" s="11">
        <v>140</v>
      </c>
      <c r="K345" s="11" t="s">
        <v>228</v>
      </c>
      <c r="L345" s="11" t="s">
        <v>40</v>
      </c>
      <c r="M345" s="13">
        <v>1</v>
      </c>
      <c r="N345" s="16">
        <v>16000.0</v>
      </c>
      <c r="O345" s="16"/>
      <c r="P345" s="18">
        <f>IF(N345&gt;0, O345/N345, 0)</f>
        <v>0</v>
      </c>
      <c r="Q345" s="16">
        <f>N345-O345</f>
        <v>16000</v>
      </c>
      <c r="R345" s="16">
        <f>M345*N345</f>
        <v>16000</v>
      </c>
      <c r="S345" s="16">
        <f>M345*O345</f>
        <v>0</v>
      </c>
      <c r="T345" s="16">
        <f>M345*Q345</f>
        <v>16000</v>
      </c>
      <c r="U345" s="16"/>
      <c r="V345" s="16">
        <f>M345*U345</f>
        <v>0</v>
      </c>
      <c r="W345" s="16">
        <f>T345-V345</f>
        <v>16000</v>
      </c>
      <c r="X345" s="18">
        <f>IF(T345&gt;0, W345/T345, 0)</f>
        <v>1</v>
      </c>
      <c r="Y345" s="9" t="s">
        <v>41</v>
      </c>
      <c r="Z345" s="11" t="s">
        <v>42</v>
      </c>
      <c r="AA345" s="11" t="s">
        <v>43</v>
      </c>
      <c r="AB345" s="11" t="s">
        <v>44</v>
      </c>
      <c r="AC345" s="9" t="s">
        <v>44</v>
      </c>
    </row>
    <row r="346" spans="1:29">
      <c r="A346" s="10">
        <v>339</v>
      </c>
      <c r="B346" s="10" t="s">
        <v>582</v>
      </c>
      <c r="C346" s="10" t="s">
        <v>563</v>
      </c>
      <c r="D346" s="10" t="s">
        <v>201</v>
      </c>
      <c r="E346" s="10" t="s">
        <v>34</v>
      </c>
      <c r="F346" s="10" t="s">
        <v>35</v>
      </c>
      <c r="G346" s="8" t="s">
        <v>52</v>
      </c>
      <c r="H346" s="8" t="s">
        <v>53</v>
      </c>
      <c r="I346" s="8" t="s">
        <v>53</v>
      </c>
      <c r="J346" s="10">
        <v>140</v>
      </c>
      <c r="K346" s="10" t="s">
        <v>282</v>
      </c>
      <c r="L346" s="10" t="s">
        <v>55</v>
      </c>
      <c r="M346" s="12">
        <v>1</v>
      </c>
      <c r="N346" s="15">
        <v>8000.0</v>
      </c>
      <c r="O346" s="15"/>
      <c r="P346" s="17">
        <f>IF(N346&gt;0, O346/N346, 0)</f>
        <v>0</v>
      </c>
      <c r="Q346" s="15">
        <f>N346-O346</f>
        <v>8000</v>
      </c>
      <c r="R346" s="15">
        <f>M346*N346</f>
        <v>8000</v>
      </c>
      <c r="S346" s="15">
        <f>M346*O346</f>
        <v>0</v>
      </c>
      <c r="T346" s="15">
        <f>M346*Q346</f>
        <v>8000</v>
      </c>
      <c r="U346" s="15"/>
      <c r="V346" s="15">
        <f>M346*U346</f>
        <v>0</v>
      </c>
      <c r="W346" s="15">
        <f>T346-V346</f>
        <v>8000</v>
      </c>
      <c r="X346" s="17">
        <f>IF(T346&gt;0, W346/T346, 0)</f>
        <v>1</v>
      </c>
      <c r="Y346" s="8" t="s">
        <v>41</v>
      </c>
      <c r="Z346" s="10" t="s">
        <v>42</v>
      </c>
      <c r="AA346" s="10" t="s">
        <v>43</v>
      </c>
      <c r="AB346" s="10" t="s">
        <v>44</v>
      </c>
      <c r="AC346" s="8" t="s">
        <v>44</v>
      </c>
    </row>
    <row r="347" spans="1:29">
      <c r="A347" s="11">
        <v>340</v>
      </c>
      <c r="B347" s="11" t="s">
        <v>583</v>
      </c>
      <c r="C347" s="11" t="s">
        <v>563</v>
      </c>
      <c r="D347" s="11" t="s">
        <v>201</v>
      </c>
      <c r="E347" s="11" t="s">
        <v>34</v>
      </c>
      <c r="F347" s="11" t="s">
        <v>35</v>
      </c>
      <c r="G347" s="9" t="s">
        <v>52</v>
      </c>
      <c r="H347" s="9" t="s">
        <v>37</v>
      </c>
      <c r="I347" s="9" t="s">
        <v>75</v>
      </c>
      <c r="J347" s="11">
        <v>146</v>
      </c>
      <c r="K347" s="11" t="s">
        <v>343</v>
      </c>
      <c r="L347" s="11" t="s">
        <v>55</v>
      </c>
      <c r="M347" s="13">
        <v>1</v>
      </c>
      <c r="N347" s="16">
        <v>8000.0</v>
      </c>
      <c r="O347" s="16"/>
      <c r="P347" s="18">
        <f>IF(N347&gt;0, O347/N347, 0)</f>
        <v>0</v>
      </c>
      <c r="Q347" s="16">
        <f>N347-O347</f>
        <v>8000</v>
      </c>
      <c r="R347" s="16">
        <f>M347*N347</f>
        <v>8000</v>
      </c>
      <c r="S347" s="16">
        <f>M347*O347</f>
        <v>0</v>
      </c>
      <c r="T347" s="16">
        <f>M347*Q347</f>
        <v>8000</v>
      </c>
      <c r="U347" s="16"/>
      <c r="V347" s="16">
        <f>M347*U347</f>
        <v>0</v>
      </c>
      <c r="W347" s="16">
        <f>T347-V347</f>
        <v>8000</v>
      </c>
      <c r="X347" s="18">
        <f>IF(T347&gt;0, W347/T347, 0)</f>
        <v>1</v>
      </c>
      <c r="Y347" s="9" t="s">
        <v>41</v>
      </c>
      <c r="Z347" s="11" t="s">
        <v>42</v>
      </c>
      <c r="AA347" s="11" t="s">
        <v>43</v>
      </c>
      <c r="AB347" s="11" t="s">
        <v>44</v>
      </c>
      <c r="AC347" s="9" t="s">
        <v>44</v>
      </c>
    </row>
    <row r="348" spans="1:29">
      <c r="A348" s="10">
        <v>341</v>
      </c>
      <c r="B348" s="10" t="s">
        <v>584</v>
      </c>
      <c r="C348" s="10" t="s">
        <v>563</v>
      </c>
      <c r="D348" s="10" t="s">
        <v>201</v>
      </c>
      <c r="E348" s="10" t="s">
        <v>34</v>
      </c>
      <c r="F348" s="10" t="s">
        <v>35</v>
      </c>
      <c r="G348" s="8" t="s">
        <v>52</v>
      </c>
      <c r="H348" s="8" t="s">
        <v>37</v>
      </c>
      <c r="I348" s="8" t="s">
        <v>38</v>
      </c>
      <c r="J348" s="10">
        <v>140</v>
      </c>
      <c r="K348" s="10" t="s">
        <v>226</v>
      </c>
      <c r="L348" s="10" t="s">
        <v>55</v>
      </c>
      <c r="M348" s="12">
        <v>2</v>
      </c>
      <c r="N348" s="15">
        <v>7000.0</v>
      </c>
      <c r="O348" s="15"/>
      <c r="P348" s="17">
        <f>IF(N348&gt;0, O348/N348, 0)</f>
        <v>0</v>
      </c>
      <c r="Q348" s="15">
        <f>N348-O348</f>
        <v>7000</v>
      </c>
      <c r="R348" s="15">
        <f>M348*N348</f>
        <v>14000</v>
      </c>
      <c r="S348" s="15">
        <f>M348*O348</f>
        <v>0</v>
      </c>
      <c r="T348" s="15">
        <f>M348*Q348</f>
        <v>14000</v>
      </c>
      <c r="U348" s="15"/>
      <c r="V348" s="15">
        <f>M348*U348</f>
        <v>0</v>
      </c>
      <c r="W348" s="15">
        <f>T348-V348</f>
        <v>14000</v>
      </c>
      <c r="X348" s="17">
        <f>IF(T348&gt;0, W348/T348, 0)</f>
        <v>1</v>
      </c>
      <c r="Y348" s="8" t="s">
        <v>41</v>
      </c>
      <c r="Z348" s="10" t="s">
        <v>42</v>
      </c>
      <c r="AA348" s="10" t="s">
        <v>43</v>
      </c>
      <c r="AB348" s="10" t="s">
        <v>44</v>
      </c>
      <c r="AC348" s="8" t="s">
        <v>44</v>
      </c>
    </row>
    <row r="349" spans="1:29">
      <c r="A349" s="11">
        <v>342</v>
      </c>
      <c r="B349" s="11" t="s">
        <v>585</v>
      </c>
      <c r="C349" s="11" t="s">
        <v>563</v>
      </c>
      <c r="D349" s="11" t="s">
        <v>201</v>
      </c>
      <c r="E349" s="11" t="s">
        <v>70</v>
      </c>
      <c r="F349" s="11" t="s">
        <v>35</v>
      </c>
      <c r="G349" s="9" t="s">
        <v>52</v>
      </c>
      <c r="H349" s="9" t="s">
        <v>65</v>
      </c>
      <c r="I349" s="9" t="s">
        <v>151</v>
      </c>
      <c r="J349" s="11">
        <v>134</v>
      </c>
      <c r="K349" s="11" t="s">
        <v>249</v>
      </c>
      <c r="L349" s="11" t="s">
        <v>40</v>
      </c>
      <c r="M349" s="13">
        <v>1</v>
      </c>
      <c r="N349" s="16">
        <v>10000.0</v>
      </c>
      <c r="O349" s="16"/>
      <c r="P349" s="18">
        <f>IF(N349&gt;0, O349/N349, 0)</f>
        <v>0</v>
      </c>
      <c r="Q349" s="16">
        <f>N349-O349</f>
        <v>10000</v>
      </c>
      <c r="R349" s="16">
        <f>M349*N349</f>
        <v>10000</v>
      </c>
      <c r="S349" s="16">
        <f>M349*O349</f>
        <v>0</v>
      </c>
      <c r="T349" s="16">
        <f>M349*Q349</f>
        <v>10000</v>
      </c>
      <c r="U349" s="16"/>
      <c r="V349" s="16">
        <f>M349*U349</f>
        <v>0</v>
      </c>
      <c r="W349" s="16">
        <f>T349-V349</f>
        <v>10000</v>
      </c>
      <c r="X349" s="18">
        <f>IF(T349&gt;0, W349/T349, 0)</f>
        <v>1</v>
      </c>
      <c r="Y349" s="9" t="s">
        <v>41</v>
      </c>
      <c r="Z349" s="11" t="s">
        <v>42</v>
      </c>
      <c r="AA349" s="11" t="s">
        <v>73</v>
      </c>
      <c r="AB349" s="11" t="s">
        <v>44</v>
      </c>
      <c r="AC349" s="9" t="s">
        <v>44</v>
      </c>
    </row>
    <row r="350" spans="1:29">
      <c r="A350" s="10">
        <v>343</v>
      </c>
      <c r="B350" s="10" t="s">
        <v>586</v>
      </c>
      <c r="C350" s="10" t="s">
        <v>563</v>
      </c>
      <c r="D350" s="10" t="s">
        <v>201</v>
      </c>
      <c r="E350" s="10" t="s">
        <v>34</v>
      </c>
      <c r="F350" s="10" t="s">
        <v>35</v>
      </c>
      <c r="G350" s="8" t="s">
        <v>52</v>
      </c>
      <c r="H350" s="8" t="s">
        <v>58</v>
      </c>
      <c r="I350" s="8" t="s">
        <v>58</v>
      </c>
      <c r="J350" s="10">
        <v>134</v>
      </c>
      <c r="K350" s="10" t="s">
        <v>284</v>
      </c>
      <c r="L350" s="10" t="s">
        <v>40</v>
      </c>
      <c r="M350" s="12">
        <v>1</v>
      </c>
      <c r="N350" s="15">
        <v>8000.0</v>
      </c>
      <c r="O350" s="15"/>
      <c r="P350" s="17">
        <f>IF(N350&gt;0, O350/N350, 0)</f>
        <v>0</v>
      </c>
      <c r="Q350" s="15">
        <f>N350-O350</f>
        <v>8000</v>
      </c>
      <c r="R350" s="15">
        <f>M350*N350</f>
        <v>8000</v>
      </c>
      <c r="S350" s="15">
        <f>M350*O350</f>
        <v>0</v>
      </c>
      <c r="T350" s="15">
        <f>M350*Q350</f>
        <v>8000</v>
      </c>
      <c r="U350" s="15"/>
      <c r="V350" s="15">
        <f>M350*U350</f>
        <v>0</v>
      </c>
      <c r="W350" s="15">
        <f>T350-V350</f>
        <v>8000</v>
      </c>
      <c r="X350" s="17">
        <f>IF(T350&gt;0, W350/T350, 0)</f>
        <v>1</v>
      </c>
      <c r="Y350" s="8" t="s">
        <v>41</v>
      </c>
      <c r="Z350" s="10" t="s">
        <v>42</v>
      </c>
      <c r="AA350" s="10" t="s">
        <v>43</v>
      </c>
      <c r="AB350" s="10" t="s">
        <v>44</v>
      </c>
      <c r="AC350" s="8" t="s">
        <v>44</v>
      </c>
    </row>
    <row r="351" spans="1:29">
      <c r="A351" s="11">
        <v>344</v>
      </c>
      <c r="B351" s="11" t="s">
        <v>587</v>
      </c>
      <c r="C351" s="11" t="s">
        <v>563</v>
      </c>
      <c r="D351" s="11" t="s">
        <v>201</v>
      </c>
      <c r="E351" s="11" t="s">
        <v>34</v>
      </c>
      <c r="F351" s="11" t="s">
        <v>35</v>
      </c>
      <c r="G351" s="9" t="s">
        <v>52</v>
      </c>
      <c r="H351" s="9" t="s">
        <v>71</v>
      </c>
      <c r="I351" s="9" t="s">
        <v>71</v>
      </c>
      <c r="J351" s="11">
        <v>134</v>
      </c>
      <c r="K351" s="11" t="s">
        <v>212</v>
      </c>
      <c r="L351" s="11" t="s">
        <v>40</v>
      </c>
      <c r="M351" s="13">
        <v>1</v>
      </c>
      <c r="N351" s="16">
        <v>16000.0</v>
      </c>
      <c r="O351" s="16"/>
      <c r="P351" s="18">
        <f>IF(N351&gt;0, O351/N351, 0)</f>
        <v>0</v>
      </c>
      <c r="Q351" s="16">
        <f>N351-O351</f>
        <v>16000</v>
      </c>
      <c r="R351" s="16">
        <f>M351*N351</f>
        <v>16000</v>
      </c>
      <c r="S351" s="16">
        <f>M351*O351</f>
        <v>0</v>
      </c>
      <c r="T351" s="16">
        <f>M351*Q351</f>
        <v>16000</v>
      </c>
      <c r="U351" s="16"/>
      <c r="V351" s="16">
        <f>M351*U351</f>
        <v>0</v>
      </c>
      <c r="W351" s="16">
        <f>T351-V351</f>
        <v>16000</v>
      </c>
      <c r="X351" s="18">
        <f>IF(T351&gt;0, W351/T351, 0)</f>
        <v>1</v>
      </c>
      <c r="Y351" s="9" t="s">
        <v>41</v>
      </c>
      <c r="Z351" s="11" t="s">
        <v>42</v>
      </c>
      <c r="AA351" s="11" t="s">
        <v>43</v>
      </c>
      <c r="AB351" s="11" t="s">
        <v>44</v>
      </c>
      <c r="AC351" s="9" t="s">
        <v>44</v>
      </c>
    </row>
    <row r="352" spans="1:29">
      <c r="A352" s="10">
        <v>345</v>
      </c>
      <c r="B352" s="10" t="s">
        <v>588</v>
      </c>
      <c r="C352" s="10" t="s">
        <v>563</v>
      </c>
      <c r="D352" s="10" t="s">
        <v>201</v>
      </c>
      <c r="E352" s="10" t="s">
        <v>34</v>
      </c>
      <c r="F352" s="10" t="s">
        <v>35</v>
      </c>
      <c r="G352" s="8" t="s">
        <v>52</v>
      </c>
      <c r="H352" s="8" t="s">
        <v>53</v>
      </c>
      <c r="I352" s="8" t="s">
        <v>53</v>
      </c>
      <c r="J352" s="10">
        <v>140</v>
      </c>
      <c r="K352" s="10" t="s">
        <v>282</v>
      </c>
      <c r="L352" s="10" t="s">
        <v>55</v>
      </c>
      <c r="M352" s="12">
        <v>1</v>
      </c>
      <c r="N352" s="15">
        <v>8000.0</v>
      </c>
      <c r="O352" s="15"/>
      <c r="P352" s="17">
        <f>IF(N352&gt;0, O352/N352, 0)</f>
        <v>0</v>
      </c>
      <c r="Q352" s="15">
        <f>N352-O352</f>
        <v>8000</v>
      </c>
      <c r="R352" s="15">
        <f>M352*N352</f>
        <v>8000</v>
      </c>
      <c r="S352" s="15">
        <f>M352*O352</f>
        <v>0</v>
      </c>
      <c r="T352" s="15">
        <f>M352*Q352</f>
        <v>8000</v>
      </c>
      <c r="U352" s="15"/>
      <c r="V352" s="15">
        <f>M352*U352</f>
        <v>0</v>
      </c>
      <c r="W352" s="15">
        <f>T352-V352</f>
        <v>8000</v>
      </c>
      <c r="X352" s="17">
        <f>IF(T352&gt;0, W352/T352, 0)</f>
        <v>1</v>
      </c>
      <c r="Y352" s="8" t="s">
        <v>41</v>
      </c>
      <c r="Z352" s="10" t="s">
        <v>42</v>
      </c>
      <c r="AA352" s="10" t="s">
        <v>43</v>
      </c>
      <c r="AB352" s="10" t="s">
        <v>44</v>
      </c>
      <c r="AC352" s="8" t="s">
        <v>44</v>
      </c>
    </row>
    <row r="353" spans="1:29">
      <c r="A353" s="11">
        <v>346</v>
      </c>
      <c r="B353" s="11" t="s">
        <v>589</v>
      </c>
      <c r="C353" s="11" t="s">
        <v>563</v>
      </c>
      <c r="D353" s="11" t="s">
        <v>201</v>
      </c>
      <c r="E353" s="11" t="s">
        <v>34</v>
      </c>
      <c r="F353" s="11" t="s">
        <v>35</v>
      </c>
      <c r="G353" s="9" t="s">
        <v>52</v>
      </c>
      <c r="H353" s="9" t="s">
        <v>37</v>
      </c>
      <c r="I353" s="9" t="s">
        <v>38</v>
      </c>
      <c r="J353" s="11">
        <v>140</v>
      </c>
      <c r="K353" s="11" t="s">
        <v>226</v>
      </c>
      <c r="L353" s="11" t="s">
        <v>55</v>
      </c>
      <c r="M353" s="13">
        <v>2</v>
      </c>
      <c r="N353" s="16">
        <v>7000.0</v>
      </c>
      <c r="O353" s="16"/>
      <c r="P353" s="18">
        <f>IF(N353&gt;0, O353/N353, 0)</f>
        <v>0</v>
      </c>
      <c r="Q353" s="16">
        <f>N353-O353</f>
        <v>7000</v>
      </c>
      <c r="R353" s="16">
        <f>M353*N353</f>
        <v>14000</v>
      </c>
      <c r="S353" s="16">
        <f>M353*O353</f>
        <v>0</v>
      </c>
      <c r="T353" s="16">
        <f>M353*Q353</f>
        <v>14000</v>
      </c>
      <c r="U353" s="16"/>
      <c r="V353" s="16">
        <f>M353*U353</f>
        <v>0</v>
      </c>
      <c r="W353" s="16">
        <f>T353-V353</f>
        <v>14000</v>
      </c>
      <c r="X353" s="18">
        <f>IF(T353&gt;0, W353/T353, 0)</f>
        <v>1</v>
      </c>
      <c r="Y353" s="9" t="s">
        <v>41</v>
      </c>
      <c r="Z353" s="11" t="s">
        <v>42</v>
      </c>
      <c r="AA353" s="11" t="s">
        <v>43</v>
      </c>
      <c r="AB353" s="11" t="s">
        <v>44</v>
      </c>
      <c r="AC353" s="9" t="s">
        <v>44</v>
      </c>
    </row>
    <row r="354" spans="1:29">
      <c r="A354" s="10">
        <v>347</v>
      </c>
      <c r="B354" s="10" t="s">
        <v>590</v>
      </c>
      <c r="C354" s="10" t="s">
        <v>563</v>
      </c>
      <c r="D354" s="10" t="s">
        <v>201</v>
      </c>
      <c r="E354" s="10" t="s">
        <v>34</v>
      </c>
      <c r="F354" s="10" t="s">
        <v>35</v>
      </c>
      <c r="G354" s="8" t="s">
        <v>36</v>
      </c>
      <c r="H354" s="8" t="s">
        <v>53</v>
      </c>
      <c r="I354" s="8" t="s">
        <v>53</v>
      </c>
      <c r="J354" s="10">
        <v>158</v>
      </c>
      <c r="K354" s="10" t="s">
        <v>124</v>
      </c>
      <c r="L354" s="10" t="s">
        <v>40</v>
      </c>
      <c r="M354" s="12">
        <v>1</v>
      </c>
      <c r="N354" s="15">
        <v>8500.0</v>
      </c>
      <c r="O354" s="15"/>
      <c r="P354" s="17">
        <f>IF(N354&gt;0, O354/N354, 0)</f>
        <v>0</v>
      </c>
      <c r="Q354" s="15">
        <f>N354-O354</f>
        <v>8500</v>
      </c>
      <c r="R354" s="15">
        <f>M354*N354</f>
        <v>8500</v>
      </c>
      <c r="S354" s="15">
        <f>M354*O354</f>
        <v>0</v>
      </c>
      <c r="T354" s="15">
        <f>M354*Q354</f>
        <v>8500</v>
      </c>
      <c r="U354" s="15"/>
      <c r="V354" s="15">
        <f>M354*U354</f>
        <v>0</v>
      </c>
      <c r="W354" s="15">
        <f>T354-V354</f>
        <v>8500</v>
      </c>
      <c r="X354" s="17">
        <f>IF(T354&gt;0, W354/T354, 0)</f>
        <v>1</v>
      </c>
      <c r="Y354" s="8" t="s">
        <v>41</v>
      </c>
      <c r="Z354" s="10" t="s">
        <v>42</v>
      </c>
      <c r="AA354" s="10" t="s">
        <v>43</v>
      </c>
      <c r="AB354" s="10" t="s">
        <v>44</v>
      </c>
      <c r="AC354" s="8" t="s">
        <v>44</v>
      </c>
    </row>
    <row r="355" spans="1:29">
      <c r="A355" s="11">
        <v>348</v>
      </c>
      <c r="B355" s="11" t="s">
        <v>591</v>
      </c>
      <c r="C355" s="11" t="s">
        <v>563</v>
      </c>
      <c r="D355" s="11" t="s">
        <v>201</v>
      </c>
      <c r="E355" s="11" t="s">
        <v>34</v>
      </c>
      <c r="F355" s="11" t="s">
        <v>35</v>
      </c>
      <c r="G355" s="9" t="s">
        <v>52</v>
      </c>
      <c r="H355" s="9" t="s">
        <v>53</v>
      </c>
      <c r="I355" s="9" t="s">
        <v>53</v>
      </c>
      <c r="J355" s="11">
        <v>140</v>
      </c>
      <c r="K355" s="11" t="s">
        <v>282</v>
      </c>
      <c r="L355" s="11" t="s">
        <v>55</v>
      </c>
      <c r="M355" s="13">
        <v>2</v>
      </c>
      <c r="N355" s="16">
        <v>8000.0</v>
      </c>
      <c r="O355" s="16"/>
      <c r="P355" s="18">
        <f>IF(N355&gt;0, O355/N355, 0)</f>
        <v>0</v>
      </c>
      <c r="Q355" s="16">
        <f>N355-O355</f>
        <v>8000</v>
      </c>
      <c r="R355" s="16">
        <f>M355*N355</f>
        <v>16000</v>
      </c>
      <c r="S355" s="16">
        <f>M355*O355</f>
        <v>0</v>
      </c>
      <c r="T355" s="16">
        <f>M355*Q355</f>
        <v>16000</v>
      </c>
      <c r="U355" s="16"/>
      <c r="V355" s="16">
        <f>M355*U355</f>
        <v>0</v>
      </c>
      <c r="W355" s="16">
        <f>T355-V355</f>
        <v>16000</v>
      </c>
      <c r="X355" s="18">
        <f>IF(T355&gt;0, W355/T355, 0)</f>
        <v>1</v>
      </c>
      <c r="Y355" s="9" t="s">
        <v>41</v>
      </c>
      <c r="Z355" s="11" t="s">
        <v>42</v>
      </c>
      <c r="AA355" s="11" t="s">
        <v>43</v>
      </c>
      <c r="AB355" s="11" t="s">
        <v>44</v>
      </c>
      <c r="AC355" s="9" t="s">
        <v>44</v>
      </c>
    </row>
    <row r="356" spans="1:29">
      <c r="A356" s="10">
        <v>349</v>
      </c>
      <c r="B356" s="10" t="s">
        <v>592</v>
      </c>
      <c r="C356" s="10" t="s">
        <v>563</v>
      </c>
      <c r="D356" s="10" t="s">
        <v>201</v>
      </c>
      <c r="E356" s="10" t="s">
        <v>34</v>
      </c>
      <c r="F356" s="10" t="s">
        <v>35</v>
      </c>
      <c r="G356" s="8" t="s">
        <v>52</v>
      </c>
      <c r="H356" s="8" t="s">
        <v>37</v>
      </c>
      <c r="I356" s="8" t="s">
        <v>75</v>
      </c>
      <c r="J356" s="10">
        <v>146</v>
      </c>
      <c r="K356" s="10" t="s">
        <v>343</v>
      </c>
      <c r="L356" s="10" t="s">
        <v>55</v>
      </c>
      <c r="M356" s="12">
        <v>1</v>
      </c>
      <c r="N356" s="15">
        <v>8000.0</v>
      </c>
      <c r="O356" s="15"/>
      <c r="P356" s="17">
        <f>IF(N356&gt;0, O356/N356, 0)</f>
        <v>0</v>
      </c>
      <c r="Q356" s="15">
        <f>N356-O356</f>
        <v>8000</v>
      </c>
      <c r="R356" s="15">
        <f>M356*N356</f>
        <v>8000</v>
      </c>
      <c r="S356" s="15">
        <f>M356*O356</f>
        <v>0</v>
      </c>
      <c r="T356" s="15">
        <f>M356*Q356</f>
        <v>8000</v>
      </c>
      <c r="U356" s="15"/>
      <c r="V356" s="15">
        <f>M356*U356</f>
        <v>0</v>
      </c>
      <c r="W356" s="15">
        <f>T356-V356</f>
        <v>8000</v>
      </c>
      <c r="X356" s="17">
        <f>IF(T356&gt;0, W356/T356, 0)</f>
        <v>1</v>
      </c>
      <c r="Y356" s="8" t="s">
        <v>41</v>
      </c>
      <c r="Z356" s="10" t="s">
        <v>42</v>
      </c>
      <c r="AA356" s="10" t="s">
        <v>43</v>
      </c>
      <c r="AB356" s="10" t="s">
        <v>44</v>
      </c>
      <c r="AC356" s="8" t="s">
        <v>44</v>
      </c>
    </row>
    <row r="357" spans="1:29">
      <c r="A357" s="11">
        <v>350</v>
      </c>
      <c r="B357" s="11" t="s">
        <v>593</v>
      </c>
      <c r="C357" s="11" t="s">
        <v>563</v>
      </c>
      <c r="D357" s="11" t="s">
        <v>201</v>
      </c>
      <c r="E357" s="11" t="s">
        <v>34</v>
      </c>
      <c r="F357" s="11" t="s">
        <v>35</v>
      </c>
      <c r="G357" s="9" t="s">
        <v>52</v>
      </c>
      <c r="H357" s="9" t="s">
        <v>71</v>
      </c>
      <c r="I357" s="9" t="s">
        <v>71</v>
      </c>
      <c r="J357" s="11">
        <v>140</v>
      </c>
      <c r="K357" s="11" t="s">
        <v>228</v>
      </c>
      <c r="L357" s="11" t="s">
        <v>40</v>
      </c>
      <c r="M357" s="13">
        <v>1</v>
      </c>
      <c r="N357" s="16">
        <v>16000.0</v>
      </c>
      <c r="O357" s="16"/>
      <c r="P357" s="18">
        <f>IF(N357&gt;0, O357/N357, 0)</f>
        <v>0</v>
      </c>
      <c r="Q357" s="16">
        <f>N357-O357</f>
        <v>16000</v>
      </c>
      <c r="R357" s="16">
        <f>M357*N357</f>
        <v>16000</v>
      </c>
      <c r="S357" s="16">
        <f>M357*O357</f>
        <v>0</v>
      </c>
      <c r="T357" s="16">
        <f>M357*Q357</f>
        <v>16000</v>
      </c>
      <c r="U357" s="16"/>
      <c r="V357" s="16">
        <f>M357*U357</f>
        <v>0</v>
      </c>
      <c r="W357" s="16">
        <f>T357-V357</f>
        <v>16000</v>
      </c>
      <c r="X357" s="18">
        <f>IF(T357&gt;0, W357/T357, 0)</f>
        <v>1</v>
      </c>
      <c r="Y357" s="9" t="s">
        <v>41</v>
      </c>
      <c r="Z357" s="11" t="s">
        <v>42</v>
      </c>
      <c r="AA357" s="11" t="s">
        <v>43</v>
      </c>
      <c r="AB357" s="11" t="s">
        <v>44</v>
      </c>
      <c r="AC357" s="9" t="s">
        <v>44</v>
      </c>
    </row>
    <row r="358" spans="1:29">
      <c r="A358" s="10">
        <v>351</v>
      </c>
      <c r="B358" s="10" t="s">
        <v>594</v>
      </c>
      <c r="C358" s="10" t="s">
        <v>595</v>
      </c>
      <c r="D358" s="10" t="s">
        <v>201</v>
      </c>
      <c r="E358" s="10" t="s">
        <v>34</v>
      </c>
      <c r="F358" s="10" t="s">
        <v>35</v>
      </c>
      <c r="G358" s="8" t="s">
        <v>52</v>
      </c>
      <c r="H358" s="8" t="s">
        <v>65</v>
      </c>
      <c r="I358" s="8" t="s">
        <v>151</v>
      </c>
      <c r="J358" s="10">
        <v>122</v>
      </c>
      <c r="K358" s="10" t="s">
        <v>244</v>
      </c>
      <c r="L358" s="10" t="s">
        <v>40</v>
      </c>
      <c r="M358" s="12">
        <v>1</v>
      </c>
      <c r="N358" s="15">
        <v>9000.0</v>
      </c>
      <c r="O358" s="15"/>
      <c r="P358" s="17">
        <f>IF(N358&gt;0, O358/N358, 0)</f>
        <v>0</v>
      </c>
      <c r="Q358" s="15">
        <f>N358-O358</f>
        <v>9000</v>
      </c>
      <c r="R358" s="15">
        <f>M358*N358</f>
        <v>9000</v>
      </c>
      <c r="S358" s="15">
        <f>M358*O358</f>
        <v>0</v>
      </c>
      <c r="T358" s="15">
        <f>M358*Q358</f>
        <v>9000</v>
      </c>
      <c r="U358" s="15"/>
      <c r="V358" s="15">
        <f>M358*U358</f>
        <v>0</v>
      </c>
      <c r="W358" s="15">
        <f>T358-V358</f>
        <v>9000</v>
      </c>
      <c r="X358" s="17">
        <f>IF(T358&gt;0, W358/T358, 0)</f>
        <v>1</v>
      </c>
      <c r="Y358" s="8" t="s">
        <v>41</v>
      </c>
      <c r="Z358" s="10" t="s">
        <v>42</v>
      </c>
      <c r="AA358" s="10" t="s">
        <v>43</v>
      </c>
      <c r="AB358" s="10" t="s">
        <v>44</v>
      </c>
      <c r="AC358" s="8" t="s">
        <v>44</v>
      </c>
    </row>
    <row r="359" spans="1:29">
      <c r="A359" s="11">
        <v>352</v>
      </c>
      <c r="B359" s="11" t="s">
        <v>596</v>
      </c>
      <c r="C359" s="11" t="s">
        <v>595</v>
      </c>
      <c r="D359" s="11" t="s">
        <v>201</v>
      </c>
      <c r="E359" s="11" t="s">
        <v>34</v>
      </c>
      <c r="F359" s="11" t="s">
        <v>35</v>
      </c>
      <c r="G359" s="9" t="s">
        <v>52</v>
      </c>
      <c r="H359" s="9" t="s">
        <v>47</v>
      </c>
      <c r="I359" s="9" t="s">
        <v>48</v>
      </c>
      <c r="J359" s="11">
        <v>116</v>
      </c>
      <c r="K359" s="11" t="s">
        <v>597</v>
      </c>
      <c r="L359" s="11" t="s">
        <v>40</v>
      </c>
      <c r="M359" s="13">
        <v>1</v>
      </c>
      <c r="N359" s="16">
        <v>18000.0</v>
      </c>
      <c r="O359" s="16"/>
      <c r="P359" s="18">
        <f>IF(N359&gt;0, O359/N359, 0)</f>
        <v>0</v>
      </c>
      <c r="Q359" s="16">
        <f>N359-O359</f>
        <v>18000</v>
      </c>
      <c r="R359" s="16">
        <f>M359*N359</f>
        <v>18000</v>
      </c>
      <c r="S359" s="16">
        <f>M359*O359</f>
        <v>0</v>
      </c>
      <c r="T359" s="16">
        <f>M359*Q359</f>
        <v>18000</v>
      </c>
      <c r="U359" s="16"/>
      <c r="V359" s="16">
        <f>M359*U359</f>
        <v>0</v>
      </c>
      <c r="W359" s="16">
        <f>T359-V359</f>
        <v>18000</v>
      </c>
      <c r="X359" s="18">
        <f>IF(T359&gt;0, W359/T359, 0)</f>
        <v>1</v>
      </c>
      <c r="Y359" s="9" t="s">
        <v>41</v>
      </c>
      <c r="Z359" s="11" t="s">
        <v>42</v>
      </c>
      <c r="AA359" s="11" t="s">
        <v>43</v>
      </c>
      <c r="AB359" s="11" t="s">
        <v>44</v>
      </c>
      <c r="AC359" s="9" t="s">
        <v>44</v>
      </c>
    </row>
    <row r="360" spans="1:29">
      <c r="A360" s="10">
        <v>353</v>
      </c>
      <c r="B360" s="10" t="s">
        <v>598</v>
      </c>
      <c r="C360" s="10" t="s">
        <v>595</v>
      </c>
      <c r="D360" s="10" t="s">
        <v>201</v>
      </c>
      <c r="E360" s="10" t="s">
        <v>34</v>
      </c>
      <c r="F360" s="10" t="s">
        <v>35</v>
      </c>
      <c r="G360" s="8" t="s">
        <v>52</v>
      </c>
      <c r="H360" s="8" t="s">
        <v>65</v>
      </c>
      <c r="I360" s="8" t="s">
        <v>151</v>
      </c>
      <c r="J360" s="10">
        <v>140</v>
      </c>
      <c r="K360" s="10" t="s">
        <v>224</v>
      </c>
      <c r="L360" s="10" t="s">
        <v>40</v>
      </c>
      <c r="M360" s="12">
        <v>1</v>
      </c>
      <c r="N360" s="15">
        <v>10000.0</v>
      </c>
      <c r="O360" s="15"/>
      <c r="P360" s="17">
        <f>IF(N360&gt;0, O360/N360, 0)</f>
        <v>0</v>
      </c>
      <c r="Q360" s="15">
        <f>N360-O360</f>
        <v>10000</v>
      </c>
      <c r="R360" s="15">
        <f>M360*N360</f>
        <v>10000</v>
      </c>
      <c r="S360" s="15">
        <f>M360*O360</f>
        <v>0</v>
      </c>
      <c r="T360" s="15">
        <f>M360*Q360</f>
        <v>10000</v>
      </c>
      <c r="U360" s="15"/>
      <c r="V360" s="15">
        <f>M360*U360</f>
        <v>0</v>
      </c>
      <c r="W360" s="15">
        <f>T360-V360</f>
        <v>10000</v>
      </c>
      <c r="X360" s="17">
        <f>IF(T360&gt;0, W360/T360, 0)</f>
        <v>1</v>
      </c>
      <c r="Y360" s="8" t="s">
        <v>41</v>
      </c>
      <c r="Z360" s="10" t="s">
        <v>42</v>
      </c>
      <c r="AA360" s="10" t="s">
        <v>43</v>
      </c>
      <c r="AB360" s="10" t="s">
        <v>44</v>
      </c>
      <c r="AC360" s="8" t="s">
        <v>44</v>
      </c>
    </row>
    <row r="361" spans="1:29">
      <c r="A361" s="11">
        <v>354</v>
      </c>
      <c r="B361" s="11" t="s">
        <v>599</v>
      </c>
      <c r="C361" s="11" t="s">
        <v>595</v>
      </c>
      <c r="D361" s="11" t="s">
        <v>201</v>
      </c>
      <c r="E361" s="11" t="s">
        <v>70</v>
      </c>
      <c r="F361" s="11" t="s">
        <v>35</v>
      </c>
      <c r="G361" s="9" t="s">
        <v>52</v>
      </c>
      <c r="H361" s="9" t="s">
        <v>58</v>
      </c>
      <c r="I361" s="9" t="s">
        <v>58</v>
      </c>
      <c r="J361" s="11">
        <v>140</v>
      </c>
      <c r="K361" s="11" t="s">
        <v>600</v>
      </c>
      <c r="L361" s="11" t="s">
        <v>40</v>
      </c>
      <c r="M361" s="13">
        <v>1</v>
      </c>
      <c r="N361" s="16">
        <v>8000.0</v>
      </c>
      <c r="O361" s="16"/>
      <c r="P361" s="18">
        <f>IF(N361&gt;0, O361/N361, 0)</f>
        <v>0</v>
      </c>
      <c r="Q361" s="16">
        <f>N361-O361</f>
        <v>8000</v>
      </c>
      <c r="R361" s="16">
        <f>M361*N361</f>
        <v>8000</v>
      </c>
      <c r="S361" s="16">
        <f>M361*O361</f>
        <v>0</v>
      </c>
      <c r="T361" s="16">
        <f>M361*Q361</f>
        <v>8000</v>
      </c>
      <c r="U361" s="16"/>
      <c r="V361" s="16">
        <f>M361*U361</f>
        <v>0</v>
      </c>
      <c r="W361" s="16">
        <f>T361-V361</f>
        <v>8000</v>
      </c>
      <c r="X361" s="18">
        <f>IF(T361&gt;0, W361/T361, 0)</f>
        <v>1</v>
      </c>
      <c r="Y361" s="9" t="s">
        <v>41</v>
      </c>
      <c r="Z361" s="11" t="s">
        <v>42</v>
      </c>
      <c r="AA361" s="11" t="s">
        <v>73</v>
      </c>
      <c r="AB361" s="11" t="s">
        <v>44</v>
      </c>
      <c r="AC361" s="9" t="s">
        <v>44</v>
      </c>
    </row>
    <row r="362" spans="1:29">
      <c r="A362" s="10">
        <v>355</v>
      </c>
      <c r="B362" s="10" t="s">
        <v>601</v>
      </c>
      <c r="C362" s="10" t="s">
        <v>595</v>
      </c>
      <c r="D362" s="10" t="s">
        <v>201</v>
      </c>
      <c r="E362" s="10" t="s">
        <v>34</v>
      </c>
      <c r="F362" s="10" t="s">
        <v>35</v>
      </c>
      <c r="G362" s="8" t="s">
        <v>52</v>
      </c>
      <c r="H362" s="8" t="s">
        <v>47</v>
      </c>
      <c r="I362" s="8" t="s">
        <v>602</v>
      </c>
      <c r="J362" s="10">
        <v>140</v>
      </c>
      <c r="K362" s="10" t="s">
        <v>603</v>
      </c>
      <c r="L362" s="10" t="s">
        <v>40</v>
      </c>
      <c r="M362" s="12">
        <v>1</v>
      </c>
      <c r="N362" s="15">
        <v>15000.0</v>
      </c>
      <c r="O362" s="15"/>
      <c r="P362" s="17">
        <f>IF(N362&gt;0, O362/N362, 0)</f>
        <v>0</v>
      </c>
      <c r="Q362" s="15">
        <f>N362-O362</f>
        <v>15000</v>
      </c>
      <c r="R362" s="15">
        <f>M362*N362</f>
        <v>15000</v>
      </c>
      <c r="S362" s="15">
        <f>M362*O362</f>
        <v>0</v>
      </c>
      <c r="T362" s="15">
        <f>M362*Q362</f>
        <v>15000</v>
      </c>
      <c r="U362" s="15"/>
      <c r="V362" s="15">
        <f>M362*U362</f>
        <v>0</v>
      </c>
      <c r="W362" s="15">
        <f>T362-V362</f>
        <v>15000</v>
      </c>
      <c r="X362" s="17">
        <f>IF(T362&gt;0, W362/T362, 0)</f>
        <v>1</v>
      </c>
      <c r="Y362" s="8" t="s">
        <v>41</v>
      </c>
      <c r="Z362" s="10" t="s">
        <v>42</v>
      </c>
      <c r="AA362" s="10" t="s">
        <v>43</v>
      </c>
      <c r="AB362" s="10" t="s">
        <v>44</v>
      </c>
      <c r="AC362" s="8" t="s">
        <v>44</v>
      </c>
    </row>
    <row r="363" spans="1:29">
      <c r="A363" s="11">
        <v>356</v>
      </c>
      <c r="B363" s="11" t="s">
        <v>604</v>
      </c>
      <c r="C363" s="11" t="s">
        <v>595</v>
      </c>
      <c r="D363" s="11" t="s">
        <v>201</v>
      </c>
      <c r="E363" s="11" t="s">
        <v>34</v>
      </c>
      <c r="F363" s="11" t="s">
        <v>35</v>
      </c>
      <c r="G363" s="9" t="s">
        <v>52</v>
      </c>
      <c r="H363" s="9" t="s">
        <v>47</v>
      </c>
      <c r="I363" s="9" t="s">
        <v>48</v>
      </c>
      <c r="J363" s="11">
        <v>140</v>
      </c>
      <c r="K363" s="11" t="s">
        <v>417</v>
      </c>
      <c r="L363" s="11" t="s">
        <v>40</v>
      </c>
      <c r="M363" s="13">
        <v>1</v>
      </c>
      <c r="N363" s="16">
        <v>18000.0</v>
      </c>
      <c r="O363" s="16"/>
      <c r="P363" s="18">
        <f>IF(N363&gt;0, O363/N363, 0)</f>
        <v>0</v>
      </c>
      <c r="Q363" s="16">
        <f>N363-O363</f>
        <v>18000</v>
      </c>
      <c r="R363" s="16">
        <f>M363*N363</f>
        <v>18000</v>
      </c>
      <c r="S363" s="16">
        <f>M363*O363</f>
        <v>0</v>
      </c>
      <c r="T363" s="16">
        <f>M363*Q363</f>
        <v>18000</v>
      </c>
      <c r="U363" s="16"/>
      <c r="V363" s="16">
        <f>M363*U363</f>
        <v>0</v>
      </c>
      <c r="W363" s="16">
        <f>T363-V363</f>
        <v>18000</v>
      </c>
      <c r="X363" s="18">
        <f>IF(T363&gt;0, W363/T363, 0)</f>
        <v>1</v>
      </c>
      <c r="Y363" s="9" t="s">
        <v>41</v>
      </c>
      <c r="Z363" s="11" t="s">
        <v>42</v>
      </c>
      <c r="AA363" s="11" t="s">
        <v>43</v>
      </c>
      <c r="AB363" s="11" t="s">
        <v>44</v>
      </c>
      <c r="AC363" s="9" t="s">
        <v>44</v>
      </c>
    </row>
    <row r="364" spans="1:29">
      <c r="A364" s="10">
        <v>357</v>
      </c>
      <c r="B364" s="10" t="s">
        <v>605</v>
      </c>
      <c r="C364" s="10" t="s">
        <v>595</v>
      </c>
      <c r="D364" s="10" t="s">
        <v>201</v>
      </c>
      <c r="E364" s="10" t="s">
        <v>34</v>
      </c>
      <c r="F364" s="10" t="s">
        <v>35</v>
      </c>
      <c r="G364" s="8" t="s">
        <v>52</v>
      </c>
      <c r="H364" s="8" t="s">
        <v>71</v>
      </c>
      <c r="I364" s="8" t="s">
        <v>71</v>
      </c>
      <c r="J364" s="10">
        <v>140</v>
      </c>
      <c r="K364" s="10" t="s">
        <v>228</v>
      </c>
      <c r="L364" s="10" t="s">
        <v>40</v>
      </c>
      <c r="M364" s="12">
        <v>1</v>
      </c>
      <c r="N364" s="15">
        <v>16000.0</v>
      </c>
      <c r="O364" s="15"/>
      <c r="P364" s="17">
        <f>IF(N364&gt;0, O364/N364, 0)</f>
        <v>0</v>
      </c>
      <c r="Q364" s="15">
        <f>N364-O364</f>
        <v>16000</v>
      </c>
      <c r="R364" s="15">
        <f>M364*N364</f>
        <v>16000</v>
      </c>
      <c r="S364" s="15">
        <f>M364*O364</f>
        <v>0</v>
      </c>
      <c r="T364" s="15">
        <f>M364*Q364</f>
        <v>16000</v>
      </c>
      <c r="U364" s="15"/>
      <c r="V364" s="15">
        <f>M364*U364</f>
        <v>0</v>
      </c>
      <c r="W364" s="15">
        <f>T364-V364</f>
        <v>16000</v>
      </c>
      <c r="X364" s="17">
        <f>IF(T364&gt;0, W364/T364, 0)</f>
        <v>1</v>
      </c>
      <c r="Y364" s="8" t="s">
        <v>41</v>
      </c>
      <c r="Z364" s="10" t="s">
        <v>42</v>
      </c>
      <c r="AA364" s="10" t="s">
        <v>43</v>
      </c>
      <c r="AB364" s="10" t="s">
        <v>44</v>
      </c>
      <c r="AC364" s="8" t="s">
        <v>44</v>
      </c>
    </row>
    <row r="365" spans="1:29">
      <c r="A365" s="11">
        <v>358</v>
      </c>
      <c r="B365" s="11" t="s">
        <v>606</v>
      </c>
      <c r="C365" s="11" t="s">
        <v>595</v>
      </c>
      <c r="D365" s="11" t="s">
        <v>201</v>
      </c>
      <c r="E365" s="11" t="s">
        <v>34</v>
      </c>
      <c r="F365" s="11" t="s">
        <v>35</v>
      </c>
      <c r="G365" s="9" t="s">
        <v>52</v>
      </c>
      <c r="H365" s="9" t="s">
        <v>53</v>
      </c>
      <c r="I365" s="9" t="s">
        <v>53</v>
      </c>
      <c r="J365" s="11">
        <v>140</v>
      </c>
      <c r="K365" s="11" t="s">
        <v>282</v>
      </c>
      <c r="L365" s="11" t="s">
        <v>55</v>
      </c>
      <c r="M365" s="13">
        <v>1</v>
      </c>
      <c r="N365" s="16">
        <v>8000.0</v>
      </c>
      <c r="O365" s="16"/>
      <c r="P365" s="18">
        <f>IF(N365&gt;0, O365/N365, 0)</f>
        <v>0</v>
      </c>
      <c r="Q365" s="16">
        <f>N365-O365</f>
        <v>8000</v>
      </c>
      <c r="R365" s="16">
        <f>M365*N365</f>
        <v>8000</v>
      </c>
      <c r="S365" s="16">
        <f>M365*O365</f>
        <v>0</v>
      </c>
      <c r="T365" s="16">
        <f>M365*Q365</f>
        <v>8000</v>
      </c>
      <c r="U365" s="16"/>
      <c r="V365" s="16">
        <f>M365*U365</f>
        <v>0</v>
      </c>
      <c r="W365" s="16">
        <f>T365-V365</f>
        <v>8000</v>
      </c>
      <c r="X365" s="18">
        <f>IF(T365&gt;0, W365/T365, 0)</f>
        <v>1</v>
      </c>
      <c r="Y365" s="9" t="s">
        <v>41</v>
      </c>
      <c r="Z365" s="11" t="s">
        <v>42</v>
      </c>
      <c r="AA365" s="11" t="s">
        <v>43</v>
      </c>
      <c r="AB365" s="11" t="s">
        <v>44</v>
      </c>
      <c r="AC365" s="9" t="s">
        <v>44</v>
      </c>
    </row>
    <row r="366" spans="1:29">
      <c r="A366" s="10">
        <v>359</v>
      </c>
      <c r="B366" s="10" t="s">
        <v>607</v>
      </c>
      <c r="C366" s="10" t="s">
        <v>595</v>
      </c>
      <c r="D366" s="10" t="s">
        <v>201</v>
      </c>
      <c r="E366" s="10" t="s">
        <v>34</v>
      </c>
      <c r="F366" s="10" t="s">
        <v>35</v>
      </c>
      <c r="G366" s="8" t="s">
        <v>52</v>
      </c>
      <c r="H366" s="8" t="s">
        <v>37</v>
      </c>
      <c r="I366" s="8" t="s">
        <v>75</v>
      </c>
      <c r="J366" s="10">
        <v>152</v>
      </c>
      <c r="K366" s="10" t="s">
        <v>608</v>
      </c>
      <c r="L366" s="10" t="s">
        <v>55</v>
      </c>
      <c r="M366" s="12">
        <v>1</v>
      </c>
      <c r="N366" s="15">
        <v>8000.0</v>
      </c>
      <c r="O366" s="15"/>
      <c r="P366" s="17">
        <f>IF(N366&gt;0, O366/N366, 0)</f>
        <v>0</v>
      </c>
      <c r="Q366" s="15">
        <f>N366-O366</f>
        <v>8000</v>
      </c>
      <c r="R366" s="15">
        <f>M366*N366</f>
        <v>8000</v>
      </c>
      <c r="S366" s="15">
        <f>M366*O366</f>
        <v>0</v>
      </c>
      <c r="T366" s="15">
        <f>M366*Q366</f>
        <v>8000</v>
      </c>
      <c r="U366" s="15"/>
      <c r="V366" s="15">
        <f>M366*U366</f>
        <v>0</v>
      </c>
      <c r="W366" s="15">
        <f>T366-V366</f>
        <v>8000</v>
      </c>
      <c r="X366" s="17">
        <f>IF(T366&gt;0, W366/T366, 0)</f>
        <v>1</v>
      </c>
      <c r="Y366" s="8" t="s">
        <v>41</v>
      </c>
      <c r="Z366" s="10" t="s">
        <v>42</v>
      </c>
      <c r="AA366" s="10" t="s">
        <v>43</v>
      </c>
      <c r="AB366" s="10" t="s">
        <v>44</v>
      </c>
      <c r="AC366" s="8" t="s">
        <v>44</v>
      </c>
    </row>
    <row r="367" spans="1:29">
      <c r="A367" s="11">
        <v>360</v>
      </c>
      <c r="B367" s="11" t="s">
        <v>609</v>
      </c>
      <c r="C367" s="11" t="s">
        <v>595</v>
      </c>
      <c r="D367" s="11" t="s">
        <v>201</v>
      </c>
      <c r="E367" s="11" t="s">
        <v>34</v>
      </c>
      <c r="F367" s="11" t="s">
        <v>35</v>
      </c>
      <c r="G367" s="9" t="s">
        <v>52</v>
      </c>
      <c r="H367" s="9" t="s">
        <v>37</v>
      </c>
      <c r="I367" s="9" t="s">
        <v>38</v>
      </c>
      <c r="J367" s="11">
        <v>146</v>
      </c>
      <c r="K367" s="11" t="s">
        <v>260</v>
      </c>
      <c r="L367" s="11" t="s">
        <v>55</v>
      </c>
      <c r="M367" s="13">
        <v>1</v>
      </c>
      <c r="N367" s="16">
        <v>7000.0</v>
      </c>
      <c r="O367" s="16"/>
      <c r="P367" s="18">
        <f>IF(N367&gt;0, O367/N367, 0)</f>
        <v>0</v>
      </c>
      <c r="Q367" s="16">
        <f>N367-O367</f>
        <v>7000</v>
      </c>
      <c r="R367" s="16">
        <f>M367*N367</f>
        <v>7000</v>
      </c>
      <c r="S367" s="16">
        <f>M367*O367</f>
        <v>0</v>
      </c>
      <c r="T367" s="16">
        <f>M367*Q367</f>
        <v>7000</v>
      </c>
      <c r="U367" s="16"/>
      <c r="V367" s="16">
        <f>M367*U367</f>
        <v>0</v>
      </c>
      <c r="W367" s="16">
        <f>T367-V367</f>
        <v>7000</v>
      </c>
      <c r="X367" s="18">
        <f>IF(T367&gt;0, W367/T367, 0)</f>
        <v>1</v>
      </c>
      <c r="Y367" s="9" t="s">
        <v>41</v>
      </c>
      <c r="Z367" s="11" t="s">
        <v>42</v>
      </c>
      <c r="AA367" s="11" t="s">
        <v>43</v>
      </c>
      <c r="AB367" s="11" t="s">
        <v>44</v>
      </c>
      <c r="AC367" s="9" t="s">
        <v>44</v>
      </c>
    </row>
    <row r="368" spans="1:29">
      <c r="A368" s="10">
        <v>361</v>
      </c>
      <c r="B368" s="10" t="s">
        <v>610</v>
      </c>
      <c r="C368" s="10" t="s">
        <v>595</v>
      </c>
      <c r="D368" s="10" t="s">
        <v>201</v>
      </c>
      <c r="E368" s="10" t="s">
        <v>34</v>
      </c>
      <c r="F368" s="10" t="s">
        <v>35</v>
      </c>
      <c r="G368" s="8" t="s">
        <v>161</v>
      </c>
      <c r="H368" s="8" t="s">
        <v>162</v>
      </c>
      <c r="I368" s="8" t="s">
        <v>611</v>
      </c>
      <c r="J368" s="10" t="s">
        <v>44</v>
      </c>
      <c r="K368" s="10" t="s">
        <v>612</v>
      </c>
      <c r="L368" s="10" t="s">
        <v>44</v>
      </c>
      <c r="M368" s="12">
        <v>1</v>
      </c>
      <c r="N368" s="15">
        <v>5000.0</v>
      </c>
      <c r="O368" s="15"/>
      <c r="P368" s="17">
        <f>IF(N368&gt;0, O368/N368, 0)</f>
        <v>0</v>
      </c>
      <c r="Q368" s="15">
        <f>N368-O368</f>
        <v>5000</v>
      </c>
      <c r="R368" s="15">
        <f>M368*N368</f>
        <v>5000</v>
      </c>
      <c r="S368" s="15">
        <f>M368*O368</f>
        <v>0</v>
      </c>
      <c r="T368" s="15">
        <f>M368*Q368</f>
        <v>5000</v>
      </c>
      <c r="U368" s="15"/>
      <c r="V368" s="15">
        <f>M368*U368</f>
        <v>0</v>
      </c>
      <c r="W368" s="15">
        <f>T368-V368</f>
        <v>5000</v>
      </c>
      <c r="X368" s="17">
        <f>IF(T368&gt;0, W368/T368, 0)</f>
        <v>1</v>
      </c>
      <c r="Y368" s="8" t="s">
        <v>41</v>
      </c>
      <c r="Z368" s="10" t="s">
        <v>42</v>
      </c>
      <c r="AA368" s="10" t="s">
        <v>43</v>
      </c>
      <c r="AB368" s="10" t="s">
        <v>44</v>
      </c>
      <c r="AC368" s="8" t="s">
        <v>44</v>
      </c>
    </row>
    <row r="369" spans="1:29">
      <c r="A369" s="11">
        <v>362</v>
      </c>
      <c r="B369" s="11" t="s">
        <v>613</v>
      </c>
      <c r="C369" s="11" t="s">
        <v>595</v>
      </c>
      <c r="D369" s="11" t="s">
        <v>201</v>
      </c>
      <c r="E369" s="11" t="s">
        <v>34</v>
      </c>
      <c r="F369" s="11" t="s">
        <v>35</v>
      </c>
      <c r="G369" s="9" t="s">
        <v>52</v>
      </c>
      <c r="H369" s="9" t="s">
        <v>37</v>
      </c>
      <c r="I369" s="9" t="s">
        <v>75</v>
      </c>
      <c r="J369" s="11">
        <v>128</v>
      </c>
      <c r="K369" s="11" t="s">
        <v>188</v>
      </c>
      <c r="L369" s="11" t="s">
        <v>55</v>
      </c>
      <c r="M369" s="13">
        <v>1</v>
      </c>
      <c r="N369" s="16">
        <v>9000.0</v>
      </c>
      <c r="O369" s="16"/>
      <c r="P369" s="18">
        <f>IF(N369&gt;0, O369/N369, 0)</f>
        <v>0</v>
      </c>
      <c r="Q369" s="16">
        <f>N369-O369</f>
        <v>9000</v>
      </c>
      <c r="R369" s="16">
        <f>M369*N369</f>
        <v>9000</v>
      </c>
      <c r="S369" s="16">
        <f>M369*O369</f>
        <v>0</v>
      </c>
      <c r="T369" s="16">
        <f>M369*Q369</f>
        <v>9000</v>
      </c>
      <c r="U369" s="16"/>
      <c r="V369" s="16">
        <f>M369*U369</f>
        <v>0</v>
      </c>
      <c r="W369" s="16">
        <f>T369-V369</f>
        <v>9000</v>
      </c>
      <c r="X369" s="18">
        <f>IF(T369&gt;0, W369/T369, 0)</f>
        <v>1</v>
      </c>
      <c r="Y369" s="9" t="s">
        <v>41</v>
      </c>
      <c r="Z369" s="11" t="s">
        <v>42</v>
      </c>
      <c r="AA369" s="11" t="s">
        <v>43</v>
      </c>
      <c r="AB369" s="11" t="s">
        <v>44</v>
      </c>
      <c r="AC369" s="9" t="s">
        <v>44</v>
      </c>
    </row>
    <row r="370" spans="1:29">
      <c r="A370" s="10">
        <v>363</v>
      </c>
      <c r="B370" s="10" t="s">
        <v>614</v>
      </c>
      <c r="C370" s="10" t="s">
        <v>595</v>
      </c>
      <c r="D370" s="10" t="s">
        <v>201</v>
      </c>
      <c r="E370" s="10" t="s">
        <v>34</v>
      </c>
      <c r="F370" s="10" t="s">
        <v>35</v>
      </c>
      <c r="G370" s="8" t="s">
        <v>52</v>
      </c>
      <c r="H370" s="8" t="s">
        <v>53</v>
      </c>
      <c r="I370" s="8" t="s">
        <v>53</v>
      </c>
      <c r="J370" s="10">
        <v>152</v>
      </c>
      <c r="K370" s="10" t="s">
        <v>405</v>
      </c>
      <c r="L370" s="10" t="s">
        <v>55</v>
      </c>
      <c r="M370" s="12">
        <v>1</v>
      </c>
      <c r="N370" s="15">
        <v>8000.0</v>
      </c>
      <c r="O370" s="15"/>
      <c r="P370" s="17">
        <f>IF(N370&gt;0, O370/N370, 0)</f>
        <v>0</v>
      </c>
      <c r="Q370" s="15">
        <f>N370-O370</f>
        <v>8000</v>
      </c>
      <c r="R370" s="15">
        <f>M370*N370</f>
        <v>8000</v>
      </c>
      <c r="S370" s="15">
        <f>M370*O370</f>
        <v>0</v>
      </c>
      <c r="T370" s="15">
        <f>M370*Q370</f>
        <v>8000</v>
      </c>
      <c r="U370" s="15"/>
      <c r="V370" s="15">
        <f>M370*U370</f>
        <v>0</v>
      </c>
      <c r="W370" s="15">
        <f>T370-V370</f>
        <v>8000</v>
      </c>
      <c r="X370" s="17">
        <f>IF(T370&gt;0, W370/T370, 0)</f>
        <v>1</v>
      </c>
      <c r="Y370" s="8" t="s">
        <v>41</v>
      </c>
      <c r="Z370" s="10" t="s">
        <v>42</v>
      </c>
      <c r="AA370" s="10" t="s">
        <v>43</v>
      </c>
      <c r="AB370" s="10" t="s">
        <v>44</v>
      </c>
      <c r="AC370" s="8" t="s">
        <v>44</v>
      </c>
    </row>
    <row r="371" spans="1:29">
      <c r="A371" s="11">
        <v>364</v>
      </c>
      <c r="B371" s="11" t="s">
        <v>615</v>
      </c>
      <c r="C371" s="11" t="s">
        <v>595</v>
      </c>
      <c r="D371" s="11" t="s">
        <v>201</v>
      </c>
      <c r="E371" s="11" t="s">
        <v>34</v>
      </c>
      <c r="F371" s="11" t="s">
        <v>35</v>
      </c>
      <c r="G371" s="9" t="s">
        <v>52</v>
      </c>
      <c r="H371" s="9" t="s">
        <v>47</v>
      </c>
      <c r="I371" s="9" t="s">
        <v>48</v>
      </c>
      <c r="J371" s="11">
        <v>158</v>
      </c>
      <c r="K371" s="11" t="s">
        <v>444</v>
      </c>
      <c r="L371" s="11" t="s">
        <v>40</v>
      </c>
      <c r="M371" s="13">
        <v>1</v>
      </c>
      <c r="N371" s="16">
        <v>18000.0</v>
      </c>
      <c r="O371" s="16"/>
      <c r="P371" s="18">
        <f>IF(N371&gt;0, O371/N371, 0)</f>
        <v>0</v>
      </c>
      <c r="Q371" s="16">
        <f>N371-O371</f>
        <v>18000</v>
      </c>
      <c r="R371" s="16">
        <f>M371*N371</f>
        <v>18000</v>
      </c>
      <c r="S371" s="16">
        <f>M371*O371</f>
        <v>0</v>
      </c>
      <c r="T371" s="16">
        <f>M371*Q371</f>
        <v>18000</v>
      </c>
      <c r="U371" s="16"/>
      <c r="V371" s="16">
        <f>M371*U371</f>
        <v>0</v>
      </c>
      <c r="W371" s="16">
        <f>T371-V371</f>
        <v>18000</v>
      </c>
      <c r="X371" s="18">
        <f>IF(T371&gt;0, W371/T371, 0)</f>
        <v>1</v>
      </c>
      <c r="Y371" s="9" t="s">
        <v>41</v>
      </c>
      <c r="Z371" s="11" t="s">
        <v>42</v>
      </c>
      <c r="AA371" s="11" t="s">
        <v>43</v>
      </c>
      <c r="AB371" s="11" t="s">
        <v>44</v>
      </c>
      <c r="AC371" s="9" t="s">
        <v>44</v>
      </c>
    </row>
    <row r="372" spans="1:29">
      <c r="A372" s="10">
        <v>365</v>
      </c>
      <c r="B372" s="10" t="s">
        <v>616</v>
      </c>
      <c r="C372" s="10" t="s">
        <v>595</v>
      </c>
      <c r="D372" s="10" t="s">
        <v>201</v>
      </c>
      <c r="E372" s="10" t="s">
        <v>34</v>
      </c>
      <c r="F372" s="10" t="s">
        <v>35</v>
      </c>
      <c r="G372" s="8" t="s">
        <v>52</v>
      </c>
      <c r="H372" s="8" t="s">
        <v>37</v>
      </c>
      <c r="I372" s="8" t="s">
        <v>75</v>
      </c>
      <c r="J372" s="10">
        <v>152</v>
      </c>
      <c r="K372" s="10" t="s">
        <v>608</v>
      </c>
      <c r="L372" s="10" t="s">
        <v>55</v>
      </c>
      <c r="M372" s="12">
        <v>2</v>
      </c>
      <c r="N372" s="15">
        <v>9000.0</v>
      </c>
      <c r="O372" s="15"/>
      <c r="P372" s="17">
        <f>IF(N372&gt;0, O372/N372, 0)</f>
        <v>0</v>
      </c>
      <c r="Q372" s="15">
        <f>N372-O372</f>
        <v>9000</v>
      </c>
      <c r="R372" s="15">
        <f>M372*N372</f>
        <v>18000</v>
      </c>
      <c r="S372" s="15">
        <f>M372*O372</f>
        <v>0</v>
      </c>
      <c r="T372" s="15">
        <f>M372*Q372</f>
        <v>18000</v>
      </c>
      <c r="U372" s="15"/>
      <c r="V372" s="15">
        <f>M372*U372</f>
        <v>0</v>
      </c>
      <c r="W372" s="15">
        <f>T372-V372</f>
        <v>18000</v>
      </c>
      <c r="X372" s="17">
        <f>IF(T372&gt;0, W372/T372, 0)</f>
        <v>1</v>
      </c>
      <c r="Y372" s="8" t="s">
        <v>41</v>
      </c>
      <c r="Z372" s="10" t="s">
        <v>42</v>
      </c>
      <c r="AA372" s="10" t="s">
        <v>43</v>
      </c>
      <c r="AB372" s="10" t="s">
        <v>44</v>
      </c>
      <c r="AC372" s="8" t="s">
        <v>44</v>
      </c>
    </row>
    <row r="373" spans="1:29">
      <c r="A373" s="11">
        <v>366</v>
      </c>
      <c r="B373" s="11" t="s">
        <v>617</v>
      </c>
      <c r="C373" s="11" t="s">
        <v>595</v>
      </c>
      <c r="D373" s="11" t="s">
        <v>201</v>
      </c>
      <c r="E373" s="11" t="s">
        <v>70</v>
      </c>
      <c r="F373" s="11" t="s">
        <v>35</v>
      </c>
      <c r="G373" s="9" t="s">
        <v>161</v>
      </c>
      <c r="H373" s="9" t="s">
        <v>162</v>
      </c>
      <c r="I373" s="9" t="s">
        <v>570</v>
      </c>
      <c r="J373" s="11" t="s">
        <v>44</v>
      </c>
      <c r="K373" s="11" t="s">
        <v>571</v>
      </c>
      <c r="L373" s="11" t="s">
        <v>40</v>
      </c>
      <c r="M373" s="13">
        <v>1</v>
      </c>
      <c r="N373" s="16">
        <v>5000.0</v>
      </c>
      <c r="O373" s="16"/>
      <c r="P373" s="18">
        <f>IF(N373&gt;0, O373/N373, 0)</f>
        <v>0</v>
      </c>
      <c r="Q373" s="16">
        <f>N373-O373</f>
        <v>5000</v>
      </c>
      <c r="R373" s="16">
        <f>M373*N373</f>
        <v>5000</v>
      </c>
      <c r="S373" s="16">
        <f>M373*O373</f>
        <v>0</v>
      </c>
      <c r="T373" s="16">
        <f>M373*Q373</f>
        <v>5000</v>
      </c>
      <c r="U373" s="16"/>
      <c r="V373" s="16">
        <f>M373*U373</f>
        <v>0</v>
      </c>
      <c r="W373" s="16">
        <f>T373-V373</f>
        <v>5000</v>
      </c>
      <c r="X373" s="18">
        <f>IF(T373&gt;0, W373/T373, 0)</f>
        <v>1</v>
      </c>
      <c r="Y373" s="9" t="s">
        <v>41</v>
      </c>
      <c r="Z373" s="11" t="s">
        <v>42</v>
      </c>
      <c r="AA373" s="11" t="s">
        <v>73</v>
      </c>
      <c r="AB373" s="11" t="s">
        <v>44</v>
      </c>
      <c r="AC373" s="9" t="s">
        <v>44</v>
      </c>
    </row>
    <row r="374" spans="1:29">
      <c r="A374" s="10">
        <v>367</v>
      </c>
      <c r="B374" s="10" t="s">
        <v>618</v>
      </c>
      <c r="C374" s="10" t="s">
        <v>595</v>
      </c>
      <c r="D374" s="10" t="s">
        <v>201</v>
      </c>
      <c r="E374" s="10" t="s">
        <v>34</v>
      </c>
      <c r="F374" s="10" t="s">
        <v>35</v>
      </c>
      <c r="G374" s="8" t="s">
        <v>52</v>
      </c>
      <c r="H374" s="8" t="s">
        <v>37</v>
      </c>
      <c r="I374" s="8" t="s">
        <v>38</v>
      </c>
      <c r="J374" s="10">
        <v>146</v>
      </c>
      <c r="K374" s="10" t="s">
        <v>260</v>
      </c>
      <c r="L374" s="10" t="s">
        <v>55</v>
      </c>
      <c r="M374" s="12">
        <v>2</v>
      </c>
      <c r="N374" s="15">
        <v>7000.0</v>
      </c>
      <c r="O374" s="15"/>
      <c r="P374" s="17">
        <f>IF(N374&gt;0, O374/N374, 0)</f>
        <v>0</v>
      </c>
      <c r="Q374" s="15">
        <f>N374-O374</f>
        <v>7000</v>
      </c>
      <c r="R374" s="15">
        <f>M374*N374</f>
        <v>14000</v>
      </c>
      <c r="S374" s="15">
        <f>M374*O374</f>
        <v>0</v>
      </c>
      <c r="T374" s="15">
        <f>M374*Q374</f>
        <v>14000</v>
      </c>
      <c r="U374" s="15"/>
      <c r="V374" s="15">
        <f>M374*U374</f>
        <v>0</v>
      </c>
      <c r="W374" s="15">
        <f>T374-V374</f>
        <v>14000</v>
      </c>
      <c r="X374" s="17">
        <f>IF(T374&gt;0, W374/T374, 0)</f>
        <v>1</v>
      </c>
      <c r="Y374" s="8" t="s">
        <v>41</v>
      </c>
      <c r="Z374" s="10" t="s">
        <v>42</v>
      </c>
      <c r="AA374" s="10" t="s">
        <v>43</v>
      </c>
      <c r="AB374" s="10" t="s">
        <v>44</v>
      </c>
      <c r="AC374" s="8" t="s">
        <v>44</v>
      </c>
    </row>
    <row r="375" spans="1:29">
      <c r="A375" s="11">
        <v>368</v>
      </c>
      <c r="B375" s="11" t="s">
        <v>619</v>
      </c>
      <c r="C375" s="11" t="s">
        <v>595</v>
      </c>
      <c r="D375" s="11" t="s">
        <v>201</v>
      </c>
      <c r="E375" s="11" t="s">
        <v>34</v>
      </c>
      <c r="F375" s="11" t="s">
        <v>35</v>
      </c>
      <c r="G375" s="9" t="s">
        <v>52</v>
      </c>
      <c r="H375" s="9" t="s">
        <v>47</v>
      </c>
      <c r="I375" s="9" t="s">
        <v>48</v>
      </c>
      <c r="J375" s="11">
        <v>134</v>
      </c>
      <c r="K375" s="11" t="s">
        <v>379</v>
      </c>
      <c r="L375" s="11" t="s">
        <v>40</v>
      </c>
      <c r="M375" s="13">
        <v>1</v>
      </c>
      <c r="N375" s="16">
        <v>18000.0</v>
      </c>
      <c r="O375" s="16"/>
      <c r="P375" s="18">
        <f>IF(N375&gt;0, O375/N375, 0)</f>
        <v>0</v>
      </c>
      <c r="Q375" s="16">
        <f>N375-O375</f>
        <v>18000</v>
      </c>
      <c r="R375" s="16">
        <f>M375*N375</f>
        <v>18000</v>
      </c>
      <c r="S375" s="16">
        <f>M375*O375</f>
        <v>0</v>
      </c>
      <c r="T375" s="16">
        <f>M375*Q375</f>
        <v>18000</v>
      </c>
      <c r="U375" s="16"/>
      <c r="V375" s="16">
        <f>M375*U375</f>
        <v>0</v>
      </c>
      <c r="W375" s="16">
        <f>T375-V375</f>
        <v>18000</v>
      </c>
      <c r="X375" s="18">
        <f>IF(T375&gt;0, W375/T375, 0)</f>
        <v>1</v>
      </c>
      <c r="Y375" s="9" t="s">
        <v>41</v>
      </c>
      <c r="Z375" s="11" t="s">
        <v>42</v>
      </c>
      <c r="AA375" s="11" t="s">
        <v>43</v>
      </c>
      <c r="AB375" s="11" t="s">
        <v>44</v>
      </c>
      <c r="AC375" s="9" t="s">
        <v>44</v>
      </c>
    </row>
    <row r="376" spans="1:29">
      <c r="A376" s="10">
        <v>369</v>
      </c>
      <c r="B376" s="10" t="s">
        <v>620</v>
      </c>
      <c r="C376" s="10" t="s">
        <v>595</v>
      </c>
      <c r="D376" s="10" t="s">
        <v>201</v>
      </c>
      <c r="E376" s="10" t="s">
        <v>34</v>
      </c>
      <c r="F376" s="10" t="s">
        <v>35</v>
      </c>
      <c r="G376" s="8" t="s">
        <v>52</v>
      </c>
      <c r="H376" s="8" t="s">
        <v>53</v>
      </c>
      <c r="I376" s="8" t="s">
        <v>53</v>
      </c>
      <c r="J376" s="10">
        <v>128</v>
      </c>
      <c r="K376" s="10" t="s">
        <v>393</v>
      </c>
      <c r="L376" s="10" t="s">
        <v>55</v>
      </c>
      <c r="M376" s="12">
        <v>1</v>
      </c>
      <c r="N376" s="15">
        <v>8000.0</v>
      </c>
      <c r="O376" s="15"/>
      <c r="P376" s="17">
        <f>IF(N376&gt;0, O376/N376, 0)</f>
        <v>0</v>
      </c>
      <c r="Q376" s="15">
        <f>N376-O376</f>
        <v>8000</v>
      </c>
      <c r="R376" s="15">
        <f>M376*N376</f>
        <v>8000</v>
      </c>
      <c r="S376" s="15">
        <f>M376*O376</f>
        <v>0</v>
      </c>
      <c r="T376" s="15">
        <f>M376*Q376</f>
        <v>8000</v>
      </c>
      <c r="U376" s="15"/>
      <c r="V376" s="15">
        <f>M376*U376</f>
        <v>0</v>
      </c>
      <c r="W376" s="15">
        <f>T376-V376</f>
        <v>8000</v>
      </c>
      <c r="X376" s="17">
        <f>IF(T376&gt;0, W376/T376, 0)</f>
        <v>1</v>
      </c>
      <c r="Y376" s="8" t="s">
        <v>41</v>
      </c>
      <c r="Z376" s="10" t="s">
        <v>42</v>
      </c>
      <c r="AA376" s="10" t="s">
        <v>43</v>
      </c>
      <c r="AB376" s="10" t="s">
        <v>44</v>
      </c>
      <c r="AC376" s="8" t="s">
        <v>44</v>
      </c>
    </row>
    <row r="377" spans="1:29">
      <c r="A377" s="11">
        <v>370</v>
      </c>
      <c r="B377" s="11" t="s">
        <v>621</v>
      </c>
      <c r="C377" s="11" t="s">
        <v>595</v>
      </c>
      <c r="D377" s="11" t="s">
        <v>201</v>
      </c>
      <c r="E377" s="11" t="s">
        <v>34</v>
      </c>
      <c r="F377" s="11" t="s">
        <v>35</v>
      </c>
      <c r="G377" s="9" t="s">
        <v>52</v>
      </c>
      <c r="H377" s="9" t="s">
        <v>37</v>
      </c>
      <c r="I377" s="9" t="s">
        <v>38</v>
      </c>
      <c r="J377" s="11">
        <v>134</v>
      </c>
      <c r="K377" s="11" t="s">
        <v>180</v>
      </c>
      <c r="L377" s="11" t="s">
        <v>55</v>
      </c>
      <c r="M377" s="13">
        <v>2</v>
      </c>
      <c r="N377" s="16">
        <v>7000.0</v>
      </c>
      <c r="O377" s="16"/>
      <c r="P377" s="18">
        <f>IF(N377&gt;0, O377/N377, 0)</f>
        <v>0</v>
      </c>
      <c r="Q377" s="16">
        <f>N377-O377</f>
        <v>7000</v>
      </c>
      <c r="R377" s="16">
        <f>M377*N377</f>
        <v>14000</v>
      </c>
      <c r="S377" s="16">
        <f>M377*O377</f>
        <v>0</v>
      </c>
      <c r="T377" s="16">
        <f>M377*Q377</f>
        <v>14000</v>
      </c>
      <c r="U377" s="16"/>
      <c r="V377" s="16">
        <f>M377*U377</f>
        <v>0</v>
      </c>
      <c r="W377" s="16">
        <f>T377-V377</f>
        <v>14000</v>
      </c>
      <c r="X377" s="18">
        <f>IF(T377&gt;0, W377/T377, 0)</f>
        <v>1</v>
      </c>
      <c r="Y377" s="9" t="s">
        <v>41</v>
      </c>
      <c r="Z377" s="11" t="s">
        <v>42</v>
      </c>
      <c r="AA377" s="11" t="s">
        <v>43</v>
      </c>
      <c r="AB377" s="11" t="s">
        <v>44</v>
      </c>
      <c r="AC377" s="9" t="s">
        <v>44</v>
      </c>
    </row>
    <row r="378" spans="1:29">
      <c r="A378" s="10">
        <v>371</v>
      </c>
      <c r="B378" s="10" t="s">
        <v>622</v>
      </c>
      <c r="C378" s="10" t="s">
        <v>595</v>
      </c>
      <c r="D378" s="10" t="s">
        <v>201</v>
      </c>
      <c r="E378" s="10" t="s">
        <v>70</v>
      </c>
      <c r="F378" s="10" t="s">
        <v>35</v>
      </c>
      <c r="G378" s="8" t="s">
        <v>52</v>
      </c>
      <c r="H378" s="8" t="s">
        <v>58</v>
      </c>
      <c r="I378" s="8" t="s">
        <v>58</v>
      </c>
      <c r="J378" s="10">
        <v>140</v>
      </c>
      <c r="K378" s="10" t="s">
        <v>600</v>
      </c>
      <c r="L378" s="10" t="s">
        <v>40</v>
      </c>
      <c r="M378" s="12">
        <v>1</v>
      </c>
      <c r="N378" s="15">
        <v>8000.0</v>
      </c>
      <c r="O378" s="15"/>
      <c r="P378" s="17">
        <f>IF(N378&gt;0, O378/N378, 0)</f>
        <v>0</v>
      </c>
      <c r="Q378" s="15">
        <f>N378-O378</f>
        <v>8000</v>
      </c>
      <c r="R378" s="15">
        <f>M378*N378</f>
        <v>8000</v>
      </c>
      <c r="S378" s="15">
        <f>M378*O378</f>
        <v>0</v>
      </c>
      <c r="T378" s="15">
        <f>M378*Q378</f>
        <v>8000</v>
      </c>
      <c r="U378" s="15"/>
      <c r="V378" s="15">
        <f>M378*U378</f>
        <v>0</v>
      </c>
      <c r="W378" s="15">
        <f>T378-V378</f>
        <v>8000</v>
      </c>
      <c r="X378" s="17">
        <f>IF(T378&gt;0, W378/T378, 0)</f>
        <v>1</v>
      </c>
      <c r="Y378" s="8" t="s">
        <v>41</v>
      </c>
      <c r="Z378" s="10" t="s">
        <v>42</v>
      </c>
      <c r="AA378" s="10" t="s">
        <v>73</v>
      </c>
      <c r="AB378" s="10" t="s">
        <v>44</v>
      </c>
      <c r="AC378" s="8" t="s">
        <v>44</v>
      </c>
    </row>
    <row r="379" spans="1:29">
      <c r="A379" s="11">
        <v>372</v>
      </c>
      <c r="B379" s="11" t="s">
        <v>623</v>
      </c>
      <c r="C379" s="11" t="s">
        <v>595</v>
      </c>
      <c r="D379" s="11" t="s">
        <v>201</v>
      </c>
      <c r="E379" s="11" t="s">
        <v>34</v>
      </c>
      <c r="F379" s="11" t="s">
        <v>35</v>
      </c>
      <c r="G379" s="9" t="s">
        <v>52</v>
      </c>
      <c r="H379" s="9" t="s">
        <v>71</v>
      </c>
      <c r="I379" s="9" t="s">
        <v>71</v>
      </c>
      <c r="J379" s="11">
        <v>146</v>
      </c>
      <c r="K379" s="11" t="s">
        <v>385</v>
      </c>
      <c r="L379" s="11" t="s">
        <v>40</v>
      </c>
      <c r="M379" s="13">
        <v>1</v>
      </c>
      <c r="N379" s="16">
        <v>16000.0</v>
      </c>
      <c r="O379" s="16"/>
      <c r="P379" s="18">
        <f>IF(N379&gt;0, O379/N379, 0)</f>
        <v>0</v>
      </c>
      <c r="Q379" s="16">
        <f>N379-O379</f>
        <v>16000</v>
      </c>
      <c r="R379" s="16">
        <f>M379*N379</f>
        <v>16000</v>
      </c>
      <c r="S379" s="16">
        <f>M379*O379</f>
        <v>0</v>
      </c>
      <c r="T379" s="16">
        <f>M379*Q379</f>
        <v>16000</v>
      </c>
      <c r="U379" s="16"/>
      <c r="V379" s="16">
        <f>M379*U379</f>
        <v>0</v>
      </c>
      <c r="W379" s="16">
        <f>T379-V379</f>
        <v>16000</v>
      </c>
      <c r="X379" s="18">
        <f>IF(T379&gt;0, W379/T379, 0)</f>
        <v>1</v>
      </c>
      <c r="Y379" s="9" t="s">
        <v>41</v>
      </c>
      <c r="Z379" s="11" t="s">
        <v>42</v>
      </c>
      <c r="AA379" s="11" t="s">
        <v>43</v>
      </c>
      <c r="AB379" s="11" t="s">
        <v>44</v>
      </c>
      <c r="AC379" s="9" t="s">
        <v>44</v>
      </c>
    </row>
    <row r="380" spans="1:29">
      <c r="A380" s="10">
        <v>373</v>
      </c>
      <c r="B380" s="10" t="s">
        <v>624</v>
      </c>
      <c r="C380" s="10" t="s">
        <v>595</v>
      </c>
      <c r="D380" s="10" t="s">
        <v>201</v>
      </c>
      <c r="E380" s="10" t="s">
        <v>34</v>
      </c>
      <c r="F380" s="10" t="s">
        <v>35</v>
      </c>
      <c r="G380" s="8" t="s">
        <v>52</v>
      </c>
      <c r="H380" s="8" t="s">
        <v>53</v>
      </c>
      <c r="I380" s="8" t="s">
        <v>53</v>
      </c>
      <c r="J380" s="10">
        <v>140</v>
      </c>
      <c r="K380" s="10" t="s">
        <v>282</v>
      </c>
      <c r="L380" s="10" t="s">
        <v>55</v>
      </c>
      <c r="M380" s="12">
        <v>1</v>
      </c>
      <c r="N380" s="15">
        <v>8000.0</v>
      </c>
      <c r="O380" s="15"/>
      <c r="P380" s="17">
        <f>IF(N380&gt;0, O380/N380, 0)</f>
        <v>0</v>
      </c>
      <c r="Q380" s="15">
        <f>N380-O380</f>
        <v>8000</v>
      </c>
      <c r="R380" s="15">
        <f>M380*N380</f>
        <v>8000</v>
      </c>
      <c r="S380" s="15">
        <f>M380*O380</f>
        <v>0</v>
      </c>
      <c r="T380" s="15">
        <f>M380*Q380</f>
        <v>8000</v>
      </c>
      <c r="U380" s="15"/>
      <c r="V380" s="15">
        <f>M380*U380</f>
        <v>0</v>
      </c>
      <c r="W380" s="15">
        <f>T380-V380</f>
        <v>8000</v>
      </c>
      <c r="X380" s="17">
        <f>IF(T380&gt;0, W380/T380, 0)</f>
        <v>1</v>
      </c>
      <c r="Y380" s="8" t="s">
        <v>41</v>
      </c>
      <c r="Z380" s="10" t="s">
        <v>42</v>
      </c>
      <c r="AA380" s="10" t="s">
        <v>43</v>
      </c>
      <c r="AB380" s="10" t="s">
        <v>44</v>
      </c>
      <c r="AC380" s="8" t="s">
        <v>44</v>
      </c>
    </row>
    <row r="381" spans="1:29">
      <c r="A381" s="11">
        <v>374</v>
      </c>
      <c r="B381" s="11" t="s">
        <v>625</v>
      </c>
      <c r="C381" s="11" t="s">
        <v>595</v>
      </c>
      <c r="D381" s="11" t="s">
        <v>201</v>
      </c>
      <c r="E381" s="11" t="s">
        <v>34</v>
      </c>
      <c r="F381" s="11" t="s">
        <v>35</v>
      </c>
      <c r="G381" s="9" t="s">
        <v>52</v>
      </c>
      <c r="H381" s="9" t="s">
        <v>37</v>
      </c>
      <c r="I381" s="9" t="s">
        <v>75</v>
      </c>
      <c r="J381" s="11">
        <v>146</v>
      </c>
      <c r="K381" s="11" t="s">
        <v>343</v>
      </c>
      <c r="L381" s="11" t="s">
        <v>55</v>
      </c>
      <c r="M381" s="13">
        <v>1</v>
      </c>
      <c r="N381" s="16">
        <v>8000.0</v>
      </c>
      <c r="O381" s="16"/>
      <c r="P381" s="18">
        <f>IF(N381&gt;0, O381/N381, 0)</f>
        <v>0</v>
      </c>
      <c r="Q381" s="16">
        <f>N381-O381</f>
        <v>8000</v>
      </c>
      <c r="R381" s="16">
        <f>M381*N381</f>
        <v>8000</v>
      </c>
      <c r="S381" s="16">
        <f>M381*O381</f>
        <v>0</v>
      </c>
      <c r="T381" s="16">
        <f>M381*Q381</f>
        <v>8000</v>
      </c>
      <c r="U381" s="16"/>
      <c r="V381" s="16">
        <f>M381*U381</f>
        <v>0</v>
      </c>
      <c r="W381" s="16">
        <f>T381-V381</f>
        <v>8000</v>
      </c>
      <c r="X381" s="18">
        <f>IF(T381&gt;0, W381/T381, 0)</f>
        <v>1</v>
      </c>
      <c r="Y381" s="9" t="s">
        <v>41</v>
      </c>
      <c r="Z381" s="11" t="s">
        <v>42</v>
      </c>
      <c r="AA381" s="11" t="s">
        <v>43</v>
      </c>
      <c r="AB381" s="11" t="s">
        <v>44</v>
      </c>
      <c r="AC381" s="9" t="s">
        <v>44</v>
      </c>
    </row>
    <row r="382" spans="1:29">
      <c r="A382" s="10">
        <v>375</v>
      </c>
      <c r="B382" s="10" t="s">
        <v>626</v>
      </c>
      <c r="C382" s="10" t="s">
        <v>595</v>
      </c>
      <c r="D382" s="10" t="s">
        <v>201</v>
      </c>
      <c r="E382" s="10" t="s">
        <v>34</v>
      </c>
      <c r="F382" s="10" t="s">
        <v>35</v>
      </c>
      <c r="G382" s="8" t="s">
        <v>52</v>
      </c>
      <c r="H382" s="8" t="s">
        <v>37</v>
      </c>
      <c r="I382" s="8" t="s">
        <v>38</v>
      </c>
      <c r="J382" s="10">
        <v>146</v>
      </c>
      <c r="K382" s="10" t="s">
        <v>260</v>
      </c>
      <c r="L382" s="10" t="s">
        <v>55</v>
      </c>
      <c r="M382" s="12">
        <v>2</v>
      </c>
      <c r="N382" s="15">
        <v>7000.0</v>
      </c>
      <c r="O382" s="15"/>
      <c r="P382" s="17">
        <f>IF(N382&gt;0, O382/N382, 0)</f>
        <v>0</v>
      </c>
      <c r="Q382" s="15">
        <f>N382-O382</f>
        <v>7000</v>
      </c>
      <c r="R382" s="15">
        <f>M382*N382</f>
        <v>14000</v>
      </c>
      <c r="S382" s="15">
        <f>M382*O382</f>
        <v>0</v>
      </c>
      <c r="T382" s="15">
        <f>M382*Q382</f>
        <v>14000</v>
      </c>
      <c r="U382" s="15"/>
      <c r="V382" s="15">
        <f>M382*U382</f>
        <v>0</v>
      </c>
      <c r="W382" s="15">
        <f>T382-V382</f>
        <v>14000</v>
      </c>
      <c r="X382" s="17">
        <f>IF(T382&gt;0, W382/T382, 0)</f>
        <v>1</v>
      </c>
      <c r="Y382" s="8" t="s">
        <v>41</v>
      </c>
      <c r="Z382" s="10" t="s">
        <v>42</v>
      </c>
      <c r="AA382" s="10" t="s">
        <v>43</v>
      </c>
      <c r="AB382" s="10" t="s">
        <v>44</v>
      </c>
      <c r="AC382" s="8" t="s">
        <v>44</v>
      </c>
    </row>
    <row r="383" spans="1:29">
      <c r="A383" s="11">
        <v>376</v>
      </c>
      <c r="B383" s="11" t="s">
        <v>627</v>
      </c>
      <c r="C383" s="11" t="s">
        <v>595</v>
      </c>
      <c r="D383" s="11" t="s">
        <v>201</v>
      </c>
      <c r="E383" s="11" t="s">
        <v>70</v>
      </c>
      <c r="F383" s="11" t="s">
        <v>35</v>
      </c>
      <c r="G383" s="9" t="s">
        <v>52</v>
      </c>
      <c r="H383" s="9" t="s">
        <v>58</v>
      </c>
      <c r="I383" s="9" t="s">
        <v>58</v>
      </c>
      <c r="J383" s="11">
        <v>128</v>
      </c>
      <c r="K383" s="11" t="s">
        <v>580</v>
      </c>
      <c r="L383" s="11" t="s">
        <v>40</v>
      </c>
      <c r="M383" s="13">
        <v>1</v>
      </c>
      <c r="N383" s="16">
        <v>8000.0</v>
      </c>
      <c r="O383" s="16"/>
      <c r="P383" s="18">
        <f>IF(N383&gt;0, O383/N383, 0)</f>
        <v>0</v>
      </c>
      <c r="Q383" s="16">
        <f>N383-O383</f>
        <v>8000</v>
      </c>
      <c r="R383" s="16">
        <f>M383*N383</f>
        <v>8000</v>
      </c>
      <c r="S383" s="16">
        <f>M383*O383</f>
        <v>0</v>
      </c>
      <c r="T383" s="16">
        <f>M383*Q383</f>
        <v>8000</v>
      </c>
      <c r="U383" s="16"/>
      <c r="V383" s="16">
        <f>M383*U383</f>
        <v>0</v>
      </c>
      <c r="W383" s="16">
        <f>T383-V383</f>
        <v>8000</v>
      </c>
      <c r="X383" s="18">
        <f>IF(T383&gt;0, W383/T383, 0)</f>
        <v>1</v>
      </c>
      <c r="Y383" s="9" t="s">
        <v>41</v>
      </c>
      <c r="Z383" s="11" t="s">
        <v>42</v>
      </c>
      <c r="AA383" s="11" t="s">
        <v>73</v>
      </c>
      <c r="AB383" s="11" t="s">
        <v>44</v>
      </c>
      <c r="AC383" s="9" t="s">
        <v>44</v>
      </c>
    </row>
    <row r="384" spans="1:29">
      <c r="A384" s="10">
        <v>377</v>
      </c>
      <c r="B384" s="10" t="s">
        <v>628</v>
      </c>
      <c r="C384" s="10" t="s">
        <v>595</v>
      </c>
      <c r="D384" s="10" t="s">
        <v>201</v>
      </c>
      <c r="E384" s="10" t="s">
        <v>34</v>
      </c>
      <c r="F384" s="10" t="s">
        <v>35</v>
      </c>
      <c r="G384" s="8" t="s">
        <v>52</v>
      </c>
      <c r="H384" s="8" t="s">
        <v>71</v>
      </c>
      <c r="I384" s="8" t="s">
        <v>71</v>
      </c>
      <c r="J384" s="10">
        <v>128</v>
      </c>
      <c r="K384" s="10" t="s">
        <v>112</v>
      </c>
      <c r="L384" s="10" t="s">
        <v>40</v>
      </c>
      <c r="M384" s="12">
        <v>1</v>
      </c>
      <c r="N384" s="15">
        <v>16000.0</v>
      </c>
      <c r="O384" s="15"/>
      <c r="P384" s="17">
        <f>IF(N384&gt;0, O384/N384, 0)</f>
        <v>0</v>
      </c>
      <c r="Q384" s="15">
        <f>N384-O384</f>
        <v>16000</v>
      </c>
      <c r="R384" s="15">
        <f>M384*N384</f>
        <v>16000</v>
      </c>
      <c r="S384" s="15">
        <f>M384*O384</f>
        <v>0</v>
      </c>
      <c r="T384" s="15">
        <f>M384*Q384</f>
        <v>16000</v>
      </c>
      <c r="U384" s="15"/>
      <c r="V384" s="15">
        <f>M384*U384</f>
        <v>0</v>
      </c>
      <c r="W384" s="15">
        <f>T384-V384</f>
        <v>16000</v>
      </c>
      <c r="X384" s="17">
        <f>IF(T384&gt;0, W384/T384, 0)</f>
        <v>1</v>
      </c>
      <c r="Y384" s="8" t="s">
        <v>41</v>
      </c>
      <c r="Z384" s="10" t="s">
        <v>42</v>
      </c>
      <c r="AA384" s="10" t="s">
        <v>43</v>
      </c>
      <c r="AB384" s="10" t="s">
        <v>44</v>
      </c>
      <c r="AC384" s="8" t="s">
        <v>44</v>
      </c>
    </row>
    <row r="385" spans="1:29">
      <c r="A385" s="11">
        <v>378</v>
      </c>
      <c r="B385" s="11" t="s">
        <v>629</v>
      </c>
      <c r="C385" s="11" t="s">
        <v>595</v>
      </c>
      <c r="D385" s="11" t="s">
        <v>201</v>
      </c>
      <c r="E385" s="11" t="s">
        <v>34</v>
      </c>
      <c r="F385" s="11" t="s">
        <v>35</v>
      </c>
      <c r="G385" s="9" t="s">
        <v>52</v>
      </c>
      <c r="H385" s="9" t="s">
        <v>37</v>
      </c>
      <c r="I385" s="9" t="s">
        <v>38</v>
      </c>
      <c r="J385" s="11">
        <v>134</v>
      </c>
      <c r="K385" s="11" t="s">
        <v>180</v>
      </c>
      <c r="L385" s="11" t="s">
        <v>55</v>
      </c>
      <c r="M385" s="13">
        <v>2</v>
      </c>
      <c r="N385" s="16">
        <v>7000.0</v>
      </c>
      <c r="O385" s="16"/>
      <c r="P385" s="18">
        <f>IF(N385&gt;0, O385/N385, 0)</f>
        <v>0</v>
      </c>
      <c r="Q385" s="16">
        <f>N385-O385</f>
        <v>7000</v>
      </c>
      <c r="R385" s="16">
        <f>M385*N385</f>
        <v>14000</v>
      </c>
      <c r="S385" s="16">
        <f>M385*O385</f>
        <v>0</v>
      </c>
      <c r="T385" s="16">
        <f>M385*Q385</f>
        <v>14000</v>
      </c>
      <c r="U385" s="16"/>
      <c r="V385" s="16">
        <f>M385*U385</f>
        <v>0</v>
      </c>
      <c r="W385" s="16">
        <f>T385-V385</f>
        <v>14000</v>
      </c>
      <c r="X385" s="18">
        <f>IF(T385&gt;0, W385/T385, 0)</f>
        <v>1</v>
      </c>
      <c r="Y385" s="9" t="s">
        <v>41</v>
      </c>
      <c r="Z385" s="11" t="s">
        <v>42</v>
      </c>
      <c r="AA385" s="11" t="s">
        <v>43</v>
      </c>
      <c r="AB385" s="11" t="s">
        <v>44</v>
      </c>
      <c r="AC385" s="9" t="s">
        <v>44</v>
      </c>
    </row>
    <row r="386" spans="1:29">
      <c r="A386" s="10">
        <v>379</v>
      </c>
      <c r="B386" s="10" t="s">
        <v>630</v>
      </c>
      <c r="C386" s="10" t="s">
        <v>595</v>
      </c>
      <c r="D386" s="10" t="s">
        <v>201</v>
      </c>
      <c r="E386" s="10" t="s">
        <v>34</v>
      </c>
      <c r="F386" s="10" t="s">
        <v>35</v>
      </c>
      <c r="G386" s="8" t="s">
        <v>52</v>
      </c>
      <c r="H386" s="8" t="s">
        <v>37</v>
      </c>
      <c r="I386" s="8" t="s">
        <v>38</v>
      </c>
      <c r="J386" s="10">
        <v>140</v>
      </c>
      <c r="K386" s="10" t="s">
        <v>226</v>
      </c>
      <c r="L386" s="10" t="s">
        <v>55</v>
      </c>
      <c r="M386" s="12">
        <v>3</v>
      </c>
      <c r="N386" s="15">
        <v>7000.0</v>
      </c>
      <c r="O386" s="15"/>
      <c r="P386" s="17">
        <f>IF(N386&gt;0, O386/N386, 0)</f>
        <v>0</v>
      </c>
      <c r="Q386" s="15">
        <f>N386-O386</f>
        <v>7000</v>
      </c>
      <c r="R386" s="15">
        <f>M386*N386</f>
        <v>21000</v>
      </c>
      <c r="S386" s="15">
        <f>M386*O386</f>
        <v>0</v>
      </c>
      <c r="T386" s="15">
        <f>M386*Q386</f>
        <v>21000</v>
      </c>
      <c r="U386" s="15"/>
      <c r="V386" s="15">
        <f>M386*U386</f>
        <v>0</v>
      </c>
      <c r="W386" s="15">
        <f>T386-V386</f>
        <v>21000</v>
      </c>
      <c r="X386" s="17">
        <f>IF(T386&gt;0, W386/T386, 0)</f>
        <v>1</v>
      </c>
      <c r="Y386" s="8" t="s">
        <v>41</v>
      </c>
      <c r="Z386" s="10" t="s">
        <v>42</v>
      </c>
      <c r="AA386" s="10" t="s">
        <v>43</v>
      </c>
      <c r="AB386" s="10" t="s">
        <v>44</v>
      </c>
      <c r="AC386" s="8" t="s">
        <v>44</v>
      </c>
    </row>
    <row r="387" spans="1:29">
      <c r="A387" s="11">
        <v>380</v>
      </c>
      <c r="B387" s="11" t="s">
        <v>631</v>
      </c>
      <c r="C387" s="11" t="s">
        <v>595</v>
      </c>
      <c r="D387" s="11" t="s">
        <v>201</v>
      </c>
      <c r="E387" s="11" t="s">
        <v>34</v>
      </c>
      <c r="F387" s="11" t="s">
        <v>35</v>
      </c>
      <c r="G387" s="9" t="s">
        <v>52</v>
      </c>
      <c r="H387" s="9" t="s">
        <v>71</v>
      </c>
      <c r="I387" s="9" t="s">
        <v>71</v>
      </c>
      <c r="J387" s="11">
        <v>146</v>
      </c>
      <c r="K387" s="11" t="s">
        <v>385</v>
      </c>
      <c r="L387" s="11" t="s">
        <v>40</v>
      </c>
      <c r="M387" s="13">
        <v>1</v>
      </c>
      <c r="N387" s="16">
        <v>16000.0</v>
      </c>
      <c r="O387" s="16"/>
      <c r="P387" s="18">
        <f>IF(N387&gt;0, O387/N387, 0)</f>
        <v>0</v>
      </c>
      <c r="Q387" s="16">
        <f>N387-O387</f>
        <v>16000</v>
      </c>
      <c r="R387" s="16">
        <f>M387*N387</f>
        <v>16000</v>
      </c>
      <c r="S387" s="16">
        <f>M387*O387</f>
        <v>0</v>
      </c>
      <c r="T387" s="16">
        <f>M387*Q387</f>
        <v>16000</v>
      </c>
      <c r="U387" s="16"/>
      <c r="V387" s="16">
        <f>M387*U387</f>
        <v>0</v>
      </c>
      <c r="W387" s="16">
        <f>T387-V387</f>
        <v>16000</v>
      </c>
      <c r="X387" s="18">
        <f>IF(T387&gt;0, W387/T387, 0)</f>
        <v>1</v>
      </c>
      <c r="Y387" s="9" t="s">
        <v>41</v>
      </c>
      <c r="Z387" s="11" t="s">
        <v>42</v>
      </c>
      <c r="AA387" s="11" t="s">
        <v>43</v>
      </c>
      <c r="AB387" s="11" t="s">
        <v>44</v>
      </c>
      <c r="AC387" s="9" t="s">
        <v>44</v>
      </c>
    </row>
    <row r="388" spans="1:29">
      <c r="A388" s="10">
        <v>381</v>
      </c>
      <c r="B388" s="10" t="s">
        <v>632</v>
      </c>
      <c r="C388" s="10" t="s">
        <v>633</v>
      </c>
      <c r="D388" s="10" t="s">
        <v>201</v>
      </c>
      <c r="E388" s="10" t="s">
        <v>34</v>
      </c>
      <c r="F388" s="10" t="s">
        <v>35</v>
      </c>
      <c r="G388" s="8" t="s">
        <v>52</v>
      </c>
      <c r="H388" s="8" t="s">
        <v>58</v>
      </c>
      <c r="I388" s="8" t="s">
        <v>58</v>
      </c>
      <c r="J388" s="10">
        <v>140</v>
      </c>
      <c r="K388" s="10" t="s">
        <v>600</v>
      </c>
      <c r="L388" s="10" t="s">
        <v>40</v>
      </c>
      <c r="M388" s="12">
        <v>1</v>
      </c>
      <c r="N388" s="15">
        <v>9000.0</v>
      </c>
      <c r="O388" s="15"/>
      <c r="P388" s="17">
        <f>IF(N388&gt;0, O388/N388, 0)</f>
        <v>0</v>
      </c>
      <c r="Q388" s="15">
        <f>N388-O388</f>
        <v>9000</v>
      </c>
      <c r="R388" s="15">
        <f>M388*N388</f>
        <v>9000</v>
      </c>
      <c r="S388" s="15">
        <f>M388*O388</f>
        <v>0</v>
      </c>
      <c r="T388" s="15">
        <f>M388*Q388</f>
        <v>9000</v>
      </c>
      <c r="U388" s="15"/>
      <c r="V388" s="15">
        <f>M388*U388</f>
        <v>0</v>
      </c>
      <c r="W388" s="15">
        <f>T388-V388</f>
        <v>9000</v>
      </c>
      <c r="X388" s="17">
        <f>IF(T388&gt;0, W388/T388, 0)</f>
        <v>1</v>
      </c>
      <c r="Y388" s="8" t="s">
        <v>41</v>
      </c>
      <c r="Z388" s="10" t="s">
        <v>42</v>
      </c>
      <c r="AA388" s="10" t="s">
        <v>43</v>
      </c>
      <c r="AB388" s="10" t="s">
        <v>44</v>
      </c>
      <c r="AC388" s="8" t="s">
        <v>44</v>
      </c>
    </row>
    <row r="389" spans="1:29">
      <c r="A389" s="11">
        <v>382</v>
      </c>
      <c r="B389" s="11" t="s">
        <v>634</v>
      </c>
      <c r="C389" s="11" t="s">
        <v>633</v>
      </c>
      <c r="D389" s="11" t="s">
        <v>201</v>
      </c>
      <c r="E389" s="11" t="s">
        <v>70</v>
      </c>
      <c r="F389" s="11" t="s">
        <v>35</v>
      </c>
      <c r="G389" s="9" t="s">
        <v>36</v>
      </c>
      <c r="H389" s="9" t="s">
        <v>37</v>
      </c>
      <c r="I389" s="9" t="s">
        <v>75</v>
      </c>
      <c r="J389" s="11">
        <v>146</v>
      </c>
      <c r="K389" s="11" t="s">
        <v>635</v>
      </c>
      <c r="L389" s="11" t="s">
        <v>40</v>
      </c>
      <c r="M389" s="13">
        <v>1</v>
      </c>
      <c r="N389" s="16">
        <v>11000.0</v>
      </c>
      <c r="O389" s="16"/>
      <c r="P389" s="18">
        <f>IF(N389&gt;0, O389/N389, 0)</f>
        <v>0</v>
      </c>
      <c r="Q389" s="16">
        <f>N389-O389</f>
        <v>11000</v>
      </c>
      <c r="R389" s="16">
        <f>M389*N389</f>
        <v>11000</v>
      </c>
      <c r="S389" s="16">
        <f>M389*O389</f>
        <v>0</v>
      </c>
      <c r="T389" s="16">
        <f>M389*Q389</f>
        <v>11000</v>
      </c>
      <c r="U389" s="16"/>
      <c r="V389" s="16">
        <f>M389*U389</f>
        <v>0</v>
      </c>
      <c r="W389" s="16">
        <f>T389-V389</f>
        <v>11000</v>
      </c>
      <c r="X389" s="18">
        <f>IF(T389&gt;0, W389/T389, 0)</f>
        <v>1</v>
      </c>
      <c r="Y389" s="9" t="s">
        <v>41</v>
      </c>
      <c r="Z389" s="11" t="s">
        <v>42</v>
      </c>
      <c r="AA389" s="11" t="s">
        <v>73</v>
      </c>
      <c r="AB389" s="11" t="s">
        <v>44</v>
      </c>
      <c r="AC389" s="9" t="s">
        <v>44</v>
      </c>
    </row>
    <row r="390" spans="1:29">
      <c r="A390" s="10">
        <v>383</v>
      </c>
      <c r="B390" s="10" t="s">
        <v>636</v>
      </c>
      <c r="C390" s="10" t="s">
        <v>633</v>
      </c>
      <c r="D390" s="10" t="s">
        <v>201</v>
      </c>
      <c r="E390" s="10" t="s">
        <v>34</v>
      </c>
      <c r="F390" s="10" t="s">
        <v>35</v>
      </c>
      <c r="G390" s="8" t="s">
        <v>36</v>
      </c>
      <c r="H390" s="8" t="s">
        <v>37</v>
      </c>
      <c r="I390" s="8" t="s">
        <v>75</v>
      </c>
      <c r="J390" s="10">
        <v>164</v>
      </c>
      <c r="K390" s="10" t="s">
        <v>76</v>
      </c>
      <c r="L390" s="10" t="s">
        <v>40</v>
      </c>
      <c r="M390" s="12">
        <v>1</v>
      </c>
      <c r="N390" s="15">
        <v>9000.0</v>
      </c>
      <c r="O390" s="15"/>
      <c r="P390" s="17">
        <f>IF(N390&gt;0, O390/N390, 0)</f>
        <v>0</v>
      </c>
      <c r="Q390" s="15">
        <f>N390-O390</f>
        <v>9000</v>
      </c>
      <c r="R390" s="15">
        <f>M390*N390</f>
        <v>9000</v>
      </c>
      <c r="S390" s="15">
        <f>M390*O390</f>
        <v>0</v>
      </c>
      <c r="T390" s="15">
        <f>M390*Q390</f>
        <v>9000</v>
      </c>
      <c r="U390" s="15"/>
      <c r="V390" s="15">
        <f>M390*U390</f>
        <v>0</v>
      </c>
      <c r="W390" s="15">
        <f>T390-V390</f>
        <v>9000</v>
      </c>
      <c r="X390" s="17">
        <f>IF(T390&gt;0, W390/T390, 0)</f>
        <v>1</v>
      </c>
      <c r="Y390" s="8" t="s">
        <v>41</v>
      </c>
      <c r="Z390" s="10" t="s">
        <v>42</v>
      </c>
      <c r="AA390" s="10" t="s">
        <v>43</v>
      </c>
      <c r="AB390" s="10" t="s">
        <v>44</v>
      </c>
      <c r="AC390" s="8" t="s">
        <v>44</v>
      </c>
    </row>
    <row r="391" spans="1:29">
      <c r="A391" s="11">
        <v>384</v>
      </c>
      <c r="B391" s="11" t="s">
        <v>637</v>
      </c>
      <c r="C391" s="11" t="s">
        <v>633</v>
      </c>
      <c r="D391" s="11" t="s">
        <v>201</v>
      </c>
      <c r="E391" s="11" t="s">
        <v>34</v>
      </c>
      <c r="F391" s="11" t="s">
        <v>35</v>
      </c>
      <c r="G391" s="9" t="s">
        <v>36</v>
      </c>
      <c r="H391" s="9" t="s">
        <v>71</v>
      </c>
      <c r="I391" s="9" t="s">
        <v>71</v>
      </c>
      <c r="J391" s="11">
        <v>152</v>
      </c>
      <c r="K391" s="11" t="s">
        <v>210</v>
      </c>
      <c r="L391" s="11" t="s">
        <v>40</v>
      </c>
      <c r="M391" s="13">
        <v>1</v>
      </c>
      <c r="N391" s="16">
        <v>16500.0</v>
      </c>
      <c r="O391" s="16"/>
      <c r="P391" s="18">
        <f>IF(N391&gt;0, O391/N391, 0)</f>
        <v>0</v>
      </c>
      <c r="Q391" s="16">
        <f>N391-O391</f>
        <v>16500</v>
      </c>
      <c r="R391" s="16">
        <f>M391*N391</f>
        <v>16500</v>
      </c>
      <c r="S391" s="16">
        <f>M391*O391</f>
        <v>0</v>
      </c>
      <c r="T391" s="16">
        <f>M391*Q391</f>
        <v>16500</v>
      </c>
      <c r="U391" s="16"/>
      <c r="V391" s="16">
        <f>M391*U391</f>
        <v>0</v>
      </c>
      <c r="W391" s="16">
        <f>T391-V391</f>
        <v>16500</v>
      </c>
      <c r="X391" s="18">
        <f>IF(T391&gt;0, W391/T391, 0)</f>
        <v>1</v>
      </c>
      <c r="Y391" s="9" t="s">
        <v>41</v>
      </c>
      <c r="Z391" s="11" t="s">
        <v>42</v>
      </c>
      <c r="AA391" s="11" t="s">
        <v>43</v>
      </c>
      <c r="AB391" s="11" t="s">
        <v>44</v>
      </c>
      <c r="AC391" s="9" t="s">
        <v>44</v>
      </c>
    </row>
    <row r="392" spans="1:29">
      <c r="A392" s="10">
        <v>385</v>
      </c>
      <c r="B392" s="10" t="s">
        <v>638</v>
      </c>
      <c r="C392" s="10" t="s">
        <v>633</v>
      </c>
      <c r="D392" s="10" t="s">
        <v>201</v>
      </c>
      <c r="E392" s="10" t="s">
        <v>34</v>
      </c>
      <c r="F392" s="10" t="s">
        <v>35</v>
      </c>
      <c r="G392" s="8" t="s">
        <v>52</v>
      </c>
      <c r="H392" s="8" t="s">
        <v>71</v>
      </c>
      <c r="I392" s="8" t="s">
        <v>71</v>
      </c>
      <c r="J392" s="10">
        <v>146</v>
      </c>
      <c r="K392" s="10" t="s">
        <v>385</v>
      </c>
      <c r="L392" s="10" t="s">
        <v>40</v>
      </c>
      <c r="M392" s="12">
        <v>1</v>
      </c>
      <c r="N392" s="15">
        <v>16000.0</v>
      </c>
      <c r="O392" s="15"/>
      <c r="P392" s="17">
        <f>IF(N392&gt;0, O392/N392, 0)</f>
        <v>0</v>
      </c>
      <c r="Q392" s="15">
        <f>N392-O392</f>
        <v>16000</v>
      </c>
      <c r="R392" s="15">
        <f>M392*N392</f>
        <v>16000</v>
      </c>
      <c r="S392" s="15">
        <f>M392*O392</f>
        <v>0</v>
      </c>
      <c r="T392" s="15">
        <f>M392*Q392</f>
        <v>16000</v>
      </c>
      <c r="U392" s="15"/>
      <c r="V392" s="15">
        <f>M392*U392</f>
        <v>0</v>
      </c>
      <c r="W392" s="15">
        <f>T392-V392</f>
        <v>16000</v>
      </c>
      <c r="X392" s="17">
        <f>IF(T392&gt;0, W392/T392, 0)</f>
        <v>1</v>
      </c>
      <c r="Y392" s="8" t="s">
        <v>41</v>
      </c>
      <c r="Z392" s="10" t="s">
        <v>42</v>
      </c>
      <c r="AA392" s="10" t="s">
        <v>43</v>
      </c>
      <c r="AB392" s="10" t="s">
        <v>44</v>
      </c>
      <c r="AC392" s="8" t="s">
        <v>44</v>
      </c>
    </row>
    <row r="393" spans="1:29">
      <c r="A393" s="11">
        <v>386</v>
      </c>
      <c r="B393" s="11" t="s">
        <v>639</v>
      </c>
      <c r="C393" s="11" t="s">
        <v>633</v>
      </c>
      <c r="D393" s="11" t="s">
        <v>201</v>
      </c>
      <c r="E393" s="11" t="s">
        <v>34</v>
      </c>
      <c r="F393" s="11" t="s">
        <v>35</v>
      </c>
      <c r="G393" s="9" t="s">
        <v>52</v>
      </c>
      <c r="H393" s="9" t="s">
        <v>37</v>
      </c>
      <c r="I393" s="9" t="s">
        <v>75</v>
      </c>
      <c r="J393" s="11">
        <v>146</v>
      </c>
      <c r="K393" s="11" t="s">
        <v>343</v>
      </c>
      <c r="L393" s="11" t="s">
        <v>55</v>
      </c>
      <c r="M393" s="13">
        <v>1</v>
      </c>
      <c r="N393" s="16">
        <v>8000.0</v>
      </c>
      <c r="O393" s="16"/>
      <c r="P393" s="18">
        <f>IF(N393&gt;0, O393/N393, 0)</f>
        <v>0</v>
      </c>
      <c r="Q393" s="16">
        <f>N393-O393</f>
        <v>8000</v>
      </c>
      <c r="R393" s="16">
        <f>M393*N393</f>
        <v>8000</v>
      </c>
      <c r="S393" s="16">
        <f>M393*O393</f>
        <v>0</v>
      </c>
      <c r="T393" s="16">
        <f>M393*Q393</f>
        <v>8000</v>
      </c>
      <c r="U393" s="16"/>
      <c r="V393" s="16">
        <f>M393*U393</f>
        <v>0</v>
      </c>
      <c r="W393" s="16">
        <f>T393-V393</f>
        <v>8000</v>
      </c>
      <c r="X393" s="18">
        <f>IF(T393&gt;0, W393/T393, 0)</f>
        <v>1</v>
      </c>
      <c r="Y393" s="9" t="s">
        <v>41</v>
      </c>
      <c r="Z393" s="11" t="s">
        <v>42</v>
      </c>
      <c r="AA393" s="11" t="s">
        <v>43</v>
      </c>
      <c r="AB393" s="11" t="s">
        <v>44</v>
      </c>
      <c r="AC393" s="9" t="s">
        <v>44</v>
      </c>
    </row>
    <row r="394" spans="1:29">
      <c r="A394" s="10">
        <v>387</v>
      </c>
      <c r="B394" s="10" t="s">
        <v>640</v>
      </c>
      <c r="C394" s="10" t="s">
        <v>633</v>
      </c>
      <c r="D394" s="10" t="s">
        <v>201</v>
      </c>
      <c r="E394" s="10" t="s">
        <v>34</v>
      </c>
      <c r="F394" s="10" t="s">
        <v>35</v>
      </c>
      <c r="G394" s="8" t="s">
        <v>52</v>
      </c>
      <c r="H394" s="8" t="s">
        <v>37</v>
      </c>
      <c r="I394" s="8" t="s">
        <v>38</v>
      </c>
      <c r="J394" s="10">
        <v>152</v>
      </c>
      <c r="K394" s="10" t="s">
        <v>154</v>
      </c>
      <c r="L394" s="10" t="s">
        <v>55</v>
      </c>
      <c r="M394" s="12">
        <v>2</v>
      </c>
      <c r="N394" s="15">
        <v>7000.0</v>
      </c>
      <c r="O394" s="15"/>
      <c r="P394" s="17">
        <f>IF(N394&gt;0, O394/N394, 0)</f>
        <v>0</v>
      </c>
      <c r="Q394" s="15">
        <f>N394-O394</f>
        <v>7000</v>
      </c>
      <c r="R394" s="15">
        <f>M394*N394</f>
        <v>14000</v>
      </c>
      <c r="S394" s="15">
        <f>M394*O394</f>
        <v>0</v>
      </c>
      <c r="T394" s="15">
        <f>M394*Q394</f>
        <v>14000</v>
      </c>
      <c r="U394" s="15"/>
      <c r="V394" s="15">
        <f>M394*U394</f>
        <v>0</v>
      </c>
      <c r="W394" s="15">
        <f>T394-V394</f>
        <v>14000</v>
      </c>
      <c r="X394" s="17">
        <f>IF(T394&gt;0, W394/T394, 0)</f>
        <v>1</v>
      </c>
      <c r="Y394" s="8" t="s">
        <v>41</v>
      </c>
      <c r="Z394" s="10" t="s">
        <v>42</v>
      </c>
      <c r="AA394" s="10" t="s">
        <v>43</v>
      </c>
      <c r="AB394" s="10" t="s">
        <v>44</v>
      </c>
      <c r="AC394" s="8" t="s">
        <v>44</v>
      </c>
    </row>
    <row r="395" spans="1:29">
      <c r="A395" s="11">
        <v>388</v>
      </c>
      <c r="B395" s="11" t="s">
        <v>641</v>
      </c>
      <c r="C395" s="11" t="s">
        <v>633</v>
      </c>
      <c r="D395" s="11" t="s">
        <v>201</v>
      </c>
      <c r="E395" s="11" t="s">
        <v>34</v>
      </c>
      <c r="F395" s="11" t="s">
        <v>35</v>
      </c>
      <c r="G395" s="9" t="s">
        <v>36</v>
      </c>
      <c r="H395" s="9" t="s">
        <v>53</v>
      </c>
      <c r="I395" s="9" t="s">
        <v>53</v>
      </c>
      <c r="J395" s="11">
        <v>158</v>
      </c>
      <c r="K395" s="11" t="s">
        <v>124</v>
      </c>
      <c r="L395" s="11" t="s">
        <v>40</v>
      </c>
      <c r="M395" s="13">
        <v>1</v>
      </c>
      <c r="N395" s="16">
        <v>8500.0</v>
      </c>
      <c r="O395" s="16"/>
      <c r="P395" s="18">
        <f>IF(N395&gt;0, O395/N395, 0)</f>
        <v>0</v>
      </c>
      <c r="Q395" s="16">
        <f>N395-O395</f>
        <v>8500</v>
      </c>
      <c r="R395" s="16">
        <f>M395*N395</f>
        <v>8500</v>
      </c>
      <c r="S395" s="16">
        <f>M395*O395</f>
        <v>0</v>
      </c>
      <c r="T395" s="16">
        <f>M395*Q395</f>
        <v>8500</v>
      </c>
      <c r="U395" s="16"/>
      <c r="V395" s="16">
        <f>M395*U395</f>
        <v>0</v>
      </c>
      <c r="W395" s="16">
        <f>T395-V395</f>
        <v>8500</v>
      </c>
      <c r="X395" s="18">
        <f>IF(T395&gt;0, W395/T395, 0)</f>
        <v>1</v>
      </c>
      <c r="Y395" s="9" t="s">
        <v>41</v>
      </c>
      <c r="Z395" s="11" t="s">
        <v>42</v>
      </c>
      <c r="AA395" s="11" t="s">
        <v>43</v>
      </c>
      <c r="AB395" s="11" t="s">
        <v>44</v>
      </c>
      <c r="AC395" s="9" t="s">
        <v>44</v>
      </c>
    </row>
    <row r="396" spans="1:29">
      <c r="A396" s="10">
        <v>389</v>
      </c>
      <c r="B396" s="10" t="s">
        <v>642</v>
      </c>
      <c r="C396" s="10" t="s">
        <v>633</v>
      </c>
      <c r="D396" s="10" t="s">
        <v>201</v>
      </c>
      <c r="E396" s="10" t="s">
        <v>34</v>
      </c>
      <c r="F396" s="10" t="s">
        <v>35</v>
      </c>
      <c r="G396" s="8" t="s">
        <v>52</v>
      </c>
      <c r="H396" s="8" t="s">
        <v>53</v>
      </c>
      <c r="I396" s="8" t="s">
        <v>53</v>
      </c>
      <c r="J396" s="10">
        <v>146</v>
      </c>
      <c r="K396" s="10" t="s">
        <v>257</v>
      </c>
      <c r="L396" s="10" t="s">
        <v>55</v>
      </c>
      <c r="M396" s="12">
        <v>2</v>
      </c>
      <c r="N396" s="15">
        <v>8000.0</v>
      </c>
      <c r="O396" s="15"/>
      <c r="P396" s="17">
        <f>IF(N396&gt;0, O396/N396, 0)</f>
        <v>0</v>
      </c>
      <c r="Q396" s="15">
        <f>N396-O396</f>
        <v>8000</v>
      </c>
      <c r="R396" s="15">
        <f>M396*N396</f>
        <v>16000</v>
      </c>
      <c r="S396" s="15">
        <f>M396*O396</f>
        <v>0</v>
      </c>
      <c r="T396" s="15">
        <f>M396*Q396</f>
        <v>16000</v>
      </c>
      <c r="U396" s="15"/>
      <c r="V396" s="15">
        <f>M396*U396</f>
        <v>0</v>
      </c>
      <c r="W396" s="15">
        <f>T396-V396</f>
        <v>16000</v>
      </c>
      <c r="X396" s="17">
        <f>IF(T396&gt;0, W396/T396, 0)</f>
        <v>1</v>
      </c>
      <c r="Y396" s="8" t="s">
        <v>41</v>
      </c>
      <c r="Z396" s="10" t="s">
        <v>42</v>
      </c>
      <c r="AA396" s="10" t="s">
        <v>43</v>
      </c>
      <c r="AB396" s="10" t="s">
        <v>44</v>
      </c>
      <c r="AC396" s="8" t="s">
        <v>44</v>
      </c>
    </row>
    <row r="397" spans="1:29">
      <c r="A397" s="11">
        <v>390</v>
      </c>
      <c r="B397" s="11" t="s">
        <v>643</v>
      </c>
      <c r="C397" s="11" t="s">
        <v>633</v>
      </c>
      <c r="D397" s="11" t="s">
        <v>201</v>
      </c>
      <c r="E397" s="11" t="s">
        <v>70</v>
      </c>
      <c r="F397" s="11" t="s">
        <v>35</v>
      </c>
      <c r="G397" s="9" t="s">
        <v>36</v>
      </c>
      <c r="H397" s="9" t="s">
        <v>71</v>
      </c>
      <c r="I397" s="9" t="s">
        <v>71</v>
      </c>
      <c r="J397" s="11">
        <v>176</v>
      </c>
      <c r="K397" s="11" t="s">
        <v>206</v>
      </c>
      <c r="L397" s="11" t="s">
        <v>40</v>
      </c>
      <c r="M397" s="13">
        <v>1</v>
      </c>
      <c r="N397" s="16">
        <v>18000.0</v>
      </c>
      <c r="O397" s="16"/>
      <c r="P397" s="18">
        <f>IF(N397&gt;0, O397/N397, 0)</f>
        <v>0</v>
      </c>
      <c r="Q397" s="16">
        <f>N397-O397</f>
        <v>18000</v>
      </c>
      <c r="R397" s="16">
        <f>M397*N397</f>
        <v>18000</v>
      </c>
      <c r="S397" s="16">
        <f>M397*O397</f>
        <v>0</v>
      </c>
      <c r="T397" s="16">
        <f>M397*Q397</f>
        <v>18000</v>
      </c>
      <c r="U397" s="16"/>
      <c r="V397" s="16">
        <f>M397*U397</f>
        <v>0</v>
      </c>
      <c r="W397" s="16">
        <f>T397-V397</f>
        <v>18000</v>
      </c>
      <c r="X397" s="18">
        <f>IF(T397&gt;0, W397/T397, 0)</f>
        <v>1</v>
      </c>
      <c r="Y397" s="9" t="s">
        <v>41</v>
      </c>
      <c r="Z397" s="11" t="s">
        <v>42</v>
      </c>
      <c r="AA397" s="11" t="s">
        <v>73</v>
      </c>
      <c r="AB397" s="11" t="s">
        <v>44</v>
      </c>
      <c r="AC397" s="9" t="s">
        <v>44</v>
      </c>
    </row>
    <row r="398" spans="1:29">
      <c r="A398" s="10">
        <v>391</v>
      </c>
      <c r="B398" s="10" t="s">
        <v>644</v>
      </c>
      <c r="C398" s="10" t="s">
        <v>633</v>
      </c>
      <c r="D398" s="10" t="s">
        <v>201</v>
      </c>
      <c r="E398" s="10" t="s">
        <v>34</v>
      </c>
      <c r="F398" s="10" t="s">
        <v>35</v>
      </c>
      <c r="G398" s="8" t="s">
        <v>52</v>
      </c>
      <c r="H398" s="8" t="s">
        <v>37</v>
      </c>
      <c r="I398" s="8" t="s">
        <v>38</v>
      </c>
      <c r="J398" s="10">
        <v>170</v>
      </c>
      <c r="K398" s="10" t="s">
        <v>645</v>
      </c>
      <c r="L398" s="10" t="s">
        <v>55</v>
      </c>
      <c r="M398" s="12">
        <v>1</v>
      </c>
      <c r="N398" s="15">
        <v>8000.0</v>
      </c>
      <c r="O398" s="15"/>
      <c r="P398" s="17">
        <f>IF(N398&gt;0, O398/N398, 0)</f>
        <v>0</v>
      </c>
      <c r="Q398" s="15">
        <f>N398-O398</f>
        <v>8000</v>
      </c>
      <c r="R398" s="15">
        <f>M398*N398</f>
        <v>8000</v>
      </c>
      <c r="S398" s="15">
        <f>M398*O398</f>
        <v>0</v>
      </c>
      <c r="T398" s="15">
        <f>M398*Q398</f>
        <v>8000</v>
      </c>
      <c r="U398" s="15"/>
      <c r="V398" s="15">
        <f>M398*U398</f>
        <v>0</v>
      </c>
      <c r="W398" s="15">
        <f>T398-V398</f>
        <v>8000</v>
      </c>
      <c r="X398" s="17">
        <f>IF(T398&gt;0, W398/T398, 0)</f>
        <v>1</v>
      </c>
      <c r="Y398" s="8" t="s">
        <v>41</v>
      </c>
      <c r="Z398" s="10" t="s">
        <v>42</v>
      </c>
      <c r="AA398" s="10" t="s">
        <v>43</v>
      </c>
      <c r="AB398" s="10" t="s">
        <v>44</v>
      </c>
      <c r="AC398" s="8" t="s">
        <v>44</v>
      </c>
    </row>
    <row r="399" spans="1:29">
      <c r="A399" s="11">
        <v>392</v>
      </c>
      <c r="B399" s="11" t="s">
        <v>646</v>
      </c>
      <c r="C399" s="11" t="s">
        <v>633</v>
      </c>
      <c r="D399" s="11" t="s">
        <v>201</v>
      </c>
      <c r="E399" s="11" t="s">
        <v>34</v>
      </c>
      <c r="F399" s="11" t="s">
        <v>35</v>
      </c>
      <c r="G399" s="9" t="s">
        <v>52</v>
      </c>
      <c r="H399" s="9" t="s">
        <v>58</v>
      </c>
      <c r="I399" s="9" t="s">
        <v>58</v>
      </c>
      <c r="J399" s="11">
        <v>164</v>
      </c>
      <c r="K399" s="11" t="s">
        <v>412</v>
      </c>
      <c r="L399" s="11" t="s">
        <v>40</v>
      </c>
      <c r="M399" s="13">
        <v>1</v>
      </c>
      <c r="N399" s="16">
        <v>7500.0</v>
      </c>
      <c r="O399" s="16"/>
      <c r="P399" s="18">
        <f>IF(N399&gt;0, O399/N399, 0)</f>
        <v>0</v>
      </c>
      <c r="Q399" s="16">
        <f>N399-O399</f>
        <v>7500</v>
      </c>
      <c r="R399" s="16">
        <f>M399*N399</f>
        <v>7500</v>
      </c>
      <c r="S399" s="16">
        <f>M399*O399</f>
        <v>0</v>
      </c>
      <c r="T399" s="16">
        <f>M399*Q399</f>
        <v>7500</v>
      </c>
      <c r="U399" s="16"/>
      <c r="V399" s="16">
        <f>M399*U399</f>
        <v>0</v>
      </c>
      <c r="W399" s="16">
        <f>T399-V399</f>
        <v>7500</v>
      </c>
      <c r="X399" s="18">
        <f>IF(T399&gt;0, W399/T399, 0)</f>
        <v>1</v>
      </c>
      <c r="Y399" s="9" t="s">
        <v>41</v>
      </c>
      <c r="Z399" s="11" t="s">
        <v>42</v>
      </c>
      <c r="AA399" s="11" t="s">
        <v>43</v>
      </c>
      <c r="AB399" s="11" t="s">
        <v>44</v>
      </c>
      <c r="AC399" s="9" t="s">
        <v>44</v>
      </c>
    </row>
    <row r="400" spans="1:29">
      <c r="A400" s="10">
        <v>393</v>
      </c>
      <c r="B400" s="10" t="s">
        <v>647</v>
      </c>
      <c r="C400" s="10" t="s">
        <v>633</v>
      </c>
      <c r="D400" s="10" t="s">
        <v>201</v>
      </c>
      <c r="E400" s="10" t="s">
        <v>34</v>
      </c>
      <c r="F400" s="10" t="s">
        <v>35</v>
      </c>
      <c r="G400" s="8" t="s">
        <v>52</v>
      </c>
      <c r="H400" s="8" t="s">
        <v>37</v>
      </c>
      <c r="I400" s="8" t="s">
        <v>75</v>
      </c>
      <c r="J400" s="10">
        <v>170</v>
      </c>
      <c r="K400" s="10" t="s">
        <v>648</v>
      </c>
      <c r="L400" s="10" t="s">
        <v>55</v>
      </c>
      <c r="M400" s="12">
        <v>1</v>
      </c>
      <c r="N400" s="15">
        <v>8500.0</v>
      </c>
      <c r="O400" s="15"/>
      <c r="P400" s="17">
        <f>IF(N400&gt;0, O400/N400, 0)</f>
        <v>0</v>
      </c>
      <c r="Q400" s="15">
        <f>N400-O400</f>
        <v>8500</v>
      </c>
      <c r="R400" s="15">
        <f>M400*N400</f>
        <v>8500</v>
      </c>
      <c r="S400" s="15">
        <f>M400*O400</f>
        <v>0</v>
      </c>
      <c r="T400" s="15">
        <f>M400*Q400</f>
        <v>8500</v>
      </c>
      <c r="U400" s="15"/>
      <c r="V400" s="15">
        <f>M400*U400</f>
        <v>0</v>
      </c>
      <c r="W400" s="15">
        <f>T400-V400</f>
        <v>8500</v>
      </c>
      <c r="X400" s="17">
        <f>IF(T400&gt;0, W400/T400, 0)</f>
        <v>1</v>
      </c>
      <c r="Y400" s="8" t="s">
        <v>41</v>
      </c>
      <c r="Z400" s="10" t="s">
        <v>42</v>
      </c>
      <c r="AA400" s="10" t="s">
        <v>43</v>
      </c>
      <c r="AB400" s="10" t="s">
        <v>44</v>
      </c>
      <c r="AC400" s="8" t="s">
        <v>44</v>
      </c>
    </row>
    <row r="401" spans="1:29">
      <c r="A401" s="11">
        <v>394</v>
      </c>
      <c r="B401" s="11" t="s">
        <v>649</v>
      </c>
      <c r="C401" s="11" t="s">
        <v>633</v>
      </c>
      <c r="D401" s="11" t="s">
        <v>201</v>
      </c>
      <c r="E401" s="11" t="s">
        <v>34</v>
      </c>
      <c r="F401" s="11" t="s">
        <v>35</v>
      </c>
      <c r="G401" s="9" t="s">
        <v>36</v>
      </c>
      <c r="H401" s="9" t="s">
        <v>53</v>
      </c>
      <c r="I401" s="9" t="s">
        <v>53</v>
      </c>
      <c r="J401" s="11">
        <v>176</v>
      </c>
      <c r="K401" s="11" t="s">
        <v>421</v>
      </c>
      <c r="L401" s="11" t="s">
        <v>40</v>
      </c>
      <c r="M401" s="13">
        <v>1</v>
      </c>
      <c r="N401" s="16">
        <v>8500.0</v>
      </c>
      <c r="O401" s="16"/>
      <c r="P401" s="18">
        <f>IF(N401&gt;0, O401/N401, 0)</f>
        <v>0</v>
      </c>
      <c r="Q401" s="16">
        <f>N401-O401</f>
        <v>8500</v>
      </c>
      <c r="R401" s="16">
        <f>M401*N401</f>
        <v>8500</v>
      </c>
      <c r="S401" s="16">
        <f>M401*O401</f>
        <v>0</v>
      </c>
      <c r="T401" s="16">
        <f>M401*Q401</f>
        <v>8500</v>
      </c>
      <c r="U401" s="16"/>
      <c r="V401" s="16">
        <f>M401*U401</f>
        <v>0</v>
      </c>
      <c r="W401" s="16">
        <f>T401-V401</f>
        <v>8500</v>
      </c>
      <c r="X401" s="18">
        <f>IF(T401&gt;0, W401/T401, 0)</f>
        <v>1</v>
      </c>
      <c r="Y401" s="9" t="s">
        <v>41</v>
      </c>
      <c r="Z401" s="11" t="s">
        <v>42</v>
      </c>
      <c r="AA401" s="11" t="s">
        <v>43</v>
      </c>
      <c r="AB401" s="11" t="s">
        <v>44</v>
      </c>
      <c r="AC401" s="9" t="s">
        <v>44</v>
      </c>
    </row>
    <row r="402" spans="1:29">
      <c r="A402" s="10">
        <v>395</v>
      </c>
      <c r="B402" s="10" t="s">
        <v>650</v>
      </c>
      <c r="C402" s="10" t="s">
        <v>633</v>
      </c>
      <c r="D402" s="10" t="s">
        <v>201</v>
      </c>
      <c r="E402" s="10" t="s">
        <v>34</v>
      </c>
      <c r="F402" s="10" t="s">
        <v>35</v>
      </c>
      <c r="G402" s="8" t="s">
        <v>36</v>
      </c>
      <c r="H402" s="8" t="s">
        <v>37</v>
      </c>
      <c r="I402" s="8" t="s">
        <v>75</v>
      </c>
      <c r="J402" s="10">
        <v>170</v>
      </c>
      <c r="K402" s="10" t="s">
        <v>651</v>
      </c>
      <c r="L402" s="10" t="s">
        <v>40</v>
      </c>
      <c r="M402" s="12">
        <v>1</v>
      </c>
      <c r="N402" s="15">
        <v>9000.0</v>
      </c>
      <c r="O402" s="15"/>
      <c r="P402" s="17">
        <f>IF(N402&gt;0, O402/N402, 0)</f>
        <v>0</v>
      </c>
      <c r="Q402" s="15">
        <f>N402-O402</f>
        <v>9000</v>
      </c>
      <c r="R402" s="15">
        <f>M402*N402</f>
        <v>9000</v>
      </c>
      <c r="S402" s="15">
        <f>M402*O402</f>
        <v>0</v>
      </c>
      <c r="T402" s="15">
        <f>M402*Q402</f>
        <v>9000</v>
      </c>
      <c r="U402" s="15"/>
      <c r="V402" s="15">
        <f>M402*U402</f>
        <v>0</v>
      </c>
      <c r="W402" s="15">
        <f>T402-V402</f>
        <v>9000</v>
      </c>
      <c r="X402" s="17">
        <f>IF(T402&gt;0, W402/T402, 0)</f>
        <v>1</v>
      </c>
      <c r="Y402" s="8" t="s">
        <v>41</v>
      </c>
      <c r="Z402" s="10" t="s">
        <v>42</v>
      </c>
      <c r="AA402" s="10" t="s">
        <v>43</v>
      </c>
      <c r="AB402" s="10" t="s">
        <v>44</v>
      </c>
      <c r="AC402" s="8" t="s">
        <v>44</v>
      </c>
    </row>
    <row r="403" spans="1:29">
      <c r="A403" s="11">
        <v>396</v>
      </c>
      <c r="B403" s="11" t="s">
        <v>652</v>
      </c>
      <c r="C403" s="11" t="s">
        <v>633</v>
      </c>
      <c r="D403" s="11" t="s">
        <v>201</v>
      </c>
      <c r="E403" s="11" t="s">
        <v>34</v>
      </c>
      <c r="F403" s="11" t="s">
        <v>35</v>
      </c>
      <c r="G403" s="9" t="s">
        <v>36</v>
      </c>
      <c r="H403" s="9" t="s">
        <v>37</v>
      </c>
      <c r="I403" s="9" t="s">
        <v>38</v>
      </c>
      <c r="J403" s="11">
        <v>170</v>
      </c>
      <c r="K403" s="11" t="s">
        <v>145</v>
      </c>
      <c r="L403" s="11" t="s">
        <v>40</v>
      </c>
      <c r="M403" s="13">
        <v>1</v>
      </c>
      <c r="N403" s="16">
        <v>8000.0</v>
      </c>
      <c r="O403" s="16"/>
      <c r="P403" s="18">
        <f>IF(N403&gt;0, O403/N403, 0)</f>
        <v>0</v>
      </c>
      <c r="Q403" s="16">
        <f>N403-O403</f>
        <v>8000</v>
      </c>
      <c r="R403" s="16">
        <f>M403*N403</f>
        <v>8000</v>
      </c>
      <c r="S403" s="16">
        <f>M403*O403</f>
        <v>0</v>
      </c>
      <c r="T403" s="16">
        <f>M403*Q403</f>
        <v>8000</v>
      </c>
      <c r="U403" s="16"/>
      <c r="V403" s="16">
        <f>M403*U403</f>
        <v>0</v>
      </c>
      <c r="W403" s="16">
        <f>T403-V403</f>
        <v>8000</v>
      </c>
      <c r="X403" s="18">
        <f>IF(T403&gt;0, W403/T403, 0)</f>
        <v>1</v>
      </c>
      <c r="Y403" s="9" t="s">
        <v>41</v>
      </c>
      <c r="Z403" s="11" t="s">
        <v>42</v>
      </c>
      <c r="AA403" s="11" t="s">
        <v>43</v>
      </c>
      <c r="AB403" s="11" t="s">
        <v>44</v>
      </c>
      <c r="AC403" s="9" t="s">
        <v>44</v>
      </c>
    </row>
    <row r="404" spans="1:29">
      <c r="A404" s="10">
        <v>397</v>
      </c>
      <c r="B404" s="10" t="s">
        <v>653</v>
      </c>
      <c r="C404" s="10" t="s">
        <v>654</v>
      </c>
      <c r="D404" s="10" t="s">
        <v>655</v>
      </c>
      <c r="E404" s="10" t="s">
        <v>34</v>
      </c>
      <c r="F404" s="10" t="s">
        <v>35</v>
      </c>
      <c r="G404" s="8" t="s">
        <v>52</v>
      </c>
      <c r="H404" s="8" t="s">
        <v>47</v>
      </c>
      <c r="I404" s="8" t="s">
        <v>48</v>
      </c>
      <c r="J404" s="10">
        <v>146</v>
      </c>
      <c r="K404" s="10" t="s">
        <v>142</v>
      </c>
      <c r="L404" s="10" t="s">
        <v>40</v>
      </c>
      <c r="M404" s="12">
        <v>1</v>
      </c>
      <c r="N404" s="15">
        <v>18000.0</v>
      </c>
      <c r="O404" s="15"/>
      <c r="P404" s="17">
        <f>IF(N404&gt;0, O404/N404, 0)</f>
        <v>0</v>
      </c>
      <c r="Q404" s="15">
        <f>N404-O404</f>
        <v>18000</v>
      </c>
      <c r="R404" s="15">
        <f>M404*N404</f>
        <v>18000</v>
      </c>
      <c r="S404" s="15">
        <f>M404*O404</f>
        <v>0</v>
      </c>
      <c r="T404" s="15">
        <f>M404*Q404</f>
        <v>18000</v>
      </c>
      <c r="U404" s="15"/>
      <c r="V404" s="15">
        <f>M404*U404</f>
        <v>0</v>
      </c>
      <c r="W404" s="15">
        <f>T404-V404</f>
        <v>18000</v>
      </c>
      <c r="X404" s="17">
        <f>IF(T404&gt;0, W404/T404, 0)</f>
        <v>1</v>
      </c>
      <c r="Y404" s="8" t="s">
        <v>41</v>
      </c>
      <c r="Z404" s="10" t="s">
        <v>42</v>
      </c>
      <c r="AA404" s="10" t="s">
        <v>43</v>
      </c>
      <c r="AB404" s="10" t="s">
        <v>44</v>
      </c>
      <c r="AC404" s="8" t="s">
        <v>44</v>
      </c>
    </row>
    <row r="405" spans="1:29">
      <c r="A405" s="11">
        <v>398</v>
      </c>
      <c r="B405" s="11" t="s">
        <v>656</v>
      </c>
      <c r="C405" s="11" t="s">
        <v>654</v>
      </c>
      <c r="D405" s="11" t="s">
        <v>655</v>
      </c>
      <c r="E405" s="11" t="s">
        <v>34</v>
      </c>
      <c r="F405" s="11" t="s">
        <v>35</v>
      </c>
      <c r="G405" s="9" t="s">
        <v>52</v>
      </c>
      <c r="H405" s="9" t="s">
        <v>71</v>
      </c>
      <c r="I405" s="9" t="s">
        <v>71</v>
      </c>
      <c r="J405" s="11">
        <v>146</v>
      </c>
      <c r="K405" s="11" t="s">
        <v>385</v>
      </c>
      <c r="L405" s="11" t="s">
        <v>40</v>
      </c>
      <c r="M405" s="13">
        <v>1</v>
      </c>
      <c r="N405" s="16">
        <v>16000.0</v>
      </c>
      <c r="O405" s="16"/>
      <c r="P405" s="18">
        <f>IF(N405&gt;0, O405/N405, 0)</f>
        <v>0</v>
      </c>
      <c r="Q405" s="16">
        <f>N405-O405</f>
        <v>16000</v>
      </c>
      <c r="R405" s="16">
        <f>M405*N405</f>
        <v>16000</v>
      </c>
      <c r="S405" s="16">
        <f>M405*O405</f>
        <v>0</v>
      </c>
      <c r="T405" s="16">
        <f>M405*Q405</f>
        <v>16000</v>
      </c>
      <c r="U405" s="16"/>
      <c r="V405" s="16">
        <f>M405*U405</f>
        <v>0</v>
      </c>
      <c r="W405" s="16">
        <f>T405-V405</f>
        <v>16000</v>
      </c>
      <c r="X405" s="18">
        <f>IF(T405&gt;0, W405/T405, 0)</f>
        <v>1</v>
      </c>
      <c r="Y405" s="9" t="s">
        <v>41</v>
      </c>
      <c r="Z405" s="11" t="s">
        <v>42</v>
      </c>
      <c r="AA405" s="11" t="s">
        <v>43</v>
      </c>
      <c r="AB405" s="11" t="s">
        <v>44</v>
      </c>
      <c r="AC405" s="9" t="s">
        <v>44</v>
      </c>
    </row>
    <row r="406" spans="1:29">
      <c r="A406" s="10">
        <v>399</v>
      </c>
      <c r="B406" s="10" t="s">
        <v>657</v>
      </c>
      <c r="C406" s="10" t="s">
        <v>654</v>
      </c>
      <c r="D406" s="10" t="s">
        <v>655</v>
      </c>
      <c r="E406" s="10" t="s">
        <v>34</v>
      </c>
      <c r="F406" s="10" t="s">
        <v>35</v>
      </c>
      <c r="G406" s="8" t="s">
        <v>36</v>
      </c>
      <c r="H406" s="8" t="s">
        <v>58</v>
      </c>
      <c r="I406" s="8" t="s">
        <v>58</v>
      </c>
      <c r="J406" s="10">
        <v>182</v>
      </c>
      <c r="K406" s="10" t="s">
        <v>658</v>
      </c>
      <c r="L406" s="10" t="s">
        <v>40</v>
      </c>
      <c r="M406" s="12">
        <v>1</v>
      </c>
      <c r="N406" s="15">
        <v>7000.0</v>
      </c>
      <c r="O406" s="15"/>
      <c r="P406" s="17">
        <f>IF(N406&gt;0, O406/N406, 0)</f>
        <v>0</v>
      </c>
      <c r="Q406" s="15">
        <f>N406-O406</f>
        <v>7000</v>
      </c>
      <c r="R406" s="15">
        <f>M406*N406</f>
        <v>7000</v>
      </c>
      <c r="S406" s="15">
        <f>M406*O406</f>
        <v>0</v>
      </c>
      <c r="T406" s="15">
        <f>M406*Q406</f>
        <v>7000</v>
      </c>
      <c r="U406" s="15"/>
      <c r="V406" s="15">
        <f>M406*U406</f>
        <v>0</v>
      </c>
      <c r="W406" s="15">
        <f>T406-V406</f>
        <v>7000</v>
      </c>
      <c r="X406" s="17">
        <f>IF(T406&gt;0, W406/T406, 0)</f>
        <v>1</v>
      </c>
      <c r="Y406" s="8" t="s">
        <v>41</v>
      </c>
      <c r="Z406" s="10" t="s">
        <v>42</v>
      </c>
      <c r="AA406" s="10" t="s">
        <v>43</v>
      </c>
      <c r="AB406" s="10" t="s">
        <v>44</v>
      </c>
      <c r="AC406" s="8" t="s">
        <v>44</v>
      </c>
    </row>
    <row r="407" spans="1:29">
      <c r="A407" s="11">
        <v>400</v>
      </c>
      <c r="B407" s="11" t="s">
        <v>659</v>
      </c>
      <c r="C407" s="11" t="s">
        <v>654</v>
      </c>
      <c r="D407" s="11" t="s">
        <v>655</v>
      </c>
      <c r="E407" s="11" t="s">
        <v>34</v>
      </c>
      <c r="F407" s="11" t="s">
        <v>35</v>
      </c>
      <c r="G407" s="9" t="s">
        <v>36</v>
      </c>
      <c r="H407" s="9" t="s">
        <v>37</v>
      </c>
      <c r="I407" s="9" t="s">
        <v>38</v>
      </c>
      <c r="J407" s="11">
        <v>182</v>
      </c>
      <c r="K407" s="11" t="s">
        <v>338</v>
      </c>
      <c r="L407" s="11" t="s">
        <v>40</v>
      </c>
      <c r="M407" s="13">
        <v>1</v>
      </c>
      <c r="N407" s="16">
        <v>7000.0</v>
      </c>
      <c r="O407" s="16"/>
      <c r="P407" s="18">
        <f>IF(N407&gt;0, O407/N407, 0)</f>
        <v>0</v>
      </c>
      <c r="Q407" s="16">
        <f>N407-O407</f>
        <v>7000</v>
      </c>
      <c r="R407" s="16">
        <f>M407*N407</f>
        <v>7000</v>
      </c>
      <c r="S407" s="16">
        <f>M407*O407</f>
        <v>0</v>
      </c>
      <c r="T407" s="16">
        <f>M407*Q407</f>
        <v>7000</v>
      </c>
      <c r="U407" s="16"/>
      <c r="V407" s="16">
        <f>M407*U407</f>
        <v>0</v>
      </c>
      <c r="W407" s="16">
        <f>T407-V407</f>
        <v>7000</v>
      </c>
      <c r="X407" s="18">
        <f>IF(T407&gt;0, W407/T407, 0)</f>
        <v>1</v>
      </c>
      <c r="Y407" s="9" t="s">
        <v>41</v>
      </c>
      <c r="Z407" s="11" t="s">
        <v>42</v>
      </c>
      <c r="AA407" s="11" t="s">
        <v>43</v>
      </c>
      <c r="AB407" s="11" t="s">
        <v>44</v>
      </c>
      <c r="AC407" s="9" t="s">
        <v>44</v>
      </c>
    </row>
    <row r="408" spans="1:29">
      <c r="A408" s="10">
        <v>401</v>
      </c>
      <c r="B408" s="10" t="s">
        <v>660</v>
      </c>
      <c r="C408" s="10" t="s">
        <v>654</v>
      </c>
      <c r="D408" s="10" t="s">
        <v>655</v>
      </c>
      <c r="E408" s="10" t="s">
        <v>70</v>
      </c>
      <c r="F408" s="10" t="s">
        <v>35</v>
      </c>
      <c r="G408" s="8" t="s">
        <v>36</v>
      </c>
      <c r="H408" s="8" t="s">
        <v>37</v>
      </c>
      <c r="I408" s="8" t="s">
        <v>38</v>
      </c>
      <c r="J408" s="10">
        <v>158</v>
      </c>
      <c r="K408" s="10" t="s">
        <v>39</v>
      </c>
      <c r="L408" s="10" t="s">
        <v>40</v>
      </c>
      <c r="M408" s="12">
        <v>1</v>
      </c>
      <c r="N408" s="15">
        <v>10000.0</v>
      </c>
      <c r="O408" s="15"/>
      <c r="P408" s="17">
        <f>IF(N408&gt;0, O408/N408, 0)</f>
        <v>0</v>
      </c>
      <c r="Q408" s="15">
        <f>N408-O408</f>
        <v>10000</v>
      </c>
      <c r="R408" s="15">
        <f>M408*N408</f>
        <v>10000</v>
      </c>
      <c r="S408" s="15">
        <f>M408*O408</f>
        <v>0</v>
      </c>
      <c r="T408" s="15">
        <f>M408*Q408</f>
        <v>10000</v>
      </c>
      <c r="U408" s="15"/>
      <c r="V408" s="15">
        <f>M408*U408</f>
        <v>0</v>
      </c>
      <c r="W408" s="15">
        <f>T408-V408</f>
        <v>10000</v>
      </c>
      <c r="X408" s="17">
        <f>IF(T408&gt;0, W408/T408, 0)</f>
        <v>1</v>
      </c>
      <c r="Y408" s="8" t="s">
        <v>41</v>
      </c>
      <c r="Z408" s="10" t="s">
        <v>42</v>
      </c>
      <c r="AA408" s="10" t="s">
        <v>73</v>
      </c>
      <c r="AB408" s="10" t="s">
        <v>44</v>
      </c>
      <c r="AC408" s="8" t="s">
        <v>44</v>
      </c>
    </row>
    <row r="409" spans="1:29">
      <c r="A409" s="11">
        <v>402</v>
      </c>
      <c r="B409" s="11" t="s">
        <v>661</v>
      </c>
      <c r="C409" s="11" t="s">
        <v>654</v>
      </c>
      <c r="D409" s="11" t="s">
        <v>655</v>
      </c>
      <c r="E409" s="11" t="s">
        <v>34</v>
      </c>
      <c r="F409" s="11" t="s">
        <v>35</v>
      </c>
      <c r="G409" s="9" t="s">
        <v>36</v>
      </c>
      <c r="H409" s="9" t="s">
        <v>37</v>
      </c>
      <c r="I409" s="9" t="s">
        <v>75</v>
      </c>
      <c r="J409" s="11">
        <v>176</v>
      </c>
      <c r="K409" s="11" t="s">
        <v>423</v>
      </c>
      <c r="L409" s="11" t="s">
        <v>40</v>
      </c>
      <c r="M409" s="13">
        <v>3</v>
      </c>
      <c r="N409" s="16">
        <v>9000.0</v>
      </c>
      <c r="O409" s="16"/>
      <c r="P409" s="18">
        <f>IF(N409&gt;0, O409/N409, 0)</f>
        <v>0</v>
      </c>
      <c r="Q409" s="16">
        <f>N409-O409</f>
        <v>9000</v>
      </c>
      <c r="R409" s="16">
        <f>M409*N409</f>
        <v>27000</v>
      </c>
      <c r="S409" s="16">
        <f>M409*O409</f>
        <v>0</v>
      </c>
      <c r="T409" s="16">
        <f>M409*Q409</f>
        <v>27000</v>
      </c>
      <c r="U409" s="16"/>
      <c r="V409" s="16">
        <f>M409*U409</f>
        <v>0</v>
      </c>
      <c r="W409" s="16">
        <f>T409-V409</f>
        <v>27000</v>
      </c>
      <c r="X409" s="18">
        <f>IF(T409&gt;0, W409/T409, 0)</f>
        <v>1</v>
      </c>
      <c r="Y409" s="9" t="s">
        <v>41</v>
      </c>
      <c r="Z409" s="11" t="s">
        <v>42</v>
      </c>
      <c r="AA409" s="11" t="s">
        <v>43</v>
      </c>
      <c r="AB409" s="11" t="s">
        <v>44</v>
      </c>
      <c r="AC409" s="9" t="s">
        <v>44</v>
      </c>
    </row>
    <row r="410" spans="1:29">
      <c r="A410" s="10">
        <v>403</v>
      </c>
      <c r="B410" s="10" t="s">
        <v>662</v>
      </c>
      <c r="C410" s="10" t="s">
        <v>663</v>
      </c>
      <c r="D410" s="10" t="s">
        <v>655</v>
      </c>
      <c r="E410" s="10" t="s">
        <v>34</v>
      </c>
      <c r="F410" s="10" t="s">
        <v>35</v>
      </c>
      <c r="G410" s="8" t="s">
        <v>36</v>
      </c>
      <c r="H410" s="8" t="s">
        <v>65</v>
      </c>
      <c r="I410" s="8" t="s">
        <v>151</v>
      </c>
      <c r="J410" s="10">
        <v>176</v>
      </c>
      <c r="K410" s="10" t="s">
        <v>236</v>
      </c>
      <c r="L410" s="10" t="s">
        <v>40</v>
      </c>
      <c r="M410" s="12">
        <v>1</v>
      </c>
      <c r="N410" s="15">
        <v>9500.0</v>
      </c>
      <c r="O410" s="15"/>
      <c r="P410" s="17">
        <f>IF(N410&gt;0, O410/N410, 0)</f>
        <v>0</v>
      </c>
      <c r="Q410" s="15">
        <f>N410-O410</f>
        <v>9500</v>
      </c>
      <c r="R410" s="15">
        <f>M410*N410</f>
        <v>9500</v>
      </c>
      <c r="S410" s="15">
        <f>M410*O410</f>
        <v>0</v>
      </c>
      <c r="T410" s="15">
        <f>M410*Q410</f>
        <v>9500</v>
      </c>
      <c r="U410" s="15"/>
      <c r="V410" s="15">
        <f>M410*U410</f>
        <v>0</v>
      </c>
      <c r="W410" s="15">
        <f>T410-V410</f>
        <v>9500</v>
      </c>
      <c r="X410" s="17">
        <f>IF(T410&gt;0, W410/T410, 0)</f>
        <v>1</v>
      </c>
      <c r="Y410" s="8" t="s">
        <v>41</v>
      </c>
      <c r="Z410" s="10" t="s">
        <v>42</v>
      </c>
      <c r="AA410" s="10" t="s">
        <v>43</v>
      </c>
      <c r="AB410" s="10" t="s">
        <v>44</v>
      </c>
      <c r="AC410" s="8" t="s">
        <v>44</v>
      </c>
    </row>
    <row r="411" spans="1:29">
      <c r="A411" s="11">
        <v>404</v>
      </c>
      <c r="B411" s="11" t="s">
        <v>664</v>
      </c>
      <c r="C411" s="11" t="s">
        <v>663</v>
      </c>
      <c r="D411" s="11" t="s">
        <v>655</v>
      </c>
      <c r="E411" s="11" t="s">
        <v>34</v>
      </c>
      <c r="F411" s="11" t="s">
        <v>35</v>
      </c>
      <c r="G411" s="9" t="s">
        <v>36</v>
      </c>
      <c r="H411" s="9" t="s">
        <v>37</v>
      </c>
      <c r="I411" s="9" t="s">
        <v>75</v>
      </c>
      <c r="J411" s="11">
        <v>182</v>
      </c>
      <c r="K411" s="11" t="s">
        <v>357</v>
      </c>
      <c r="L411" s="11" t="s">
        <v>40</v>
      </c>
      <c r="M411" s="13">
        <v>1</v>
      </c>
      <c r="N411" s="16">
        <v>9000.0</v>
      </c>
      <c r="O411" s="16"/>
      <c r="P411" s="18">
        <f>IF(N411&gt;0, O411/N411, 0)</f>
        <v>0</v>
      </c>
      <c r="Q411" s="16">
        <f>N411-O411</f>
        <v>9000</v>
      </c>
      <c r="R411" s="16">
        <f>M411*N411</f>
        <v>9000</v>
      </c>
      <c r="S411" s="16">
        <f>M411*O411</f>
        <v>0</v>
      </c>
      <c r="T411" s="16">
        <f>M411*Q411</f>
        <v>9000</v>
      </c>
      <c r="U411" s="16"/>
      <c r="V411" s="16">
        <f>M411*U411</f>
        <v>0</v>
      </c>
      <c r="W411" s="16">
        <f>T411-V411</f>
        <v>9000</v>
      </c>
      <c r="X411" s="18">
        <f>IF(T411&gt;0, W411/T411, 0)</f>
        <v>1</v>
      </c>
      <c r="Y411" s="9" t="s">
        <v>41</v>
      </c>
      <c r="Z411" s="11" t="s">
        <v>42</v>
      </c>
      <c r="AA411" s="11" t="s">
        <v>43</v>
      </c>
      <c r="AB411" s="11" t="s">
        <v>44</v>
      </c>
      <c r="AC411" s="9" t="s">
        <v>44</v>
      </c>
    </row>
    <row r="412" spans="1:29">
      <c r="A412" s="10">
        <v>405</v>
      </c>
      <c r="B412" s="10" t="s">
        <v>665</v>
      </c>
      <c r="C412" s="10" t="s">
        <v>663</v>
      </c>
      <c r="D412" s="10" t="s">
        <v>655</v>
      </c>
      <c r="E412" s="10" t="s">
        <v>34</v>
      </c>
      <c r="F412" s="10" t="s">
        <v>35</v>
      </c>
      <c r="G412" s="8" t="s">
        <v>36</v>
      </c>
      <c r="H412" s="8" t="s">
        <v>37</v>
      </c>
      <c r="I412" s="8" t="s">
        <v>38</v>
      </c>
      <c r="J412" s="10">
        <v>176</v>
      </c>
      <c r="K412" s="10" t="s">
        <v>355</v>
      </c>
      <c r="L412" s="10" t="s">
        <v>40</v>
      </c>
      <c r="M412" s="12">
        <v>1</v>
      </c>
      <c r="N412" s="15">
        <v>7500.0</v>
      </c>
      <c r="O412" s="15"/>
      <c r="P412" s="17">
        <f>IF(N412&gt;0, O412/N412, 0)</f>
        <v>0</v>
      </c>
      <c r="Q412" s="15">
        <f>N412-O412</f>
        <v>7500</v>
      </c>
      <c r="R412" s="15">
        <f>M412*N412</f>
        <v>7500</v>
      </c>
      <c r="S412" s="15">
        <f>M412*O412</f>
        <v>0</v>
      </c>
      <c r="T412" s="15">
        <f>M412*Q412</f>
        <v>7500</v>
      </c>
      <c r="U412" s="15"/>
      <c r="V412" s="15">
        <f>M412*U412</f>
        <v>0</v>
      </c>
      <c r="W412" s="15">
        <f>T412-V412</f>
        <v>7500</v>
      </c>
      <c r="X412" s="17">
        <f>IF(T412&gt;0, W412/T412, 0)</f>
        <v>1</v>
      </c>
      <c r="Y412" s="8" t="s">
        <v>41</v>
      </c>
      <c r="Z412" s="10" t="s">
        <v>42</v>
      </c>
      <c r="AA412" s="10" t="s">
        <v>43</v>
      </c>
      <c r="AB412" s="10" t="s">
        <v>44</v>
      </c>
      <c r="AC412" s="8" t="s">
        <v>44</v>
      </c>
    </row>
    <row r="413" spans="1:29">
      <c r="A413" s="11">
        <v>406</v>
      </c>
      <c r="B413" s="11" t="s">
        <v>666</v>
      </c>
      <c r="C413" s="11" t="s">
        <v>663</v>
      </c>
      <c r="D413" s="11" t="s">
        <v>655</v>
      </c>
      <c r="E413" s="11" t="s">
        <v>34</v>
      </c>
      <c r="F413" s="11" t="s">
        <v>35</v>
      </c>
      <c r="G413" s="9" t="s">
        <v>36</v>
      </c>
      <c r="H413" s="9" t="s">
        <v>71</v>
      </c>
      <c r="I413" s="9" t="s">
        <v>71</v>
      </c>
      <c r="J413" s="11">
        <v>182</v>
      </c>
      <c r="K413" s="11" t="s">
        <v>425</v>
      </c>
      <c r="L413" s="11" t="s">
        <v>40</v>
      </c>
      <c r="M413" s="13">
        <v>1</v>
      </c>
      <c r="N413" s="16">
        <v>16500.0</v>
      </c>
      <c r="O413" s="16"/>
      <c r="P413" s="18">
        <f>IF(N413&gt;0, O413/N413, 0)</f>
        <v>0</v>
      </c>
      <c r="Q413" s="16">
        <f>N413-O413</f>
        <v>16500</v>
      </c>
      <c r="R413" s="16">
        <f>M413*N413</f>
        <v>16500</v>
      </c>
      <c r="S413" s="16">
        <f>M413*O413</f>
        <v>0</v>
      </c>
      <c r="T413" s="16">
        <f>M413*Q413</f>
        <v>16500</v>
      </c>
      <c r="U413" s="16"/>
      <c r="V413" s="16">
        <f>M413*U413</f>
        <v>0</v>
      </c>
      <c r="W413" s="16">
        <f>T413-V413</f>
        <v>16500</v>
      </c>
      <c r="X413" s="18">
        <f>IF(T413&gt;0, W413/T413, 0)</f>
        <v>1</v>
      </c>
      <c r="Y413" s="9" t="s">
        <v>41</v>
      </c>
      <c r="Z413" s="11" t="s">
        <v>42</v>
      </c>
      <c r="AA413" s="11" t="s">
        <v>43</v>
      </c>
      <c r="AB413" s="11" t="s">
        <v>44</v>
      </c>
      <c r="AC413" s="9" t="s">
        <v>44</v>
      </c>
    </row>
    <row r="414" spans="1:29">
      <c r="A414" s="10">
        <v>407</v>
      </c>
      <c r="B414" s="10" t="s">
        <v>667</v>
      </c>
      <c r="C414" s="10" t="s">
        <v>663</v>
      </c>
      <c r="D414" s="10" t="s">
        <v>655</v>
      </c>
      <c r="E414" s="10" t="s">
        <v>34</v>
      </c>
      <c r="F414" s="10" t="s">
        <v>35</v>
      </c>
      <c r="G414" s="8" t="s">
        <v>36</v>
      </c>
      <c r="H414" s="8" t="s">
        <v>58</v>
      </c>
      <c r="I414" s="8" t="s">
        <v>58</v>
      </c>
      <c r="J414" s="10">
        <v>176</v>
      </c>
      <c r="K414" s="10" t="s">
        <v>668</v>
      </c>
      <c r="L414" s="10" t="s">
        <v>40</v>
      </c>
      <c r="M414" s="12">
        <v>1</v>
      </c>
      <c r="N414" s="15">
        <v>7500.0</v>
      </c>
      <c r="O414" s="15"/>
      <c r="P414" s="17">
        <f>IF(N414&gt;0, O414/N414, 0)</f>
        <v>0</v>
      </c>
      <c r="Q414" s="15">
        <f>N414-O414</f>
        <v>7500</v>
      </c>
      <c r="R414" s="15">
        <f>M414*N414</f>
        <v>7500</v>
      </c>
      <c r="S414" s="15">
        <f>M414*O414</f>
        <v>0</v>
      </c>
      <c r="T414" s="15">
        <f>M414*Q414</f>
        <v>7500</v>
      </c>
      <c r="U414" s="15"/>
      <c r="V414" s="15">
        <f>M414*U414</f>
        <v>0</v>
      </c>
      <c r="W414" s="15">
        <f>T414-V414</f>
        <v>7500</v>
      </c>
      <c r="X414" s="17">
        <f>IF(T414&gt;0, W414/T414, 0)</f>
        <v>1</v>
      </c>
      <c r="Y414" s="8" t="s">
        <v>41</v>
      </c>
      <c r="Z414" s="10" t="s">
        <v>42</v>
      </c>
      <c r="AA414" s="10" t="s">
        <v>43</v>
      </c>
      <c r="AB414" s="10" t="s">
        <v>44</v>
      </c>
      <c r="AC414" s="8" t="s">
        <v>44</v>
      </c>
    </row>
    <row r="415" spans="1:29">
      <c r="A415" s="11">
        <v>408</v>
      </c>
      <c r="B415" s="11" t="s">
        <v>669</v>
      </c>
      <c r="C415" s="11" t="s">
        <v>663</v>
      </c>
      <c r="D415" s="11" t="s">
        <v>655</v>
      </c>
      <c r="E415" s="11" t="s">
        <v>34</v>
      </c>
      <c r="F415" s="11" t="s">
        <v>35</v>
      </c>
      <c r="G415" s="9" t="s">
        <v>52</v>
      </c>
      <c r="H415" s="9" t="s">
        <v>53</v>
      </c>
      <c r="I415" s="9" t="s">
        <v>53</v>
      </c>
      <c r="J415" s="11">
        <v>182</v>
      </c>
      <c r="K415" s="11" t="s">
        <v>670</v>
      </c>
      <c r="L415" s="11" t="s">
        <v>55</v>
      </c>
      <c r="M415" s="13">
        <v>1</v>
      </c>
      <c r="N415" s="16">
        <v>8500.0</v>
      </c>
      <c r="O415" s="16"/>
      <c r="P415" s="18">
        <f>IF(N415&gt;0, O415/N415, 0)</f>
        <v>0</v>
      </c>
      <c r="Q415" s="16">
        <f>N415-O415</f>
        <v>8500</v>
      </c>
      <c r="R415" s="16">
        <f>M415*N415</f>
        <v>8500</v>
      </c>
      <c r="S415" s="16">
        <f>M415*O415</f>
        <v>0</v>
      </c>
      <c r="T415" s="16">
        <f>M415*Q415</f>
        <v>8500</v>
      </c>
      <c r="U415" s="16"/>
      <c r="V415" s="16">
        <f>M415*U415</f>
        <v>0</v>
      </c>
      <c r="W415" s="16">
        <f>T415-V415</f>
        <v>8500</v>
      </c>
      <c r="X415" s="18">
        <f>IF(T415&gt;0, W415/T415, 0)</f>
        <v>1</v>
      </c>
      <c r="Y415" s="9" t="s">
        <v>41</v>
      </c>
      <c r="Z415" s="11" t="s">
        <v>42</v>
      </c>
      <c r="AA415" s="11" t="s">
        <v>43</v>
      </c>
      <c r="AB415" s="11" t="s">
        <v>44</v>
      </c>
      <c r="AC415" s="9" t="s">
        <v>44</v>
      </c>
    </row>
    <row r="416" spans="1:29">
      <c r="A416" s="10">
        <v>409</v>
      </c>
      <c r="B416" s="10" t="s">
        <v>671</v>
      </c>
      <c r="C416" s="10" t="s">
        <v>663</v>
      </c>
      <c r="D416" s="10" t="s">
        <v>655</v>
      </c>
      <c r="E416" s="10" t="s">
        <v>34</v>
      </c>
      <c r="F416" s="10" t="s">
        <v>35</v>
      </c>
      <c r="G416" s="8" t="s">
        <v>52</v>
      </c>
      <c r="H416" s="8" t="s">
        <v>58</v>
      </c>
      <c r="I416" s="8" t="s">
        <v>58</v>
      </c>
      <c r="J416" s="10">
        <v>152</v>
      </c>
      <c r="K416" s="10" t="s">
        <v>314</v>
      </c>
      <c r="L416" s="10" t="s">
        <v>40</v>
      </c>
      <c r="M416" s="12">
        <v>1</v>
      </c>
      <c r="N416" s="15">
        <v>7000.0</v>
      </c>
      <c r="O416" s="15"/>
      <c r="P416" s="17">
        <f>IF(N416&gt;0, O416/N416, 0)</f>
        <v>0</v>
      </c>
      <c r="Q416" s="15">
        <f>N416-O416</f>
        <v>7000</v>
      </c>
      <c r="R416" s="15">
        <f>M416*N416</f>
        <v>7000</v>
      </c>
      <c r="S416" s="15">
        <f>M416*O416</f>
        <v>0</v>
      </c>
      <c r="T416" s="15">
        <f>M416*Q416</f>
        <v>7000</v>
      </c>
      <c r="U416" s="15"/>
      <c r="V416" s="15">
        <f>M416*U416</f>
        <v>0</v>
      </c>
      <c r="W416" s="15">
        <f>T416-V416</f>
        <v>7000</v>
      </c>
      <c r="X416" s="17">
        <f>IF(T416&gt;0, W416/T416, 0)</f>
        <v>1</v>
      </c>
      <c r="Y416" s="8" t="s">
        <v>41</v>
      </c>
      <c r="Z416" s="10" t="s">
        <v>42</v>
      </c>
      <c r="AA416" s="10" t="s">
        <v>43</v>
      </c>
      <c r="AB416" s="10" t="s">
        <v>44</v>
      </c>
      <c r="AC416" s="8" t="s">
        <v>44</v>
      </c>
    </row>
    <row r="417" spans="1:29">
      <c r="A417" s="11">
        <v>410</v>
      </c>
      <c r="B417" s="11" t="s">
        <v>672</v>
      </c>
      <c r="C417" s="11" t="s">
        <v>663</v>
      </c>
      <c r="D417" s="11" t="s">
        <v>655</v>
      </c>
      <c r="E417" s="11" t="s">
        <v>34</v>
      </c>
      <c r="F417" s="11" t="s">
        <v>35</v>
      </c>
      <c r="G417" s="9" t="s">
        <v>52</v>
      </c>
      <c r="H417" s="9" t="s">
        <v>37</v>
      </c>
      <c r="I417" s="9" t="s">
        <v>75</v>
      </c>
      <c r="J417" s="11">
        <v>152</v>
      </c>
      <c r="K417" s="11" t="s">
        <v>608</v>
      </c>
      <c r="L417" s="11" t="s">
        <v>55</v>
      </c>
      <c r="M417" s="13">
        <v>1</v>
      </c>
      <c r="N417" s="16">
        <v>8000.0</v>
      </c>
      <c r="O417" s="16"/>
      <c r="P417" s="18">
        <f>IF(N417&gt;0, O417/N417, 0)</f>
        <v>0</v>
      </c>
      <c r="Q417" s="16">
        <f>N417-O417</f>
        <v>8000</v>
      </c>
      <c r="R417" s="16">
        <f>M417*N417</f>
        <v>8000</v>
      </c>
      <c r="S417" s="16">
        <f>M417*O417</f>
        <v>0</v>
      </c>
      <c r="T417" s="16">
        <f>M417*Q417</f>
        <v>8000</v>
      </c>
      <c r="U417" s="16"/>
      <c r="V417" s="16">
        <f>M417*U417</f>
        <v>0</v>
      </c>
      <c r="W417" s="16">
        <f>T417-V417</f>
        <v>8000</v>
      </c>
      <c r="X417" s="18">
        <f>IF(T417&gt;0, W417/T417, 0)</f>
        <v>1</v>
      </c>
      <c r="Y417" s="9" t="s">
        <v>41</v>
      </c>
      <c r="Z417" s="11" t="s">
        <v>42</v>
      </c>
      <c r="AA417" s="11" t="s">
        <v>43</v>
      </c>
      <c r="AB417" s="11" t="s">
        <v>44</v>
      </c>
      <c r="AC417" s="9" t="s">
        <v>44</v>
      </c>
    </row>
    <row r="418" spans="1:29">
      <c r="A418" s="10">
        <v>411</v>
      </c>
      <c r="B418" s="10" t="s">
        <v>673</v>
      </c>
      <c r="C418" s="10" t="s">
        <v>663</v>
      </c>
      <c r="D418" s="10" t="s">
        <v>655</v>
      </c>
      <c r="E418" s="10" t="s">
        <v>34</v>
      </c>
      <c r="F418" s="10" t="s">
        <v>35</v>
      </c>
      <c r="G418" s="8" t="s">
        <v>52</v>
      </c>
      <c r="H418" s="8" t="s">
        <v>53</v>
      </c>
      <c r="I418" s="8" t="s">
        <v>53</v>
      </c>
      <c r="J418" s="10">
        <v>158</v>
      </c>
      <c r="K418" s="10" t="s">
        <v>127</v>
      </c>
      <c r="L418" s="10" t="s">
        <v>55</v>
      </c>
      <c r="M418" s="12">
        <v>1</v>
      </c>
      <c r="N418" s="15">
        <v>8000.0</v>
      </c>
      <c r="O418" s="15"/>
      <c r="P418" s="17">
        <f>IF(N418&gt;0, O418/N418, 0)</f>
        <v>0</v>
      </c>
      <c r="Q418" s="15">
        <f>N418-O418</f>
        <v>8000</v>
      </c>
      <c r="R418" s="15">
        <f>M418*N418</f>
        <v>8000</v>
      </c>
      <c r="S418" s="15">
        <f>M418*O418</f>
        <v>0</v>
      </c>
      <c r="T418" s="15">
        <f>M418*Q418</f>
        <v>8000</v>
      </c>
      <c r="U418" s="15"/>
      <c r="V418" s="15">
        <f>M418*U418</f>
        <v>0</v>
      </c>
      <c r="W418" s="15">
        <f>T418-V418</f>
        <v>8000</v>
      </c>
      <c r="X418" s="17">
        <f>IF(T418&gt;0, W418/T418, 0)</f>
        <v>1</v>
      </c>
      <c r="Y418" s="8" t="s">
        <v>41</v>
      </c>
      <c r="Z418" s="10" t="s">
        <v>42</v>
      </c>
      <c r="AA418" s="10" t="s">
        <v>43</v>
      </c>
      <c r="AB418" s="10" t="s">
        <v>44</v>
      </c>
      <c r="AC418" s="8" t="s">
        <v>44</v>
      </c>
    </row>
    <row r="419" spans="1:29">
      <c r="A419" s="11">
        <v>412</v>
      </c>
      <c r="B419" s="11" t="s">
        <v>674</v>
      </c>
      <c r="C419" s="11" t="s">
        <v>663</v>
      </c>
      <c r="D419" s="11" t="s">
        <v>655</v>
      </c>
      <c r="E419" s="11" t="s">
        <v>34</v>
      </c>
      <c r="F419" s="11" t="s">
        <v>35</v>
      </c>
      <c r="G419" s="9" t="s">
        <v>52</v>
      </c>
      <c r="H419" s="9" t="s">
        <v>71</v>
      </c>
      <c r="I419" s="9" t="s">
        <v>71</v>
      </c>
      <c r="J419" s="11">
        <v>152</v>
      </c>
      <c r="K419" s="11" t="s">
        <v>353</v>
      </c>
      <c r="L419" s="11" t="s">
        <v>40</v>
      </c>
      <c r="M419" s="13">
        <v>1</v>
      </c>
      <c r="N419" s="16">
        <v>16000.0</v>
      </c>
      <c r="O419" s="16"/>
      <c r="P419" s="18">
        <f>IF(N419&gt;0, O419/N419, 0)</f>
        <v>0</v>
      </c>
      <c r="Q419" s="16">
        <f>N419-O419</f>
        <v>16000</v>
      </c>
      <c r="R419" s="16">
        <f>M419*N419</f>
        <v>16000</v>
      </c>
      <c r="S419" s="16">
        <f>M419*O419</f>
        <v>0</v>
      </c>
      <c r="T419" s="16">
        <f>M419*Q419</f>
        <v>16000</v>
      </c>
      <c r="U419" s="16"/>
      <c r="V419" s="16">
        <f>M419*U419</f>
        <v>0</v>
      </c>
      <c r="W419" s="16">
        <f>T419-V419</f>
        <v>16000</v>
      </c>
      <c r="X419" s="18">
        <f>IF(T419&gt;0, W419/T419, 0)</f>
        <v>1</v>
      </c>
      <c r="Y419" s="9" t="s">
        <v>41</v>
      </c>
      <c r="Z419" s="11" t="s">
        <v>42</v>
      </c>
      <c r="AA419" s="11" t="s">
        <v>43</v>
      </c>
      <c r="AB419" s="11" t="s">
        <v>44</v>
      </c>
      <c r="AC419" s="9" t="s">
        <v>44</v>
      </c>
    </row>
    <row r="420" spans="1:29">
      <c r="A420" s="10">
        <v>413</v>
      </c>
      <c r="B420" s="10" t="s">
        <v>675</v>
      </c>
      <c r="C420" s="10" t="s">
        <v>663</v>
      </c>
      <c r="D420" s="10" t="s">
        <v>655</v>
      </c>
      <c r="E420" s="10" t="s">
        <v>34</v>
      </c>
      <c r="F420" s="10" t="s">
        <v>35</v>
      </c>
      <c r="G420" s="8" t="s">
        <v>52</v>
      </c>
      <c r="H420" s="8" t="s">
        <v>37</v>
      </c>
      <c r="I420" s="8" t="s">
        <v>38</v>
      </c>
      <c r="J420" s="10">
        <v>158</v>
      </c>
      <c r="K420" s="10" t="s">
        <v>132</v>
      </c>
      <c r="L420" s="10" t="s">
        <v>55</v>
      </c>
      <c r="M420" s="12">
        <v>1</v>
      </c>
      <c r="N420" s="15">
        <v>7000.0</v>
      </c>
      <c r="O420" s="15"/>
      <c r="P420" s="17">
        <f>IF(N420&gt;0, O420/N420, 0)</f>
        <v>0</v>
      </c>
      <c r="Q420" s="15">
        <f>N420-O420</f>
        <v>7000</v>
      </c>
      <c r="R420" s="15">
        <f>M420*N420</f>
        <v>7000</v>
      </c>
      <c r="S420" s="15">
        <f>M420*O420</f>
        <v>0</v>
      </c>
      <c r="T420" s="15">
        <f>M420*Q420</f>
        <v>7000</v>
      </c>
      <c r="U420" s="15"/>
      <c r="V420" s="15">
        <f>M420*U420</f>
        <v>0</v>
      </c>
      <c r="W420" s="15">
        <f>T420-V420</f>
        <v>7000</v>
      </c>
      <c r="X420" s="17">
        <f>IF(T420&gt;0, W420/T420, 0)</f>
        <v>1</v>
      </c>
      <c r="Y420" s="8" t="s">
        <v>41</v>
      </c>
      <c r="Z420" s="10" t="s">
        <v>42</v>
      </c>
      <c r="AA420" s="10" t="s">
        <v>43</v>
      </c>
      <c r="AB420" s="10" t="s">
        <v>44</v>
      </c>
      <c r="AC420" s="8" t="s">
        <v>44</v>
      </c>
    </row>
    <row r="421" spans="1:29">
      <c r="A421" s="11">
        <v>414</v>
      </c>
      <c r="B421" s="11" t="s">
        <v>676</v>
      </c>
      <c r="C421" s="11" t="s">
        <v>663</v>
      </c>
      <c r="D421" s="11" t="s">
        <v>655</v>
      </c>
      <c r="E421" s="11" t="s">
        <v>34</v>
      </c>
      <c r="F421" s="11" t="s">
        <v>35</v>
      </c>
      <c r="G421" s="9" t="s">
        <v>52</v>
      </c>
      <c r="H421" s="9" t="s">
        <v>71</v>
      </c>
      <c r="I421" s="9" t="s">
        <v>71</v>
      </c>
      <c r="J421" s="11">
        <v>140</v>
      </c>
      <c r="K421" s="11" t="s">
        <v>228</v>
      </c>
      <c r="L421" s="11" t="s">
        <v>40</v>
      </c>
      <c r="M421" s="13">
        <v>1</v>
      </c>
      <c r="N421" s="16">
        <v>16000.0</v>
      </c>
      <c r="O421" s="16"/>
      <c r="P421" s="18">
        <f>IF(N421&gt;0, O421/N421, 0)</f>
        <v>0</v>
      </c>
      <c r="Q421" s="16">
        <f>N421-O421</f>
        <v>16000</v>
      </c>
      <c r="R421" s="16">
        <f>M421*N421</f>
        <v>16000</v>
      </c>
      <c r="S421" s="16">
        <f>M421*O421</f>
        <v>0</v>
      </c>
      <c r="T421" s="16">
        <f>M421*Q421</f>
        <v>16000</v>
      </c>
      <c r="U421" s="16"/>
      <c r="V421" s="16">
        <f>M421*U421</f>
        <v>0</v>
      </c>
      <c r="W421" s="16">
        <f>T421-V421</f>
        <v>16000</v>
      </c>
      <c r="X421" s="18">
        <f>IF(T421&gt;0, W421/T421, 0)</f>
        <v>1</v>
      </c>
      <c r="Y421" s="9" t="s">
        <v>41</v>
      </c>
      <c r="Z421" s="11" t="s">
        <v>42</v>
      </c>
      <c r="AA421" s="11" t="s">
        <v>43</v>
      </c>
      <c r="AB421" s="11" t="s">
        <v>44</v>
      </c>
      <c r="AC421" s="9" t="s">
        <v>44</v>
      </c>
    </row>
    <row r="422" spans="1:29">
      <c r="A422" s="10">
        <v>415</v>
      </c>
      <c r="B422" s="10" t="s">
        <v>677</v>
      </c>
      <c r="C422" s="10" t="s">
        <v>663</v>
      </c>
      <c r="D422" s="10" t="s">
        <v>655</v>
      </c>
      <c r="E422" s="10" t="s">
        <v>34</v>
      </c>
      <c r="F422" s="10" t="s">
        <v>35</v>
      </c>
      <c r="G422" s="8" t="s">
        <v>52</v>
      </c>
      <c r="H422" s="8" t="s">
        <v>37</v>
      </c>
      <c r="I422" s="8" t="s">
        <v>75</v>
      </c>
      <c r="J422" s="10">
        <v>140</v>
      </c>
      <c r="K422" s="10" t="s">
        <v>573</v>
      </c>
      <c r="L422" s="10" t="s">
        <v>55</v>
      </c>
      <c r="M422" s="12">
        <v>1</v>
      </c>
      <c r="N422" s="15">
        <v>8000.0</v>
      </c>
      <c r="O422" s="15"/>
      <c r="P422" s="17">
        <f>IF(N422&gt;0, O422/N422, 0)</f>
        <v>0</v>
      </c>
      <c r="Q422" s="15">
        <f>N422-O422</f>
        <v>8000</v>
      </c>
      <c r="R422" s="15">
        <f>M422*N422</f>
        <v>8000</v>
      </c>
      <c r="S422" s="15">
        <f>M422*O422</f>
        <v>0</v>
      </c>
      <c r="T422" s="15">
        <f>M422*Q422</f>
        <v>8000</v>
      </c>
      <c r="U422" s="15"/>
      <c r="V422" s="15">
        <f>M422*U422</f>
        <v>0</v>
      </c>
      <c r="W422" s="15">
        <f>T422-V422</f>
        <v>8000</v>
      </c>
      <c r="X422" s="17">
        <f>IF(T422&gt;0, W422/T422, 0)</f>
        <v>1</v>
      </c>
      <c r="Y422" s="8" t="s">
        <v>41</v>
      </c>
      <c r="Z422" s="10" t="s">
        <v>42</v>
      </c>
      <c r="AA422" s="10" t="s">
        <v>43</v>
      </c>
      <c r="AB422" s="10" t="s">
        <v>44</v>
      </c>
      <c r="AC422" s="8" t="s">
        <v>44</v>
      </c>
    </row>
    <row r="423" spans="1:29">
      <c r="A423" s="11">
        <v>416</v>
      </c>
      <c r="B423" s="11" t="s">
        <v>678</v>
      </c>
      <c r="C423" s="11" t="s">
        <v>663</v>
      </c>
      <c r="D423" s="11" t="s">
        <v>655</v>
      </c>
      <c r="E423" s="11" t="s">
        <v>34</v>
      </c>
      <c r="F423" s="11" t="s">
        <v>35</v>
      </c>
      <c r="G423" s="9" t="s">
        <v>52</v>
      </c>
      <c r="H423" s="9" t="s">
        <v>53</v>
      </c>
      <c r="I423" s="9" t="s">
        <v>53</v>
      </c>
      <c r="J423" s="11">
        <v>146</v>
      </c>
      <c r="K423" s="11" t="s">
        <v>257</v>
      </c>
      <c r="L423" s="11" t="s">
        <v>55</v>
      </c>
      <c r="M423" s="13">
        <v>1</v>
      </c>
      <c r="N423" s="16">
        <v>8000.0</v>
      </c>
      <c r="O423" s="16"/>
      <c r="P423" s="18">
        <f>IF(N423&gt;0, O423/N423, 0)</f>
        <v>0</v>
      </c>
      <c r="Q423" s="16">
        <f>N423-O423</f>
        <v>8000</v>
      </c>
      <c r="R423" s="16">
        <f>M423*N423</f>
        <v>8000</v>
      </c>
      <c r="S423" s="16">
        <f>M423*O423</f>
        <v>0</v>
      </c>
      <c r="T423" s="16">
        <f>M423*Q423</f>
        <v>8000</v>
      </c>
      <c r="U423" s="16"/>
      <c r="V423" s="16">
        <f>M423*U423</f>
        <v>0</v>
      </c>
      <c r="W423" s="16">
        <f>T423-V423</f>
        <v>8000</v>
      </c>
      <c r="X423" s="18">
        <f>IF(T423&gt;0, W423/T423, 0)</f>
        <v>1</v>
      </c>
      <c r="Y423" s="9" t="s">
        <v>41</v>
      </c>
      <c r="Z423" s="11" t="s">
        <v>42</v>
      </c>
      <c r="AA423" s="11" t="s">
        <v>43</v>
      </c>
      <c r="AB423" s="11" t="s">
        <v>44</v>
      </c>
      <c r="AC423" s="9" t="s">
        <v>44</v>
      </c>
    </row>
    <row r="424" spans="1:29">
      <c r="A424" s="10">
        <v>417</v>
      </c>
      <c r="B424" s="10" t="s">
        <v>679</v>
      </c>
      <c r="C424" s="10" t="s">
        <v>663</v>
      </c>
      <c r="D424" s="10" t="s">
        <v>655</v>
      </c>
      <c r="E424" s="10" t="s">
        <v>34</v>
      </c>
      <c r="F424" s="10" t="s">
        <v>35</v>
      </c>
      <c r="G424" s="8" t="s">
        <v>36</v>
      </c>
      <c r="H424" s="8" t="s">
        <v>37</v>
      </c>
      <c r="I424" s="8" t="s">
        <v>38</v>
      </c>
      <c r="J424" s="10">
        <v>146</v>
      </c>
      <c r="K424" s="10" t="s">
        <v>531</v>
      </c>
      <c r="L424" s="10" t="s">
        <v>40</v>
      </c>
      <c r="M424" s="12">
        <v>1</v>
      </c>
      <c r="N424" s="15">
        <v>7000.0</v>
      </c>
      <c r="O424" s="15"/>
      <c r="P424" s="17">
        <f>IF(N424&gt;0, O424/N424, 0)</f>
        <v>0</v>
      </c>
      <c r="Q424" s="15">
        <f>N424-O424</f>
        <v>7000</v>
      </c>
      <c r="R424" s="15">
        <f>M424*N424</f>
        <v>7000</v>
      </c>
      <c r="S424" s="15">
        <f>M424*O424</f>
        <v>0</v>
      </c>
      <c r="T424" s="15">
        <f>M424*Q424</f>
        <v>7000</v>
      </c>
      <c r="U424" s="15"/>
      <c r="V424" s="15">
        <f>M424*U424</f>
        <v>0</v>
      </c>
      <c r="W424" s="15">
        <f>T424-V424</f>
        <v>7000</v>
      </c>
      <c r="X424" s="17">
        <f>IF(T424&gt;0, W424/T424, 0)</f>
        <v>1</v>
      </c>
      <c r="Y424" s="8" t="s">
        <v>41</v>
      </c>
      <c r="Z424" s="10" t="s">
        <v>42</v>
      </c>
      <c r="AA424" s="10" t="s">
        <v>43</v>
      </c>
      <c r="AB424" s="10" t="s">
        <v>44</v>
      </c>
      <c r="AC424" s="8" t="s">
        <v>44</v>
      </c>
    </row>
    <row r="425" spans="1:29">
      <c r="A425" s="11">
        <v>418</v>
      </c>
      <c r="B425" s="11" t="s">
        <v>680</v>
      </c>
      <c r="C425" s="11" t="s">
        <v>681</v>
      </c>
      <c r="D425" s="11" t="s">
        <v>655</v>
      </c>
      <c r="E425" s="11" t="s">
        <v>34</v>
      </c>
      <c r="F425" s="11" t="s">
        <v>35</v>
      </c>
      <c r="G425" s="9" t="s">
        <v>36</v>
      </c>
      <c r="H425" s="9" t="s">
        <v>37</v>
      </c>
      <c r="I425" s="9" t="s">
        <v>75</v>
      </c>
      <c r="J425" s="11">
        <v>146</v>
      </c>
      <c r="K425" s="11" t="s">
        <v>635</v>
      </c>
      <c r="L425" s="11" t="s">
        <v>40</v>
      </c>
      <c r="M425" s="13">
        <v>1</v>
      </c>
      <c r="N425" s="16">
        <v>8000.0</v>
      </c>
      <c r="O425" s="16"/>
      <c r="P425" s="18">
        <f>IF(N425&gt;0, O425/N425, 0)</f>
        <v>0</v>
      </c>
      <c r="Q425" s="16">
        <f>N425-O425</f>
        <v>8000</v>
      </c>
      <c r="R425" s="16">
        <f>M425*N425</f>
        <v>8000</v>
      </c>
      <c r="S425" s="16">
        <f>M425*O425</f>
        <v>0</v>
      </c>
      <c r="T425" s="16">
        <f>M425*Q425</f>
        <v>8000</v>
      </c>
      <c r="U425" s="16"/>
      <c r="V425" s="16">
        <f>M425*U425</f>
        <v>0</v>
      </c>
      <c r="W425" s="16">
        <f>T425-V425</f>
        <v>8000</v>
      </c>
      <c r="X425" s="18">
        <f>IF(T425&gt;0, W425/T425, 0)</f>
        <v>1</v>
      </c>
      <c r="Y425" s="9" t="s">
        <v>41</v>
      </c>
      <c r="Z425" s="11" t="s">
        <v>42</v>
      </c>
      <c r="AA425" s="11" t="s">
        <v>43</v>
      </c>
      <c r="AB425" s="11" t="s">
        <v>44</v>
      </c>
      <c r="AC425" s="9" t="s">
        <v>44</v>
      </c>
    </row>
    <row r="426" spans="1:29">
      <c r="A426" s="10">
        <v>419</v>
      </c>
      <c r="B426" s="10" t="s">
        <v>682</v>
      </c>
      <c r="C426" s="10" t="s">
        <v>681</v>
      </c>
      <c r="D426" s="10" t="s">
        <v>655</v>
      </c>
      <c r="E426" s="10" t="s">
        <v>34</v>
      </c>
      <c r="F426" s="10" t="s">
        <v>35</v>
      </c>
      <c r="G426" s="8" t="s">
        <v>36</v>
      </c>
      <c r="H426" s="8" t="s">
        <v>53</v>
      </c>
      <c r="I426" s="8" t="s">
        <v>53</v>
      </c>
      <c r="J426" s="10">
        <v>140</v>
      </c>
      <c r="K426" s="10" t="s">
        <v>683</v>
      </c>
      <c r="L426" s="10" t="s">
        <v>40</v>
      </c>
      <c r="M426" s="12">
        <v>1</v>
      </c>
      <c r="N426" s="15">
        <v>8000.0</v>
      </c>
      <c r="O426" s="15"/>
      <c r="P426" s="17">
        <f>IF(N426&gt;0, O426/N426, 0)</f>
        <v>0</v>
      </c>
      <c r="Q426" s="15">
        <f>N426-O426</f>
        <v>8000</v>
      </c>
      <c r="R426" s="15">
        <f>M426*N426</f>
        <v>8000</v>
      </c>
      <c r="S426" s="15">
        <f>M426*O426</f>
        <v>0</v>
      </c>
      <c r="T426" s="15">
        <f>M426*Q426</f>
        <v>8000</v>
      </c>
      <c r="U426" s="15"/>
      <c r="V426" s="15">
        <f>M426*U426</f>
        <v>0</v>
      </c>
      <c r="W426" s="15">
        <f>T426-V426</f>
        <v>8000</v>
      </c>
      <c r="X426" s="17">
        <f>IF(T426&gt;0, W426/T426, 0)</f>
        <v>1</v>
      </c>
      <c r="Y426" s="8" t="s">
        <v>41</v>
      </c>
      <c r="Z426" s="10" t="s">
        <v>42</v>
      </c>
      <c r="AA426" s="10" t="s">
        <v>43</v>
      </c>
      <c r="AB426" s="10" t="s">
        <v>44</v>
      </c>
      <c r="AC426" s="8" t="s">
        <v>44</v>
      </c>
    </row>
    <row r="427" spans="1:29">
      <c r="A427" s="11">
        <v>420</v>
      </c>
      <c r="B427" s="11" t="s">
        <v>684</v>
      </c>
      <c r="C427" s="11" t="s">
        <v>681</v>
      </c>
      <c r="D427" s="11" t="s">
        <v>655</v>
      </c>
      <c r="E427" s="11" t="s">
        <v>34</v>
      </c>
      <c r="F427" s="11" t="s">
        <v>35</v>
      </c>
      <c r="G427" s="9" t="s">
        <v>36</v>
      </c>
      <c r="H427" s="9" t="s">
        <v>71</v>
      </c>
      <c r="I427" s="9" t="s">
        <v>71</v>
      </c>
      <c r="J427" s="11">
        <v>146</v>
      </c>
      <c r="K427" s="11" t="s">
        <v>267</v>
      </c>
      <c r="L427" s="11" t="s">
        <v>40</v>
      </c>
      <c r="M427" s="13">
        <v>1</v>
      </c>
      <c r="N427" s="16">
        <v>16000.0</v>
      </c>
      <c r="O427" s="16"/>
      <c r="P427" s="18">
        <f>IF(N427&gt;0, O427/N427, 0)</f>
        <v>0</v>
      </c>
      <c r="Q427" s="16">
        <f>N427-O427</f>
        <v>16000</v>
      </c>
      <c r="R427" s="16">
        <f>M427*N427</f>
        <v>16000</v>
      </c>
      <c r="S427" s="16">
        <f>M427*O427</f>
        <v>0</v>
      </c>
      <c r="T427" s="16">
        <f>M427*Q427</f>
        <v>16000</v>
      </c>
      <c r="U427" s="16"/>
      <c r="V427" s="16">
        <f>M427*U427</f>
        <v>0</v>
      </c>
      <c r="W427" s="16">
        <f>T427-V427</f>
        <v>16000</v>
      </c>
      <c r="X427" s="18">
        <f>IF(T427&gt;0, W427/T427, 0)</f>
        <v>1</v>
      </c>
      <c r="Y427" s="9" t="s">
        <v>41</v>
      </c>
      <c r="Z427" s="11" t="s">
        <v>42</v>
      </c>
      <c r="AA427" s="11" t="s">
        <v>43</v>
      </c>
      <c r="AB427" s="11" t="s">
        <v>44</v>
      </c>
      <c r="AC427" s="9" t="s">
        <v>44</v>
      </c>
    </row>
    <row r="428" spans="1:29">
      <c r="A428" s="10">
        <v>421</v>
      </c>
      <c r="B428" s="10" t="s">
        <v>685</v>
      </c>
      <c r="C428" s="10" t="s">
        <v>681</v>
      </c>
      <c r="D428" s="10" t="s">
        <v>655</v>
      </c>
      <c r="E428" s="10" t="s">
        <v>34</v>
      </c>
      <c r="F428" s="10" t="s">
        <v>35</v>
      </c>
      <c r="G428" s="8" t="s">
        <v>36</v>
      </c>
      <c r="H428" s="8" t="s">
        <v>37</v>
      </c>
      <c r="I428" s="8" t="s">
        <v>38</v>
      </c>
      <c r="J428" s="10">
        <v>146</v>
      </c>
      <c r="K428" s="10" t="s">
        <v>531</v>
      </c>
      <c r="L428" s="10" t="s">
        <v>40</v>
      </c>
      <c r="M428" s="12">
        <v>1</v>
      </c>
      <c r="N428" s="15">
        <v>7000.0</v>
      </c>
      <c r="O428" s="15"/>
      <c r="P428" s="17">
        <f>IF(N428&gt;0, O428/N428, 0)</f>
        <v>0</v>
      </c>
      <c r="Q428" s="15">
        <f>N428-O428</f>
        <v>7000</v>
      </c>
      <c r="R428" s="15">
        <f>M428*N428</f>
        <v>7000</v>
      </c>
      <c r="S428" s="15">
        <f>M428*O428</f>
        <v>0</v>
      </c>
      <c r="T428" s="15">
        <f>M428*Q428</f>
        <v>7000</v>
      </c>
      <c r="U428" s="15"/>
      <c r="V428" s="15">
        <f>M428*U428</f>
        <v>0</v>
      </c>
      <c r="W428" s="15">
        <f>T428-V428</f>
        <v>7000</v>
      </c>
      <c r="X428" s="17">
        <f>IF(T428&gt;0, W428/T428, 0)</f>
        <v>1</v>
      </c>
      <c r="Y428" s="8" t="s">
        <v>41</v>
      </c>
      <c r="Z428" s="10" t="s">
        <v>42</v>
      </c>
      <c r="AA428" s="10" t="s">
        <v>43</v>
      </c>
      <c r="AB428" s="10" t="s">
        <v>44</v>
      </c>
      <c r="AC428" s="8" t="s">
        <v>44</v>
      </c>
    </row>
    <row r="429" spans="1:29">
      <c r="A429" s="11">
        <v>422</v>
      </c>
      <c r="B429" s="11" t="s">
        <v>686</v>
      </c>
      <c r="C429" s="11" t="s">
        <v>681</v>
      </c>
      <c r="D429" s="11" t="s">
        <v>655</v>
      </c>
      <c r="E429" s="11" t="s">
        <v>34</v>
      </c>
      <c r="F429" s="11" t="s">
        <v>35</v>
      </c>
      <c r="G429" s="9" t="s">
        <v>36</v>
      </c>
      <c r="H429" s="9" t="s">
        <v>71</v>
      </c>
      <c r="I429" s="9" t="s">
        <v>71</v>
      </c>
      <c r="J429" s="11">
        <v>152</v>
      </c>
      <c r="K429" s="11" t="s">
        <v>210</v>
      </c>
      <c r="L429" s="11" t="s">
        <v>40</v>
      </c>
      <c r="M429" s="13">
        <v>1</v>
      </c>
      <c r="N429" s="16">
        <v>16500.0</v>
      </c>
      <c r="O429" s="16"/>
      <c r="P429" s="18">
        <f>IF(N429&gt;0, O429/N429, 0)</f>
        <v>0</v>
      </c>
      <c r="Q429" s="16">
        <f>N429-O429</f>
        <v>16500</v>
      </c>
      <c r="R429" s="16">
        <f>M429*N429</f>
        <v>16500</v>
      </c>
      <c r="S429" s="16">
        <f>M429*O429</f>
        <v>0</v>
      </c>
      <c r="T429" s="16">
        <f>M429*Q429</f>
        <v>16500</v>
      </c>
      <c r="U429" s="16"/>
      <c r="V429" s="16">
        <f>M429*U429</f>
        <v>0</v>
      </c>
      <c r="W429" s="16">
        <f>T429-V429</f>
        <v>16500</v>
      </c>
      <c r="X429" s="18">
        <f>IF(T429&gt;0, W429/T429, 0)</f>
        <v>1</v>
      </c>
      <c r="Y429" s="9" t="s">
        <v>41</v>
      </c>
      <c r="Z429" s="11" t="s">
        <v>42</v>
      </c>
      <c r="AA429" s="11" t="s">
        <v>43</v>
      </c>
      <c r="AB429" s="11" t="s">
        <v>44</v>
      </c>
      <c r="AC429" s="9" t="s">
        <v>44</v>
      </c>
    </row>
    <row r="430" spans="1:29">
      <c r="A430" s="10">
        <v>423</v>
      </c>
      <c r="B430" s="10" t="s">
        <v>687</v>
      </c>
      <c r="C430" s="10" t="s">
        <v>681</v>
      </c>
      <c r="D430" s="10" t="s">
        <v>655</v>
      </c>
      <c r="E430" s="10" t="s">
        <v>34</v>
      </c>
      <c r="F430" s="10" t="s">
        <v>35</v>
      </c>
      <c r="G430" s="8" t="s">
        <v>36</v>
      </c>
      <c r="H430" s="8" t="s">
        <v>37</v>
      </c>
      <c r="I430" s="8" t="s">
        <v>38</v>
      </c>
      <c r="J430" s="10">
        <v>110</v>
      </c>
      <c r="K430" s="10" t="s">
        <v>688</v>
      </c>
      <c r="L430" s="10" t="s">
        <v>40</v>
      </c>
      <c r="M430" s="12">
        <v>1</v>
      </c>
      <c r="N430" s="15">
        <v>7000.0</v>
      </c>
      <c r="O430" s="15"/>
      <c r="P430" s="17">
        <f>IF(N430&gt;0, O430/N430, 0)</f>
        <v>0</v>
      </c>
      <c r="Q430" s="15">
        <f>N430-O430</f>
        <v>7000</v>
      </c>
      <c r="R430" s="15">
        <f>M430*N430</f>
        <v>7000</v>
      </c>
      <c r="S430" s="15">
        <f>M430*O430</f>
        <v>0</v>
      </c>
      <c r="T430" s="15">
        <f>M430*Q430</f>
        <v>7000</v>
      </c>
      <c r="U430" s="15"/>
      <c r="V430" s="15">
        <f>M430*U430</f>
        <v>0</v>
      </c>
      <c r="W430" s="15">
        <f>T430-V430</f>
        <v>7000</v>
      </c>
      <c r="X430" s="17">
        <f>IF(T430&gt;0, W430/T430, 0)</f>
        <v>1</v>
      </c>
      <c r="Y430" s="8" t="s">
        <v>41</v>
      </c>
      <c r="Z430" s="10" t="s">
        <v>42</v>
      </c>
      <c r="AA430" s="10" t="s">
        <v>43</v>
      </c>
      <c r="AB430" s="10" t="s">
        <v>44</v>
      </c>
      <c r="AC430" s="8" t="s">
        <v>44</v>
      </c>
    </row>
    <row r="431" spans="1:29">
      <c r="A431" s="11">
        <v>424</v>
      </c>
      <c r="B431" s="11" t="s">
        <v>689</v>
      </c>
      <c r="C431" s="11" t="s">
        <v>681</v>
      </c>
      <c r="D431" s="11" t="s">
        <v>655</v>
      </c>
      <c r="E431" s="11" t="s">
        <v>34</v>
      </c>
      <c r="F431" s="11" t="s">
        <v>35</v>
      </c>
      <c r="G431" s="9" t="s">
        <v>36</v>
      </c>
      <c r="H431" s="9" t="s">
        <v>37</v>
      </c>
      <c r="I431" s="9" t="s">
        <v>38</v>
      </c>
      <c r="J431" s="11">
        <v>164</v>
      </c>
      <c r="K431" s="11" t="s">
        <v>79</v>
      </c>
      <c r="L431" s="11" t="s">
        <v>40</v>
      </c>
      <c r="M431" s="13">
        <v>1</v>
      </c>
      <c r="N431" s="16">
        <v>8000.0</v>
      </c>
      <c r="O431" s="16"/>
      <c r="P431" s="18">
        <f>IF(N431&gt;0, O431/N431, 0)</f>
        <v>0</v>
      </c>
      <c r="Q431" s="16">
        <f>N431-O431</f>
        <v>8000</v>
      </c>
      <c r="R431" s="16">
        <f>M431*N431</f>
        <v>8000</v>
      </c>
      <c r="S431" s="16">
        <f>M431*O431</f>
        <v>0</v>
      </c>
      <c r="T431" s="16">
        <f>M431*Q431</f>
        <v>8000</v>
      </c>
      <c r="U431" s="16"/>
      <c r="V431" s="16">
        <f>M431*U431</f>
        <v>0</v>
      </c>
      <c r="W431" s="16">
        <f>T431-V431</f>
        <v>8000</v>
      </c>
      <c r="X431" s="18">
        <f>IF(T431&gt;0, W431/T431, 0)</f>
        <v>1</v>
      </c>
      <c r="Y431" s="9" t="s">
        <v>41</v>
      </c>
      <c r="Z431" s="11" t="s">
        <v>42</v>
      </c>
      <c r="AA431" s="11" t="s">
        <v>43</v>
      </c>
      <c r="AB431" s="11" t="s">
        <v>44</v>
      </c>
      <c r="AC431" s="9" t="s">
        <v>44</v>
      </c>
    </row>
    <row r="432" spans="1:29">
      <c r="A432" s="10">
        <v>425</v>
      </c>
      <c r="B432" s="10" t="s">
        <v>690</v>
      </c>
      <c r="C432" s="10" t="s">
        <v>681</v>
      </c>
      <c r="D432" s="10" t="s">
        <v>655</v>
      </c>
      <c r="E432" s="10" t="s">
        <v>34</v>
      </c>
      <c r="F432" s="10" t="s">
        <v>35</v>
      </c>
      <c r="G432" s="8" t="s">
        <v>36</v>
      </c>
      <c r="H432" s="8" t="s">
        <v>53</v>
      </c>
      <c r="I432" s="8" t="s">
        <v>53</v>
      </c>
      <c r="J432" s="10">
        <v>158</v>
      </c>
      <c r="K432" s="10" t="s">
        <v>124</v>
      </c>
      <c r="L432" s="10" t="s">
        <v>40</v>
      </c>
      <c r="M432" s="12">
        <v>1</v>
      </c>
      <c r="N432" s="15">
        <v>8500.0</v>
      </c>
      <c r="O432" s="15"/>
      <c r="P432" s="17">
        <f>IF(N432&gt;0, O432/N432, 0)</f>
        <v>0</v>
      </c>
      <c r="Q432" s="15">
        <f>N432-O432</f>
        <v>8500</v>
      </c>
      <c r="R432" s="15">
        <f>M432*N432</f>
        <v>8500</v>
      </c>
      <c r="S432" s="15">
        <f>M432*O432</f>
        <v>0</v>
      </c>
      <c r="T432" s="15">
        <f>M432*Q432</f>
        <v>8500</v>
      </c>
      <c r="U432" s="15"/>
      <c r="V432" s="15">
        <f>M432*U432</f>
        <v>0</v>
      </c>
      <c r="W432" s="15">
        <f>T432-V432</f>
        <v>8500</v>
      </c>
      <c r="X432" s="17">
        <f>IF(T432&gt;0, W432/T432, 0)</f>
        <v>1</v>
      </c>
      <c r="Y432" s="8" t="s">
        <v>41</v>
      </c>
      <c r="Z432" s="10" t="s">
        <v>42</v>
      </c>
      <c r="AA432" s="10" t="s">
        <v>43</v>
      </c>
      <c r="AB432" s="10" t="s">
        <v>44</v>
      </c>
      <c r="AC432" s="8" t="s">
        <v>44</v>
      </c>
    </row>
    <row r="433" spans="1:29">
      <c r="A433" s="11">
        <v>426</v>
      </c>
      <c r="B433" s="11" t="s">
        <v>691</v>
      </c>
      <c r="C433" s="11" t="s">
        <v>681</v>
      </c>
      <c r="D433" s="11" t="s">
        <v>655</v>
      </c>
      <c r="E433" s="11" t="s">
        <v>34</v>
      </c>
      <c r="F433" s="11" t="s">
        <v>35</v>
      </c>
      <c r="G433" s="9" t="s">
        <v>36</v>
      </c>
      <c r="H433" s="9" t="s">
        <v>47</v>
      </c>
      <c r="I433" s="9" t="s">
        <v>48</v>
      </c>
      <c r="J433" s="11">
        <v>152</v>
      </c>
      <c r="K433" s="11" t="s">
        <v>348</v>
      </c>
      <c r="L433" s="11" t="s">
        <v>40</v>
      </c>
      <c r="M433" s="13">
        <v>1</v>
      </c>
      <c r="N433" s="16">
        <v>18000.0</v>
      </c>
      <c r="O433" s="16"/>
      <c r="P433" s="18">
        <f>IF(N433&gt;0, O433/N433, 0)</f>
        <v>0</v>
      </c>
      <c r="Q433" s="16">
        <f>N433-O433</f>
        <v>18000</v>
      </c>
      <c r="R433" s="16">
        <f>M433*N433</f>
        <v>18000</v>
      </c>
      <c r="S433" s="16">
        <f>M433*O433</f>
        <v>0</v>
      </c>
      <c r="T433" s="16">
        <f>M433*Q433</f>
        <v>18000</v>
      </c>
      <c r="U433" s="16"/>
      <c r="V433" s="16">
        <f>M433*U433</f>
        <v>0</v>
      </c>
      <c r="W433" s="16">
        <f>T433-V433</f>
        <v>18000</v>
      </c>
      <c r="X433" s="18">
        <f>IF(T433&gt;0, W433/T433, 0)</f>
        <v>1</v>
      </c>
      <c r="Y433" s="9" t="s">
        <v>41</v>
      </c>
      <c r="Z433" s="11" t="s">
        <v>42</v>
      </c>
      <c r="AA433" s="11" t="s">
        <v>43</v>
      </c>
      <c r="AB433" s="11" t="s">
        <v>44</v>
      </c>
      <c r="AC433" s="9" t="s">
        <v>44</v>
      </c>
    </row>
    <row r="434" spans="1:29">
      <c r="A434" s="10">
        <v>427</v>
      </c>
      <c r="B434" s="10" t="s">
        <v>692</v>
      </c>
      <c r="C434" s="10" t="s">
        <v>681</v>
      </c>
      <c r="D434" s="10" t="s">
        <v>655</v>
      </c>
      <c r="E434" s="10" t="s">
        <v>34</v>
      </c>
      <c r="F434" s="10" t="s">
        <v>35</v>
      </c>
      <c r="G434" s="8" t="s">
        <v>36</v>
      </c>
      <c r="H434" s="8" t="s">
        <v>71</v>
      </c>
      <c r="I434" s="8" t="s">
        <v>71</v>
      </c>
      <c r="J434" s="10">
        <v>152</v>
      </c>
      <c r="K434" s="10" t="s">
        <v>210</v>
      </c>
      <c r="L434" s="10" t="s">
        <v>40</v>
      </c>
      <c r="M434" s="12">
        <v>1</v>
      </c>
      <c r="N434" s="15">
        <v>16500.0</v>
      </c>
      <c r="O434" s="15"/>
      <c r="P434" s="17">
        <f>IF(N434&gt;0, O434/N434, 0)</f>
        <v>0</v>
      </c>
      <c r="Q434" s="15">
        <f>N434-O434</f>
        <v>16500</v>
      </c>
      <c r="R434" s="15">
        <f>M434*N434</f>
        <v>16500</v>
      </c>
      <c r="S434" s="15">
        <f>M434*O434</f>
        <v>0</v>
      </c>
      <c r="T434" s="15">
        <f>M434*Q434</f>
        <v>16500</v>
      </c>
      <c r="U434" s="15"/>
      <c r="V434" s="15">
        <f>M434*U434</f>
        <v>0</v>
      </c>
      <c r="W434" s="15">
        <f>T434-V434</f>
        <v>16500</v>
      </c>
      <c r="X434" s="17">
        <f>IF(T434&gt;0, W434/T434, 0)</f>
        <v>1</v>
      </c>
      <c r="Y434" s="8" t="s">
        <v>41</v>
      </c>
      <c r="Z434" s="10" t="s">
        <v>42</v>
      </c>
      <c r="AA434" s="10" t="s">
        <v>43</v>
      </c>
      <c r="AB434" s="10" t="s">
        <v>44</v>
      </c>
      <c r="AC434" s="8" t="s">
        <v>44</v>
      </c>
    </row>
    <row r="435" spans="1:29">
      <c r="A435" s="11">
        <v>428</v>
      </c>
      <c r="B435" s="11" t="s">
        <v>693</v>
      </c>
      <c r="C435" s="11" t="s">
        <v>681</v>
      </c>
      <c r="D435" s="11" t="s">
        <v>655</v>
      </c>
      <c r="E435" s="11" t="s">
        <v>34</v>
      </c>
      <c r="F435" s="11" t="s">
        <v>35</v>
      </c>
      <c r="G435" s="9" t="s">
        <v>36</v>
      </c>
      <c r="H435" s="9" t="s">
        <v>71</v>
      </c>
      <c r="I435" s="9" t="s">
        <v>71</v>
      </c>
      <c r="J435" s="11">
        <v>182</v>
      </c>
      <c r="K435" s="11" t="s">
        <v>425</v>
      </c>
      <c r="L435" s="11" t="s">
        <v>40</v>
      </c>
      <c r="M435" s="13">
        <v>2</v>
      </c>
      <c r="N435" s="16">
        <v>16500.0</v>
      </c>
      <c r="O435" s="16"/>
      <c r="P435" s="18">
        <f>IF(N435&gt;0, O435/N435, 0)</f>
        <v>0</v>
      </c>
      <c r="Q435" s="16">
        <f>N435-O435</f>
        <v>16500</v>
      </c>
      <c r="R435" s="16">
        <f>M435*N435</f>
        <v>33000</v>
      </c>
      <c r="S435" s="16">
        <f>M435*O435</f>
        <v>0</v>
      </c>
      <c r="T435" s="16">
        <f>M435*Q435</f>
        <v>33000</v>
      </c>
      <c r="U435" s="16"/>
      <c r="V435" s="16">
        <f>M435*U435</f>
        <v>0</v>
      </c>
      <c r="W435" s="16">
        <f>T435-V435</f>
        <v>33000</v>
      </c>
      <c r="X435" s="18">
        <f>IF(T435&gt;0, W435/T435, 0)</f>
        <v>1</v>
      </c>
      <c r="Y435" s="9" t="s">
        <v>41</v>
      </c>
      <c r="Z435" s="11" t="s">
        <v>42</v>
      </c>
      <c r="AA435" s="11" t="s">
        <v>43</v>
      </c>
      <c r="AB435" s="11" t="s">
        <v>44</v>
      </c>
      <c r="AC435" s="9" t="s">
        <v>44</v>
      </c>
    </row>
    <row r="436" spans="1:29">
      <c r="A436" s="10">
        <v>429</v>
      </c>
      <c r="B436" s="10" t="s">
        <v>694</v>
      </c>
      <c r="C436" s="10" t="s">
        <v>681</v>
      </c>
      <c r="D436" s="10" t="s">
        <v>655</v>
      </c>
      <c r="E436" s="10" t="s">
        <v>34</v>
      </c>
      <c r="F436" s="10" t="s">
        <v>35</v>
      </c>
      <c r="G436" s="8" t="s">
        <v>36</v>
      </c>
      <c r="H436" s="8" t="s">
        <v>58</v>
      </c>
      <c r="I436" s="8" t="s">
        <v>58</v>
      </c>
      <c r="J436" s="10">
        <v>170</v>
      </c>
      <c r="K436" s="10" t="s">
        <v>215</v>
      </c>
      <c r="L436" s="10" t="s">
        <v>40</v>
      </c>
      <c r="M436" s="12">
        <v>2</v>
      </c>
      <c r="N436" s="15">
        <v>7500.0</v>
      </c>
      <c r="O436" s="15"/>
      <c r="P436" s="17">
        <f>IF(N436&gt;0, O436/N436, 0)</f>
        <v>0</v>
      </c>
      <c r="Q436" s="15">
        <f>N436-O436</f>
        <v>7500</v>
      </c>
      <c r="R436" s="15">
        <f>M436*N436</f>
        <v>15000</v>
      </c>
      <c r="S436" s="15">
        <f>M436*O436</f>
        <v>0</v>
      </c>
      <c r="T436" s="15">
        <f>M436*Q436</f>
        <v>15000</v>
      </c>
      <c r="U436" s="15"/>
      <c r="V436" s="15">
        <f>M436*U436</f>
        <v>0</v>
      </c>
      <c r="W436" s="15">
        <f>T436-V436</f>
        <v>15000</v>
      </c>
      <c r="X436" s="17">
        <f>IF(T436&gt;0, W436/T436, 0)</f>
        <v>1</v>
      </c>
      <c r="Y436" s="8" t="s">
        <v>41</v>
      </c>
      <c r="Z436" s="10" t="s">
        <v>42</v>
      </c>
      <c r="AA436" s="10" t="s">
        <v>43</v>
      </c>
      <c r="AB436" s="10" t="s">
        <v>44</v>
      </c>
      <c r="AC436" s="8" t="s">
        <v>44</v>
      </c>
    </row>
    <row r="437" spans="1:29">
      <c r="A437" s="11">
        <v>430</v>
      </c>
      <c r="B437" s="11" t="s">
        <v>695</v>
      </c>
      <c r="C437" s="11" t="s">
        <v>681</v>
      </c>
      <c r="D437" s="11" t="s">
        <v>655</v>
      </c>
      <c r="E437" s="11" t="s">
        <v>34</v>
      </c>
      <c r="F437" s="11" t="s">
        <v>35</v>
      </c>
      <c r="G437" s="9" t="s">
        <v>36</v>
      </c>
      <c r="H437" s="9" t="s">
        <v>65</v>
      </c>
      <c r="I437" s="9" t="s">
        <v>151</v>
      </c>
      <c r="J437" s="11">
        <v>176</v>
      </c>
      <c r="K437" s="11" t="s">
        <v>152</v>
      </c>
      <c r="L437" s="11" t="s">
        <v>40</v>
      </c>
      <c r="M437" s="13">
        <v>2</v>
      </c>
      <c r="N437" s="16">
        <v>9500.0</v>
      </c>
      <c r="O437" s="16"/>
      <c r="P437" s="18">
        <f>IF(N437&gt;0, O437/N437, 0)</f>
        <v>0</v>
      </c>
      <c r="Q437" s="16">
        <f>N437-O437</f>
        <v>9500</v>
      </c>
      <c r="R437" s="16">
        <f>M437*N437</f>
        <v>19000</v>
      </c>
      <c r="S437" s="16">
        <f>M437*O437</f>
        <v>0</v>
      </c>
      <c r="T437" s="16">
        <f>M437*Q437</f>
        <v>19000</v>
      </c>
      <c r="U437" s="16"/>
      <c r="V437" s="16">
        <f>M437*U437</f>
        <v>0</v>
      </c>
      <c r="W437" s="16">
        <f>T437-V437</f>
        <v>19000</v>
      </c>
      <c r="X437" s="18">
        <f>IF(T437&gt;0, W437/T437, 0)</f>
        <v>1</v>
      </c>
      <c r="Y437" s="9" t="s">
        <v>41</v>
      </c>
      <c r="Z437" s="11" t="s">
        <v>42</v>
      </c>
      <c r="AA437" s="11" t="s">
        <v>43</v>
      </c>
      <c r="AB437" s="11" t="s">
        <v>44</v>
      </c>
      <c r="AC437" s="9" t="s">
        <v>44</v>
      </c>
    </row>
    <row r="438" spans="1:29">
      <c r="A438" s="10">
        <v>431</v>
      </c>
      <c r="B438" s="10" t="s">
        <v>696</v>
      </c>
      <c r="C438" s="10" t="s">
        <v>681</v>
      </c>
      <c r="D438" s="10" t="s">
        <v>655</v>
      </c>
      <c r="E438" s="10" t="s">
        <v>34</v>
      </c>
      <c r="F438" s="10" t="s">
        <v>35</v>
      </c>
      <c r="G438" s="8" t="s">
        <v>36</v>
      </c>
      <c r="H438" s="8" t="s">
        <v>37</v>
      </c>
      <c r="I438" s="8" t="s">
        <v>75</v>
      </c>
      <c r="J438" s="10">
        <v>176</v>
      </c>
      <c r="K438" s="10" t="s">
        <v>423</v>
      </c>
      <c r="L438" s="10" t="s">
        <v>40</v>
      </c>
      <c r="M438" s="12">
        <v>2</v>
      </c>
      <c r="N438" s="15">
        <v>9000.0</v>
      </c>
      <c r="O438" s="15"/>
      <c r="P438" s="17">
        <f>IF(N438&gt;0, O438/N438, 0)</f>
        <v>0</v>
      </c>
      <c r="Q438" s="15">
        <f>N438-O438</f>
        <v>9000</v>
      </c>
      <c r="R438" s="15">
        <f>M438*N438</f>
        <v>18000</v>
      </c>
      <c r="S438" s="15">
        <f>M438*O438</f>
        <v>0</v>
      </c>
      <c r="T438" s="15">
        <f>M438*Q438</f>
        <v>18000</v>
      </c>
      <c r="U438" s="15"/>
      <c r="V438" s="15">
        <f>M438*U438</f>
        <v>0</v>
      </c>
      <c r="W438" s="15">
        <f>T438-V438</f>
        <v>18000</v>
      </c>
      <c r="X438" s="17">
        <f>IF(T438&gt;0, W438/T438, 0)</f>
        <v>1</v>
      </c>
      <c r="Y438" s="8" t="s">
        <v>41</v>
      </c>
      <c r="Z438" s="10" t="s">
        <v>42</v>
      </c>
      <c r="AA438" s="10" t="s">
        <v>43</v>
      </c>
      <c r="AB438" s="10" t="s">
        <v>44</v>
      </c>
      <c r="AC438" s="8" t="s">
        <v>44</v>
      </c>
    </row>
    <row r="439" spans="1:29">
      <c r="A439" s="11">
        <v>432</v>
      </c>
      <c r="B439" s="11" t="s">
        <v>697</v>
      </c>
      <c r="C439" s="11" t="s">
        <v>681</v>
      </c>
      <c r="D439" s="11" t="s">
        <v>655</v>
      </c>
      <c r="E439" s="11" t="s">
        <v>34</v>
      </c>
      <c r="F439" s="11" t="s">
        <v>35</v>
      </c>
      <c r="G439" s="9" t="s">
        <v>52</v>
      </c>
      <c r="H439" s="9" t="s">
        <v>37</v>
      </c>
      <c r="I439" s="9" t="s">
        <v>38</v>
      </c>
      <c r="J439" s="11">
        <v>176</v>
      </c>
      <c r="K439" s="11" t="s">
        <v>698</v>
      </c>
      <c r="L439" s="11" t="s">
        <v>55</v>
      </c>
      <c r="M439" s="13">
        <v>2</v>
      </c>
      <c r="N439" s="16">
        <v>8000.0</v>
      </c>
      <c r="O439" s="16"/>
      <c r="P439" s="18">
        <f>IF(N439&gt;0, O439/N439, 0)</f>
        <v>0</v>
      </c>
      <c r="Q439" s="16">
        <f>N439-O439</f>
        <v>8000</v>
      </c>
      <c r="R439" s="16">
        <f>M439*N439</f>
        <v>16000</v>
      </c>
      <c r="S439" s="16">
        <f>M439*O439</f>
        <v>0</v>
      </c>
      <c r="T439" s="16">
        <f>M439*Q439</f>
        <v>16000</v>
      </c>
      <c r="U439" s="16"/>
      <c r="V439" s="16">
        <f>M439*U439</f>
        <v>0</v>
      </c>
      <c r="W439" s="16">
        <f>T439-V439</f>
        <v>16000</v>
      </c>
      <c r="X439" s="18">
        <f>IF(T439&gt;0, W439/T439, 0)</f>
        <v>1</v>
      </c>
      <c r="Y439" s="9" t="s">
        <v>41</v>
      </c>
      <c r="Z439" s="11" t="s">
        <v>42</v>
      </c>
      <c r="AA439" s="11" t="s">
        <v>43</v>
      </c>
      <c r="AB439" s="11" t="s">
        <v>44</v>
      </c>
      <c r="AC439" s="9" t="s">
        <v>44</v>
      </c>
    </row>
    <row r="440" spans="1:29">
      <c r="A440" s="10">
        <v>433</v>
      </c>
      <c r="B440" s="10" t="s">
        <v>699</v>
      </c>
      <c r="C440" s="10" t="s">
        <v>681</v>
      </c>
      <c r="D440" s="10" t="s">
        <v>655</v>
      </c>
      <c r="E440" s="10" t="s">
        <v>34</v>
      </c>
      <c r="F440" s="10" t="s">
        <v>35</v>
      </c>
      <c r="G440" s="8" t="s">
        <v>52</v>
      </c>
      <c r="H440" s="8" t="s">
        <v>53</v>
      </c>
      <c r="I440" s="8" t="s">
        <v>53</v>
      </c>
      <c r="J440" s="10">
        <v>164</v>
      </c>
      <c r="K440" s="10" t="s">
        <v>407</v>
      </c>
      <c r="L440" s="10" t="s">
        <v>55</v>
      </c>
      <c r="M440" s="12">
        <v>2</v>
      </c>
      <c r="N440" s="15">
        <v>8500.0</v>
      </c>
      <c r="O440" s="15"/>
      <c r="P440" s="17">
        <f>IF(N440&gt;0, O440/N440, 0)</f>
        <v>0</v>
      </c>
      <c r="Q440" s="15">
        <f>N440-O440</f>
        <v>8500</v>
      </c>
      <c r="R440" s="15">
        <f>M440*N440</f>
        <v>17000</v>
      </c>
      <c r="S440" s="15">
        <f>M440*O440</f>
        <v>0</v>
      </c>
      <c r="T440" s="15">
        <f>M440*Q440</f>
        <v>17000</v>
      </c>
      <c r="U440" s="15"/>
      <c r="V440" s="15">
        <f>M440*U440</f>
        <v>0</v>
      </c>
      <c r="W440" s="15">
        <f>T440-V440</f>
        <v>17000</v>
      </c>
      <c r="X440" s="17">
        <f>IF(T440&gt;0, W440/T440, 0)</f>
        <v>1</v>
      </c>
      <c r="Y440" s="8" t="s">
        <v>41</v>
      </c>
      <c r="Z440" s="10" t="s">
        <v>42</v>
      </c>
      <c r="AA440" s="10" t="s">
        <v>43</v>
      </c>
      <c r="AB440" s="10" t="s">
        <v>44</v>
      </c>
      <c r="AC440" s="8" t="s">
        <v>44</v>
      </c>
    </row>
    <row r="441" spans="1:29">
      <c r="A441" s="11">
        <v>434</v>
      </c>
      <c r="B441" s="11" t="s">
        <v>700</v>
      </c>
      <c r="C441" s="11" t="s">
        <v>701</v>
      </c>
      <c r="D441" s="11" t="s">
        <v>655</v>
      </c>
      <c r="E441" s="11" t="s">
        <v>34</v>
      </c>
      <c r="F441" s="11" t="s">
        <v>35</v>
      </c>
      <c r="G441" s="9" t="s">
        <v>52</v>
      </c>
      <c r="H441" s="9" t="s">
        <v>58</v>
      </c>
      <c r="I441" s="9" t="s">
        <v>58</v>
      </c>
      <c r="J441" s="11">
        <v>170</v>
      </c>
      <c r="K441" s="11" t="s">
        <v>702</v>
      </c>
      <c r="L441" s="11" t="s">
        <v>40</v>
      </c>
      <c r="M441" s="13">
        <v>1</v>
      </c>
      <c r="N441" s="16">
        <v>7500.0</v>
      </c>
      <c r="O441" s="16"/>
      <c r="P441" s="18">
        <f>IF(N441&gt;0, O441/N441, 0)</f>
        <v>0</v>
      </c>
      <c r="Q441" s="16">
        <f>N441-O441</f>
        <v>7500</v>
      </c>
      <c r="R441" s="16">
        <f>M441*N441</f>
        <v>7500</v>
      </c>
      <c r="S441" s="16">
        <f>M441*O441</f>
        <v>0</v>
      </c>
      <c r="T441" s="16">
        <f>M441*Q441</f>
        <v>7500</v>
      </c>
      <c r="U441" s="16"/>
      <c r="V441" s="16">
        <f>M441*U441</f>
        <v>0</v>
      </c>
      <c r="W441" s="16">
        <f>T441-V441</f>
        <v>7500</v>
      </c>
      <c r="X441" s="18">
        <f>IF(T441&gt;0, W441/T441, 0)</f>
        <v>1</v>
      </c>
      <c r="Y441" s="9" t="s">
        <v>41</v>
      </c>
      <c r="Z441" s="11" t="s">
        <v>42</v>
      </c>
      <c r="AA441" s="11" t="s">
        <v>43</v>
      </c>
      <c r="AB441" s="11" t="s">
        <v>44</v>
      </c>
      <c r="AC441" s="9" t="s">
        <v>44</v>
      </c>
    </row>
    <row r="442" spans="1:29">
      <c r="A442" s="10">
        <v>435</v>
      </c>
      <c r="B442" s="10" t="s">
        <v>703</v>
      </c>
      <c r="C442" s="10" t="s">
        <v>701</v>
      </c>
      <c r="D442" s="10" t="s">
        <v>655</v>
      </c>
      <c r="E442" s="10" t="s">
        <v>34</v>
      </c>
      <c r="F442" s="10" t="s">
        <v>35</v>
      </c>
      <c r="G442" s="8" t="s">
        <v>52</v>
      </c>
      <c r="H442" s="8" t="s">
        <v>37</v>
      </c>
      <c r="I442" s="8" t="s">
        <v>38</v>
      </c>
      <c r="J442" s="10">
        <v>182</v>
      </c>
      <c r="K442" s="10" t="s">
        <v>704</v>
      </c>
      <c r="L442" s="10" t="s">
        <v>55</v>
      </c>
      <c r="M442" s="12">
        <v>2</v>
      </c>
      <c r="N442" s="15">
        <v>8000.0</v>
      </c>
      <c r="O442" s="15"/>
      <c r="P442" s="17">
        <f>IF(N442&gt;0, O442/N442, 0)</f>
        <v>0</v>
      </c>
      <c r="Q442" s="15">
        <f>N442-O442</f>
        <v>8000</v>
      </c>
      <c r="R442" s="15">
        <f>M442*N442</f>
        <v>16000</v>
      </c>
      <c r="S442" s="15">
        <f>M442*O442</f>
        <v>0</v>
      </c>
      <c r="T442" s="15">
        <f>M442*Q442</f>
        <v>16000</v>
      </c>
      <c r="U442" s="15"/>
      <c r="V442" s="15">
        <f>M442*U442</f>
        <v>0</v>
      </c>
      <c r="W442" s="15">
        <f>T442-V442</f>
        <v>16000</v>
      </c>
      <c r="X442" s="17">
        <f>IF(T442&gt;0, W442/T442, 0)</f>
        <v>1</v>
      </c>
      <c r="Y442" s="8" t="s">
        <v>41</v>
      </c>
      <c r="Z442" s="10" t="s">
        <v>42</v>
      </c>
      <c r="AA442" s="10" t="s">
        <v>43</v>
      </c>
      <c r="AB442" s="10" t="s">
        <v>44</v>
      </c>
      <c r="AC442" s="8" t="s">
        <v>44</v>
      </c>
    </row>
    <row r="443" spans="1:29">
      <c r="A443" s="11">
        <v>436</v>
      </c>
      <c r="B443" s="11" t="s">
        <v>705</v>
      </c>
      <c r="C443" s="11" t="s">
        <v>701</v>
      </c>
      <c r="D443" s="11" t="s">
        <v>655</v>
      </c>
      <c r="E443" s="11" t="s">
        <v>34</v>
      </c>
      <c r="F443" s="11" t="s">
        <v>35</v>
      </c>
      <c r="G443" s="9" t="s">
        <v>52</v>
      </c>
      <c r="H443" s="9" t="s">
        <v>58</v>
      </c>
      <c r="I443" s="9" t="s">
        <v>58</v>
      </c>
      <c r="J443" s="11">
        <v>134</v>
      </c>
      <c r="K443" s="11" t="s">
        <v>284</v>
      </c>
      <c r="L443" s="11" t="s">
        <v>40</v>
      </c>
      <c r="M443" s="13">
        <v>1</v>
      </c>
      <c r="N443" s="16">
        <v>8000.0</v>
      </c>
      <c r="O443" s="16"/>
      <c r="P443" s="18">
        <f>IF(N443&gt;0, O443/N443, 0)</f>
        <v>0</v>
      </c>
      <c r="Q443" s="16">
        <f>N443-O443</f>
        <v>8000</v>
      </c>
      <c r="R443" s="16">
        <f>M443*N443</f>
        <v>8000</v>
      </c>
      <c r="S443" s="16">
        <f>M443*O443</f>
        <v>0</v>
      </c>
      <c r="T443" s="16">
        <f>M443*Q443</f>
        <v>8000</v>
      </c>
      <c r="U443" s="16"/>
      <c r="V443" s="16">
        <f>M443*U443</f>
        <v>0</v>
      </c>
      <c r="W443" s="16">
        <f>T443-V443</f>
        <v>8000</v>
      </c>
      <c r="X443" s="18">
        <f>IF(T443&gt;0, W443/T443, 0)</f>
        <v>1</v>
      </c>
      <c r="Y443" s="9" t="s">
        <v>41</v>
      </c>
      <c r="Z443" s="11" t="s">
        <v>42</v>
      </c>
      <c r="AA443" s="11" t="s">
        <v>43</v>
      </c>
      <c r="AB443" s="11" t="s">
        <v>44</v>
      </c>
      <c r="AC443" s="9" t="s">
        <v>44</v>
      </c>
    </row>
    <row r="444" spans="1:29">
      <c r="A444" s="10">
        <v>437</v>
      </c>
      <c r="B444" s="10" t="s">
        <v>706</v>
      </c>
      <c r="C444" s="10" t="s">
        <v>701</v>
      </c>
      <c r="D444" s="10" t="s">
        <v>655</v>
      </c>
      <c r="E444" s="10" t="s">
        <v>70</v>
      </c>
      <c r="F444" s="10" t="s">
        <v>35</v>
      </c>
      <c r="G444" s="8" t="s">
        <v>52</v>
      </c>
      <c r="H444" s="8" t="s">
        <v>65</v>
      </c>
      <c r="I444" s="8" t="s">
        <v>151</v>
      </c>
      <c r="J444" s="10">
        <v>134</v>
      </c>
      <c r="K444" s="10" t="s">
        <v>249</v>
      </c>
      <c r="L444" s="10" t="s">
        <v>40</v>
      </c>
      <c r="M444" s="12">
        <v>1</v>
      </c>
      <c r="N444" s="15">
        <v>10000.0</v>
      </c>
      <c r="O444" s="15"/>
      <c r="P444" s="17">
        <f>IF(N444&gt;0, O444/N444, 0)</f>
        <v>0</v>
      </c>
      <c r="Q444" s="15">
        <f>N444-O444</f>
        <v>10000</v>
      </c>
      <c r="R444" s="15">
        <f>M444*N444</f>
        <v>10000</v>
      </c>
      <c r="S444" s="15">
        <f>M444*O444</f>
        <v>0</v>
      </c>
      <c r="T444" s="15">
        <f>M444*Q444</f>
        <v>10000</v>
      </c>
      <c r="U444" s="15"/>
      <c r="V444" s="15">
        <f>M444*U444</f>
        <v>0</v>
      </c>
      <c r="W444" s="15">
        <f>T444-V444</f>
        <v>10000</v>
      </c>
      <c r="X444" s="17">
        <f>IF(T444&gt;0, W444/T444, 0)</f>
        <v>1</v>
      </c>
      <c r="Y444" s="8" t="s">
        <v>41</v>
      </c>
      <c r="Z444" s="10" t="s">
        <v>42</v>
      </c>
      <c r="AA444" s="10" t="s">
        <v>73</v>
      </c>
      <c r="AB444" s="10" t="s">
        <v>44</v>
      </c>
      <c r="AC444" s="8" t="s">
        <v>44</v>
      </c>
    </row>
    <row r="445" spans="1:29">
      <c r="A445" s="11">
        <v>438</v>
      </c>
      <c r="B445" s="11" t="s">
        <v>707</v>
      </c>
      <c r="C445" s="11" t="s">
        <v>701</v>
      </c>
      <c r="D445" s="11" t="s">
        <v>655</v>
      </c>
      <c r="E445" s="11" t="s">
        <v>34</v>
      </c>
      <c r="F445" s="11" t="s">
        <v>35</v>
      </c>
      <c r="G445" s="9" t="s">
        <v>52</v>
      </c>
      <c r="H445" s="9" t="s">
        <v>71</v>
      </c>
      <c r="I445" s="9" t="s">
        <v>71</v>
      </c>
      <c r="J445" s="11">
        <v>140</v>
      </c>
      <c r="K445" s="11" t="s">
        <v>228</v>
      </c>
      <c r="L445" s="11" t="s">
        <v>40</v>
      </c>
      <c r="M445" s="13">
        <v>1</v>
      </c>
      <c r="N445" s="16">
        <v>16000.0</v>
      </c>
      <c r="O445" s="16"/>
      <c r="P445" s="18">
        <f>IF(N445&gt;0, O445/N445, 0)</f>
        <v>0</v>
      </c>
      <c r="Q445" s="16">
        <f>N445-O445</f>
        <v>16000</v>
      </c>
      <c r="R445" s="16">
        <f>M445*N445</f>
        <v>16000</v>
      </c>
      <c r="S445" s="16">
        <f>M445*O445</f>
        <v>0</v>
      </c>
      <c r="T445" s="16">
        <f>M445*Q445</f>
        <v>16000</v>
      </c>
      <c r="U445" s="16"/>
      <c r="V445" s="16">
        <f>M445*U445</f>
        <v>0</v>
      </c>
      <c r="W445" s="16">
        <f>T445-V445</f>
        <v>16000</v>
      </c>
      <c r="X445" s="18">
        <f>IF(T445&gt;0, W445/T445, 0)</f>
        <v>1</v>
      </c>
      <c r="Y445" s="9" t="s">
        <v>41</v>
      </c>
      <c r="Z445" s="11" t="s">
        <v>42</v>
      </c>
      <c r="AA445" s="11" t="s">
        <v>43</v>
      </c>
      <c r="AB445" s="11" t="s">
        <v>44</v>
      </c>
      <c r="AC445" s="9" t="s">
        <v>44</v>
      </c>
    </row>
    <row r="446" spans="1:29">
      <c r="A446" s="10">
        <v>439</v>
      </c>
      <c r="B446" s="10" t="s">
        <v>708</v>
      </c>
      <c r="C446" s="10" t="s">
        <v>701</v>
      </c>
      <c r="D446" s="10" t="s">
        <v>655</v>
      </c>
      <c r="E446" s="10" t="s">
        <v>34</v>
      </c>
      <c r="F446" s="10" t="s">
        <v>35</v>
      </c>
      <c r="G446" s="8" t="s">
        <v>52</v>
      </c>
      <c r="H446" s="8" t="s">
        <v>65</v>
      </c>
      <c r="I446" s="8" t="s">
        <v>151</v>
      </c>
      <c r="J446" s="10">
        <v>134</v>
      </c>
      <c r="K446" s="10" t="s">
        <v>249</v>
      </c>
      <c r="L446" s="10" t="s">
        <v>40</v>
      </c>
      <c r="M446" s="12">
        <v>1</v>
      </c>
      <c r="N446" s="15">
        <v>10000.0</v>
      </c>
      <c r="O446" s="15"/>
      <c r="P446" s="17">
        <f>IF(N446&gt;0, O446/N446, 0)</f>
        <v>0</v>
      </c>
      <c r="Q446" s="15">
        <f>N446-O446</f>
        <v>10000</v>
      </c>
      <c r="R446" s="15">
        <f>M446*N446</f>
        <v>10000</v>
      </c>
      <c r="S446" s="15">
        <f>M446*O446</f>
        <v>0</v>
      </c>
      <c r="T446" s="15">
        <f>M446*Q446</f>
        <v>10000</v>
      </c>
      <c r="U446" s="15"/>
      <c r="V446" s="15">
        <f>M446*U446</f>
        <v>0</v>
      </c>
      <c r="W446" s="15">
        <f>T446-V446</f>
        <v>10000</v>
      </c>
      <c r="X446" s="17">
        <f>IF(T446&gt;0, W446/T446, 0)</f>
        <v>1</v>
      </c>
      <c r="Y446" s="8" t="s">
        <v>41</v>
      </c>
      <c r="Z446" s="10" t="s">
        <v>42</v>
      </c>
      <c r="AA446" s="10" t="s">
        <v>43</v>
      </c>
      <c r="AB446" s="10" t="s">
        <v>44</v>
      </c>
      <c r="AC446" s="8" t="s">
        <v>44</v>
      </c>
    </row>
    <row r="447" spans="1:29">
      <c r="A447" s="11">
        <v>440</v>
      </c>
      <c r="B447" s="11" t="s">
        <v>709</v>
      </c>
      <c r="C447" s="11" t="s">
        <v>701</v>
      </c>
      <c r="D447" s="11" t="s">
        <v>655</v>
      </c>
      <c r="E447" s="11" t="s">
        <v>34</v>
      </c>
      <c r="F447" s="11" t="s">
        <v>35</v>
      </c>
      <c r="G447" s="9" t="s">
        <v>36</v>
      </c>
      <c r="H447" s="9" t="s">
        <v>47</v>
      </c>
      <c r="I447" s="9" t="s">
        <v>48</v>
      </c>
      <c r="J447" s="11">
        <v>146</v>
      </c>
      <c r="K447" s="11" t="s">
        <v>710</v>
      </c>
      <c r="L447" s="11" t="s">
        <v>40</v>
      </c>
      <c r="M447" s="13">
        <v>1</v>
      </c>
      <c r="N447" s="16">
        <v>18000.0</v>
      </c>
      <c r="O447" s="16"/>
      <c r="P447" s="18">
        <f>IF(N447&gt;0, O447/N447, 0)</f>
        <v>0</v>
      </c>
      <c r="Q447" s="16">
        <f>N447-O447</f>
        <v>18000</v>
      </c>
      <c r="R447" s="16">
        <f>M447*N447</f>
        <v>18000</v>
      </c>
      <c r="S447" s="16">
        <f>M447*O447</f>
        <v>0</v>
      </c>
      <c r="T447" s="16">
        <f>M447*Q447</f>
        <v>18000</v>
      </c>
      <c r="U447" s="16"/>
      <c r="V447" s="16">
        <f>M447*U447</f>
        <v>0</v>
      </c>
      <c r="W447" s="16">
        <f>T447-V447</f>
        <v>18000</v>
      </c>
      <c r="X447" s="18">
        <f>IF(T447&gt;0, W447/T447, 0)</f>
        <v>1</v>
      </c>
      <c r="Y447" s="9" t="s">
        <v>41</v>
      </c>
      <c r="Z447" s="11" t="s">
        <v>42</v>
      </c>
      <c r="AA447" s="11" t="s">
        <v>43</v>
      </c>
      <c r="AB447" s="11" t="s">
        <v>44</v>
      </c>
      <c r="AC447" s="9" t="s">
        <v>44</v>
      </c>
    </row>
    <row r="448" spans="1:29">
      <c r="A448" s="10">
        <v>441</v>
      </c>
      <c r="B448" s="10" t="s">
        <v>711</v>
      </c>
      <c r="C448" s="10" t="s">
        <v>701</v>
      </c>
      <c r="D448" s="10" t="s">
        <v>655</v>
      </c>
      <c r="E448" s="10" t="s">
        <v>34</v>
      </c>
      <c r="F448" s="10" t="s">
        <v>35</v>
      </c>
      <c r="G448" s="8" t="s">
        <v>36</v>
      </c>
      <c r="H448" s="8" t="s">
        <v>53</v>
      </c>
      <c r="I448" s="8" t="s">
        <v>53</v>
      </c>
      <c r="J448" s="10">
        <v>140</v>
      </c>
      <c r="K448" s="10" t="s">
        <v>683</v>
      </c>
      <c r="L448" s="10" t="s">
        <v>40</v>
      </c>
      <c r="M448" s="12">
        <v>1</v>
      </c>
      <c r="N448" s="15">
        <v>8000.0</v>
      </c>
      <c r="O448" s="15"/>
      <c r="P448" s="17">
        <f>IF(N448&gt;0, O448/N448, 0)</f>
        <v>0</v>
      </c>
      <c r="Q448" s="15">
        <f>N448-O448</f>
        <v>8000</v>
      </c>
      <c r="R448" s="15">
        <f>M448*N448</f>
        <v>8000</v>
      </c>
      <c r="S448" s="15">
        <f>M448*O448</f>
        <v>0</v>
      </c>
      <c r="T448" s="15">
        <f>M448*Q448</f>
        <v>8000</v>
      </c>
      <c r="U448" s="15"/>
      <c r="V448" s="15">
        <f>M448*U448</f>
        <v>0</v>
      </c>
      <c r="W448" s="15">
        <f>T448-V448</f>
        <v>8000</v>
      </c>
      <c r="X448" s="17">
        <f>IF(T448&gt;0, W448/T448, 0)</f>
        <v>1</v>
      </c>
      <c r="Y448" s="8" t="s">
        <v>41</v>
      </c>
      <c r="Z448" s="10" t="s">
        <v>42</v>
      </c>
      <c r="AA448" s="10" t="s">
        <v>43</v>
      </c>
      <c r="AB448" s="10" t="s">
        <v>44</v>
      </c>
      <c r="AC448" s="8" t="s">
        <v>44</v>
      </c>
    </row>
    <row r="449" spans="1:29">
      <c r="A449" s="11">
        <v>442</v>
      </c>
      <c r="B449" s="11" t="s">
        <v>712</v>
      </c>
      <c r="C449" s="11" t="s">
        <v>701</v>
      </c>
      <c r="D449" s="11" t="s">
        <v>655</v>
      </c>
      <c r="E449" s="11" t="s">
        <v>34</v>
      </c>
      <c r="F449" s="11" t="s">
        <v>35</v>
      </c>
      <c r="G449" s="9" t="s">
        <v>36</v>
      </c>
      <c r="H449" s="9" t="s">
        <v>37</v>
      </c>
      <c r="I449" s="9" t="s">
        <v>75</v>
      </c>
      <c r="J449" s="11">
        <v>140</v>
      </c>
      <c r="K449" s="11" t="s">
        <v>713</v>
      </c>
      <c r="L449" s="11" t="s">
        <v>40</v>
      </c>
      <c r="M449" s="13">
        <v>2</v>
      </c>
      <c r="N449" s="16">
        <v>8000.0</v>
      </c>
      <c r="O449" s="16"/>
      <c r="P449" s="18">
        <f>IF(N449&gt;0, O449/N449, 0)</f>
        <v>0</v>
      </c>
      <c r="Q449" s="16">
        <f>N449-O449</f>
        <v>8000</v>
      </c>
      <c r="R449" s="16">
        <f>M449*N449</f>
        <v>16000</v>
      </c>
      <c r="S449" s="16">
        <f>M449*O449</f>
        <v>0</v>
      </c>
      <c r="T449" s="16">
        <f>M449*Q449</f>
        <v>16000</v>
      </c>
      <c r="U449" s="16"/>
      <c r="V449" s="16">
        <f>M449*U449</f>
        <v>0</v>
      </c>
      <c r="W449" s="16">
        <f>T449-V449</f>
        <v>16000</v>
      </c>
      <c r="X449" s="18">
        <f>IF(T449&gt;0, W449/T449, 0)</f>
        <v>1</v>
      </c>
      <c r="Y449" s="9" t="s">
        <v>41</v>
      </c>
      <c r="Z449" s="11" t="s">
        <v>42</v>
      </c>
      <c r="AA449" s="11" t="s">
        <v>43</v>
      </c>
      <c r="AB449" s="11" t="s">
        <v>44</v>
      </c>
      <c r="AC449" s="9" t="s">
        <v>44</v>
      </c>
    </row>
    <row r="450" spans="1:29">
      <c r="A450" s="10">
        <v>443</v>
      </c>
      <c r="B450" s="10" t="s">
        <v>714</v>
      </c>
      <c r="C450" s="10" t="s">
        <v>701</v>
      </c>
      <c r="D450" s="10" t="s">
        <v>655</v>
      </c>
      <c r="E450" s="10" t="s">
        <v>34</v>
      </c>
      <c r="F450" s="10" t="s">
        <v>35</v>
      </c>
      <c r="G450" s="8" t="s">
        <v>52</v>
      </c>
      <c r="H450" s="8" t="s">
        <v>37</v>
      </c>
      <c r="I450" s="8" t="s">
        <v>38</v>
      </c>
      <c r="J450" s="10">
        <v>140</v>
      </c>
      <c r="K450" s="10" t="s">
        <v>226</v>
      </c>
      <c r="L450" s="10" t="s">
        <v>55</v>
      </c>
      <c r="M450" s="12">
        <v>1</v>
      </c>
      <c r="N450" s="15">
        <v>14000.0</v>
      </c>
      <c r="O450" s="15"/>
      <c r="P450" s="17">
        <f>IF(N450&gt;0, O450/N450, 0)</f>
        <v>0</v>
      </c>
      <c r="Q450" s="15">
        <f>N450-O450</f>
        <v>14000</v>
      </c>
      <c r="R450" s="15">
        <f>M450*N450</f>
        <v>14000</v>
      </c>
      <c r="S450" s="15">
        <f>M450*O450</f>
        <v>0</v>
      </c>
      <c r="T450" s="15">
        <f>M450*Q450</f>
        <v>14000</v>
      </c>
      <c r="U450" s="15"/>
      <c r="V450" s="15">
        <f>M450*U450</f>
        <v>0</v>
      </c>
      <c r="W450" s="15">
        <f>T450-V450</f>
        <v>14000</v>
      </c>
      <c r="X450" s="17">
        <f>IF(T450&gt;0, W450/T450, 0)</f>
        <v>1</v>
      </c>
      <c r="Y450" s="8" t="s">
        <v>41</v>
      </c>
      <c r="Z450" s="10" t="s">
        <v>42</v>
      </c>
      <c r="AA450" s="10" t="s">
        <v>43</v>
      </c>
      <c r="AB450" s="10" t="s">
        <v>44</v>
      </c>
      <c r="AC450" s="8" t="s">
        <v>44</v>
      </c>
    </row>
    <row r="451" spans="1:29">
      <c r="A451" s="11">
        <v>444</v>
      </c>
      <c r="B451" s="11" t="s">
        <v>715</v>
      </c>
      <c r="C451" s="11" t="s">
        <v>701</v>
      </c>
      <c r="D451" s="11" t="s">
        <v>655</v>
      </c>
      <c r="E451" s="11" t="s">
        <v>34</v>
      </c>
      <c r="F451" s="11" t="s">
        <v>35</v>
      </c>
      <c r="G451" s="9" t="s">
        <v>52</v>
      </c>
      <c r="H451" s="9" t="s">
        <v>53</v>
      </c>
      <c r="I451" s="9" t="s">
        <v>53</v>
      </c>
      <c r="J451" s="11">
        <v>110</v>
      </c>
      <c r="K451" s="11" t="s">
        <v>233</v>
      </c>
      <c r="L451" s="11" t="s">
        <v>55</v>
      </c>
      <c r="M451" s="13">
        <v>1</v>
      </c>
      <c r="N451" s="16">
        <v>8000.0</v>
      </c>
      <c r="O451" s="16"/>
      <c r="P451" s="18">
        <f>IF(N451&gt;0, O451/N451, 0)</f>
        <v>0</v>
      </c>
      <c r="Q451" s="16">
        <f>N451-O451</f>
        <v>8000</v>
      </c>
      <c r="R451" s="16">
        <f>M451*N451</f>
        <v>8000</v>
      </c>
      <c r="S451" s="16">
        <f>M451*O451</f>
        <v>0</v>
      </c>
      <c r="T451" s="16">
        <f>M451*Q451</f>
        <v>8000</v>
      </c>
      <c r="U451" s="16"/>
      <c r="V451" s="16">
        <f>M451*U451</f>
        <v>0</v>
      </c>
      <c r="W451" s="16">
        <f>T451-V451</f>
        <v>8000</v>
      </c>
      <c r="X451" s="18">
        <f>IF(T451&gt;0, W451/T451, 0)</f>
        <v>1</v>
      </c>
      <c r="Y451" s="9" t="s">
        <v>41</v>
      </c>
      <c r="Z451" s="11" t="s">
        <v>42</v>
      </c>
      <c r="AA451" s="11" t="s">
        <v>43</v>
      </c>
      <c r="AB451" s="11" t="s">
        <v>44</v>
      </c>
      <c r="AC451" s="9" t="s">
        <v>44</v>
      </c>
    </row>
    <row r="452" spans="1:29">
      <c r="A452" s="10">
        <v>445</v>
      </c>
      <c r="B452" s="10" t="s">
        <v>716</v>
      </c>
      <c r="C452" s="10" t="s">
        <v>701</v>
      </c>
      <c r="D452" s="10" t="s">
        <v>655</v>
      </c>
      <c r="E452" s="10" t="s">
        <v>34</v>
      </c>
      <c r="F452" s="10" t="s">
        <v>35</v>
      </c>
      <c r="G452" s="8" t="s">
        <v>52</v>
      </c>
      <c r="H452" s="8" t="s">
        <v>37</v>
      </c>
      <c r="I452" s="8" t="s">
        <v>38</v>
      </c>
      <c r="J452" s="10">
        <v>116</v>
      </c>
      <c r="K452" s="10" t="s">
        <v>94</v>
      </c>
      <c r="L452" s="10" t="s">
        <v>55</v>
      </c>
      <c r="M452" s="12">
        <v>1</v>
      </c>
      <c r="N452" s="15">
        <v>7000.0</v>
      </c>
      <c r="O452" s="15"/>
      <c r="P452" s="17">
        <f>IF(N452&gt;0, O452/N452, 0)</f>
        <v>0</v>
      </c>
      <c r="Q452" s="15">
        <f>N452-O452</f>
        <v>7000</v>
      </c>
      <c r="R452" s="15">
        <f>M452*N452</f>
        <v>7000</v>
      </c>
      <c r="S452" s="15">
        <f>M452*O452</f>
        <v>0</v>
      </c>
      <c r="T452" s="15">
        <f>M452*Q452</f>
        <v>7000</v>
      </c>
      <c r="U452" s="15"/>
      <c r="V452" s="15">
        <f>M452*U452</f>
        <v>0</v>
      </c>
      <c r="W452" s="15">
        <f>T452-V452</f>
        <v>7000</v>
      </c>
      <c r="X452" s="17">
        <f>IF(T452&gt;0, W452/T452, 0)</f>
        <v>1</v>
      </c>
      <c r="Y452" s="8" t="s">
        <v>41</v>
      </c>
      <c r="Z452" s="10" t="s">
        <v>42</v>
      </c>
      <c r="AA452" s="10" t="s">
        <v>43</v>
      </c>
      <c r="AB452" s="10" t="s">
        <v>44</v>
      </c>
      <c r="AC452" s="8" t="s">
        <v>44</v>
      </c>
    </row>
    <row r="453" spans="1:29">
      <c r="A453" s="11">
        <v>446</v>
      </c>
      <c r="B453" s="11" t="s">
        <v>717</v>
      </c>
      <c r="C453" s="11" t="s">
        <v>701</v>
      </c>
      <c r="D453" s="11" t="s">
        <v>655</v>
      </c>
      <c r="E453" s="11" t="s">
        <v>34</v>
      </c>
      <c r="F453" s="11" t="s">
        <v>35</v>
      </c>
      <c r="G453" s="9" t="s">
        <v>52</v>
      </c>
      <c r="H453" s="9" t="s">
        <v>37</v>
      </c>
      <c r="I453" s="9" t="s">
        <v>75</v>
      </c>
      <c r="J453" s="11">
        <v>170</v>
      </c>
      <c r="K453" s="11" t="s">
        <v>648</v>
      </c>
      <c r="L453" s="11" t="s">
        <v>55</v>
      </c>
      <c r="M453" s="13">
        <v>2</v>
      </c>
      <c r="N453" s="16">
        <v>9000.0</v>
      </c>
      <c r="O453" s="16"/>
      <c r="P453" s="18">
        <f>IF(N453&gt;0, O453/N453, 0)</f>
        <v>0</v>
      </c>
      <c r="Q453" s="16">
        <f>N453-O453</f>
        <v>9000</v>
      </c>
      <c r="R453" s="16">
        <f>M453*N453</f>
        <v>18000</v>
      </c>
      <c r="S453" s="16">
        <f>M453*O453</f>
        <v>0</v>
      </c>
      <c r="T453" s="16">
        <f>M453*Q453</f>
        <v>18000</v>
      </c>
      <c r="U453" s="16"/>
      <c r="V453" s="16">
        <f>M453*U453</f>
        <v>0</v>
      </c>
      <c r="W453" s="16">
        <f>T453-V453</f>
        <v>18000</v>
      </c>
      <c r="X453" s="18">
        <f>IF(T453&gt;0, W453/T453, 0)</f>
        <v>1</v>
      </c>
      <c r="Y453" s="9" t="s">
        <v>41</v>
      </c>
      <c r="Z453" s="11" t="s">
        <v>42</v>
      </c>
      <c r="AA453" s="11" t="s">
        <v>43</v>
      </c>
      <c r="AB453" s="11" t="s">
        <v>44</v>
      </c>
      <c r="AC453" s="9" t="s">
        <v>44</v>
      </c>
    </row>
    <row r="454" spans="1:29">
      <c r="A454" s="10">
        <v>447</v>
      </c>
      <c r="B454" s="10" t="s">
        <v>718</v>
      </c>
      <c r="C454" s="10" t="s">
        <v>701</v>
      </c>
      <c r="D454" s="10" t="s">
        <v>655</v>
      </c>
      <c r="E454" s="10" t="s">
        <v>34</v>
      </c>
      <c r="F454" s="10" t="s">
        <v>35</v>
      </c>
      <c r="G454" s="8" t="s">
        <v>52</v>
      </c>
      <c r="H454" s="8" t="s">
        <v>37</v>
      </c>
      <c r="I454" s="8" t="s">
        <v>38</v>
      </c>
      <c r="J454" s="10">
        <v>170</v>
      </c>
      <c r="K454" s="10" t="s">
        <v>645</v>
      </c>
      <c r="L454" s="10" t="s">
        <v>55</v>
      </c>
      <c r="M454" s="12">
        <v>2</v>
      </c>
      <c r="N454" s="15">
        <v>8000.0</v>
      </c>
      <c r="O454" s="15"/>
      <c r="P454" s="17">
        <f>IF(N454&gt;0, O454/N454, 0)</f>
        <v>0</v>
      </c>
      <c r="Q454" s="15">
        <f>N454-O454</f>
        <v>8000</v>
      </c>
      <c r="R454" s="15">
        <f>M454*N454</f>
        <v>16000</v>
      </c>
      <c r="S454" s="15">
        <f>M454*O454</f>
        <v>0</v>
      </c>
      <c r="T454" s="15">
        <f>M454*Q454</f>
        <v>16000</v>
      </c>
      <c r="U454" s="15"/>
      <c r="V454" s="15">
        <f>M454*U454</f>
        <v>0</v>
      </c>
      <c r="W454" s="15">
        <f>T454-V454</f>
        <v>16000</v>
      </c>
      <c r="X454" s="17">
        <f>IF(T454&gt;0, W454/T454, 0)</f>
        <v>1</v>
      </c>
      <c r="Y454" s="8" t="s">
        <v>41</v>
      </c>
      <c r="Z454" s="10" t="s">
        <v>42</v>
      </c>
      <c r="AA454" s="10" t="s">
        <v>43</v>
      </c>
      <c r="AB454" s="10" t="s">
        <v>44</v>
      </c>
      <c r="AC454" s="8" t="s">
        <v>44</v>
      </c>
    </row>
    <row r="455" spans="1:29">
      <c r="A455" s="11">
        <v>448</v>
      </c>
      <c r="B455" s="11" t="s">
        <v>719</v>
      </c>
      <c r="C455" s="11" t="s">
        <v>701</v>
      </c>
      <c r="D455" s="11" t="s">
        <v>655</v>
      </c>
      <c r="E455" s="11" t="s">
        <v>34</v>
      </c>
      <c r="F455" s="11" t="s">
        <v>35</v>
      </c>
      <c r="G455" s="9" t="s">
        <v>52</v>
      </c>
      <c r="H455" s="9" t="s">
        <v>65</v>
      </c>
      <c r="I455" s="9" t="s">
        <v>151</v>
      </c>
      <c r="J455" s="11">
        <v>122</v>
      </c>
      <c r="K455" s="11" t="s">
        <v>244</v>
      </c>
      <c r="L455" s="11" t="s">
        <v>40</v>
      </c>
      <c r="M455" s="13">
        <v>1</v>
      </c>
      <c r="N455" s="16">
        <v>9000.0</v>
      </c>
      <c r="O455" s="16"/>
      <c r="P455" s="18">
        <f>IF(N455&gt;0, O455/N455, 0)</f>
        <v>0</v>
      </c>
      <c r="Q455" s="16">
        <f>N455-O455</f>
        <v>9000</v>
      </c>
      <c r="R455" s="16">
        <f>M455*N455</f>
        <v>9000</v>
      </c>
      <c r="S455" s="16">
        <f>M455*O455</f>
        <v>0</v>
      </c>
      <c r="T455" s="16">
        <f>M455*Q455</f>
        <v>9000</v>
      </c>
      <c r="U455" s="16"/>
      <c r="V455" s="16">
        <f>M455*U455</f>
        <v>0</v>
      </c>
      <c r="W455" s="16">
        <f>T455-V455</f>
        <v>9000</v>
      </c>
      <c r="X455" s="18">
        <f>IF(T455&gt;0, W455/T455, 0)</f>
        <v>1</v>
      </c>
      <c r="Y455" s="9" t="s">
        <v>41</v>
      </c>
      <c r="Z455" s="11" t="s">
        <v>42</v>
      </c>
      <c r="AA455" s="11" t="s">
        <v>43</v>
      </c>
      <c r="AB455" s="11" t="s">
        <v>44</v>
      </c>
      <c r="AC455" s="9" t="s">
        <v>44</v>
      </c>
    </row>
    <row r="456" spans="1:29">
      <c r="A456" s="10">
        <v>449</v>
      </c>
      <c r="B456" s="10" t="s">
        <v>720</v>
      </c>
      <c r="C456" s="10" t="s">
        <v>701</v>
      </c>
      <c r="D456" s="10" t="s">
        <v>655</v>
      </c>
      <c r="E456" s="10" t="s">
        <v>34</v>
      </c>
      <c r="F456" s="10" t="s">
        <v>35</v>
      </c>
      <c r="G456" s="8" t="s">
        <v>52</v>
      </c>
      <c r="H456" s="8" t="s">
        <v>53</v>
      </c>
      <c r="I456" s="8" t="s">
        <v>53</v>
      </c>
      <c r="J456" s="10">
        <v>128</v>
      </c>
      <c r="K456" s="10" t="s">
        <v>393</v>
      </c>
      <c r="L456" s="10" t="s">
        <v>55</v>
      </c>
      <c r="M456" s="12">
        <v>1</v>
      </c>
      <c r="N456" s="15">
        <v>8000.0</v>
      </c>
      <c r="O456" s="15"/>
      <c r="P456" s="17">
        <f>IF(N456&gt;0, O456/N456, 0)</f>
        <v>0</v>
      </c>
      <c r="Q456" s="15">
        <f>N456-O456</f>
        <v>8000</v>
      </c>
      <c r="R456" s="15">
        <f>M456*N456</f>
        <v>8000</v>
      </c>
      <c r="S456" s="15">
        <f>M456*O456</f>
        <v>0</v>
      </c>
      <c r="T456" s="15">
        <f>M456*Q456</f>
        <v>8000</v>
      </c>
      <c r="U456" s="15"/>
      <c r="V456" s="15">
        <f>M456*U456</f>
        <v>0</v>
      </c>
      <c r="W456" s="15">
        <f>T456-V456</f>
        <v>8000</v>
      </c>
      <c r="X456" s="17">
        <f>IF(T456&gt;0, W456/T456, 0)</f>
        <v>1</v>
      </c>
      <c r="Y456" s="8" t="s">
        <v>41</v>
      </c>
      <c r="Z456" s="10" t="s">
        <v>42</v>
      </c>
      <c r="AA456" s="10" t="s">
        <v>43</v>
      </c>
      <c r="AB456" s="10" t="s">
        <v>44</v>
      </c>
      <c r="AC456" s="8" t="s">
        <v>44</v>
      </c>
    </row>
    <row r="457" spans="1:29">
      <c r="A457" s="11">
        <v>450</v>
      </c>
      <c r="B457" s="11" t="s">
        <v>721</v>
      </c>
      <c r="C457" s="11" t="s">
        <v>701</v>
      </c>
      <c r="D457" s="11" t="s">
        <v>655</v>
      </c>
      <c r="E457" s="11" t="s">
        <v>70</v>
      </c>
      <c r="F457" s="11" t="s">
        <v>35</v>
      </c>
      <c r="G457" s="9" t="s">
        <v>52</v>
      </c>
      <c r="H457" s="9" t="s">
        <v>37</v>
      </c>
      <c r="I457" s="9" t="s">
        <v>75</v>
      </c>
      <c r="J457" s="11">
        <v>128</v>
      </c>
      <c r="K457" s="11" t="s">
        <v>188</v>
      </c>
      <c r="L457" s="11" t="s">
        <v>55</v>
      </c>
      <c r="M457" s="13">
        <v>1</v>
      </c>
      <c r="N457" s="16">
        <v>10000.0</v>
      </c>
      <c r="O457" s="16"/>
      <c r="P457" s="18">
        <f>IF(N457&gt;0, O457/N457, 0)</f>
        <v>0</v>
      </c>
      <c r="Q457" s="16">
        <f>N457-O457</f>
        <v>10000</v>
      </c>
      <c r="R457" s="16">
        <f>M457*N457</f>
        <v>10000</v>
      </c>
      <c r="S457" s="16">
        <f>M457*O457</f>
        <v>0</v>
      </c>
      <c r="T457" s="16">
        <f>M457*Q457</f>
        <v>10000</v>
      </c>
      <c r="U457" s="16"/>
      <c r="V457" s="16">
        <f>M457*U457</f>
        <v>0</v>
      </c>
      <c r="W457" s="16">
        <f>T457-V457</f>
        <v>10000</v>
      </c>
      <c r="X457" s="18">
        <f>IF(T457&gt;0, W457/T457, 0)</f>
        <v>1</v>
      </c>
      <c r="Y457" s="9" t="s">
        <v>41</v>
      </c>
      <c r="Z457" s="11" t="s">
        <v>42</v>
      </c>
      <c r="AA457" s="11" t="s">
        <v>73</v>
      </c>
      <c r="AB457" s="11" t="s">
        <v>44</v>
      </c>
      <c r="AC457" s="9" t="s">
        <v>44</v>
      </c>
    </row>
    <row r="458" spans="1:29">
      <c r="A458" s="10">
        <v>451</v>
      </c>
      <c r="B458" s="10" t="s">
        <v>722</v>
      </c>
      <c r="C458" s="10" t="s">
        <v>701</v>
      </c>
      <c r="D458" s="10" t="s">
        <v>655</v>
      </c>
      <c r="E458" s="10" t="s">
        <v>34</v>
      </c>
      <c r="F458" s="10" t="s">
        <v>35</v>
      </c>
      <c r="G458" s="8" t="s">
        <v>36</v>
      </c>
      <c r="H458" s="8" t="s">
        <v>37</v>
      </c>
      <c r="I458" s="8" t="s">
        <v>75</v>
      </c>
      <c r="J458" s="10">
        <v>128</v>
      </c>
      <c r="K458" s="10" t="s">
        <v>723</v>
      </c>
      <c r="L458" s="10" t="s">
        <v>40</v>
      </c>
      <c r="M458" s="12">
        <v>3</v>
      </c>
      <c r="N458" s="15">
        <v>8000.0</v>
      </c>
      <c r="O458" s="15"/>
      <c r="P458" s="17">
        <f>IF(N458&gt;0, O458/N458, 0)</f>
        <v>0</v>
      </c>
      <c r="Q458" s="15">
        <f>N458-O458</f>
        <v>8000</v>
      </c>
      <c r="R458" s="15">
        <f>M458*N458</f>
        <v>24000</v>
      </c>
      <c r="S458" s="15">
        <f>M458*O458</f>
        <v>0</v>
      </c>
      <c r="T458" s="15">
        <f>M458*Q458</f>
        <v>24000</v>
      </c>
      <c r="U458" s="15"/>
      <c r="V458" s="15">
        <f>M458*U458</f>
        <v>0</v>
      </c>
      <c r="W458" s="15">
        <f>T458-V458</f>
        <v>24000</v>
      </c>
      <c r="X458" s="17">
        <f>IF(T458&gt;0, W458/T458, 0)</f>
        <v>1</v>
      </c>
      <c r="Y458" s="8" t="s">
        <v>41</v>
      </c>
      <c r="Z458" s="10" t="s">
        <v>42</v>
      </c>
      <c r="AA458" s="10" t="s">
        <v>43</v>
      </c>
      <c r="AB458" s="10" t="s">
        <v>44</v>
      </c>
      <c r="AC458" s="8" t="s">
        <v>44</v>
      </c>
    </row>
    <row r="459" spans="1:29">
      <c r="A459" s="11">
        <v>452</v>
      </c>
      <c r="B459" s="11" t="s">
        <v>724</v>
      </c>
      <c r="C459" s="11" t="s">
        <v>701</v>
      </c>
      <c r="D459" s="11" t="s">
        <v>655</v>
      </c>
      <c r="E459" s="11" t="s">
        <v>34</v>
      </c>
      <c r="F459" s="11" t="s">
        <v>35</v>
      </c>
      <c r="G459" s="9" t="s">
        <v>36</v>
      </c>
      <c r="H459" s="9" t="s">
        <v>37</v>
      </c>
      <c r="I459" s="9" t="s">
        <v>38</v>
      </c>
      <c r="J459" s="11">
        <v>134</v>
      </c>
      <c r="K459" s="11" t="s">
        <v>725</v>
      </c>
      <c r="L459" s="11" t="s">
        <v>40</v>
      </c>
      <c r="M459" s="13">
        <v>4</v>
      </c>
      <c r="N459" s="16">
        <v>7000.0</v>
      </c>
      <c r="O459" s="16"/>
      <c r="P459" s="18">
        <f>IF(N459&gt;0, O459/N459, 0)</f>
        <v>0</v>
      </c>
      <c r="Q459" s="16">
        <f>N459-O459</f>
        <v>7000</v>
      </c>
      <c r="R459" s="16">
        <f>M459*N459</f>
        <v>28000</v>
      </c>
      <c r="S459" s="16">
        <f>M459*O459</f>
        <v>0</v>
      </c>
      <c r="T459" s="16">
        <f>M459*Q459</f>
        <v>28000</v>
      </c>
      <c r="U459" s="16"/>
      <c r="V459" s="16">
        <f>M459*U459</f>
        <v>0</v>
      </c>
      <c r="W459" s="16">
        <f>T459-V459</f>
        <v>28000</v>
      </c>
      <c r="X459" s="18">
        <f>IF(T459&gt;0, W459/T459, 0)</f>
        <v>1</v>
      </c>
      <c r="Y459" s="9" t="s">
        <v>41</v>
      </c>
      <c r="Z459" s="11" t="s">
        <v>42</v>
      </c>
      <c r="AA459" s="11" t="s">
        <v>43</v>
      </c>
      <c r="AB459" s="11" t="s">
        <v>44</v>
      </c>
      <c r="AC459" s="9" t="s">
        <v>44</v>
      </c>
    </row>
    <row r="460" spans="1:29">
      <c r="A460" s="10">
        <v>453</v>
      </c>
      <c r="B460" s="10" t="s">
        <v>726</v>
      </c>
      <c r="C460" s="10" t="s">
        <v>701</v>
      </c>
      <c r="D460" s="10" t="s">
        <v>655</v>
      </c>
      <c r="E460" s="10" t="s">
        <v>34</v>
      </c>
      <c r="F460" s="10" t="s">
        <v>35</v>
      </c>
      <c r="G460" s="8" t="s">
        <v>36</v>
      </c>
      <c r="H460" s="8" t="s">
        <v>53</v>
      </c>
      <c r="I460" s="8" t="s">
        <v>53</v>
      </c>
      <c r="J460" s="10">
        <v>128</v>
      </c>
      <c r="K460" s="10" t="s">
        <v>727</v>
      </c>
      <c r="L460" s="10" t="s">
        <v>40</v>
      </c>
      <c r="M460" s="12">
        <v>1</v>
      </c>
      <c r="N460" s="15">
        <v>8000.0</v>
      </c>
      <c r="O460" s="15"/>
      <c r="P460" s="17">
        <f>IF(N460&gt;0, O460/N460, 0)</f>
        <v>0</v>
      </c>
      <c r="Q460" s="15">
        <f>N460-O460</f>
        <v>8000</v>
      </c>
      <c r="R460" s="15">
        <f>M460*N460</f>
        <v>8000</v>
      </c>
      <c r="S460" s="15">
        <f>M460*O460</f>
        <v>0</v>
      </c>
      <c r="T460" s="15">
        <f>M460*Q460</f>
        <v>8000</v>
      </c>
      <c r="U460" s="15"/>
      <c r="V460" s="15">
        <f>M460*U460</f>
        <v>0</v>
      </c>
      <c r="W460" s="15">
        <f>T460-V460</f>
        <v>8000</v>
      </c>
      <c r="X460" s="17">
        <f>IF(T460&gt;0, W460/T460, 0)</f>
        <v>1</v>
      </c>
      <c r="Y460" s="8" t="s">
        <v>41</v>
      </c>
      <c r="Z460" s="10" t="s">
        <v>42</v>
      </c>
      <c r="AA460" s="10" t="s">
        <v>43</v>
      </c>
      <c r="AB460" s="10" t="s">
        <v>44</v>
      </c>
      <c r="AC460" s="8" t="s">
        <v>44</v>
      </c>
    </row>
    <row r="461" spans="1:29">
      <c r="A461" s="11">
        <v>454</v>
      </c>
      <c r="B461" s="11" t="s">
        <v>728</v>
      </c>
      <c r="C461" s="11" t="s">
        <v>701</v>
      </c>
      <c r="D461" s="11" t="s">
        <v>655</v>
      </c>
      <c r="E461" s="11" t="s">
        <v>34</v>
      </c>
      <c r="F461" s="11" t="s">
        <v>35</v>
      </c>
      <c r="G461" s="9" t="s">
        <v>36</v>
      </c>
      <c r="H461" s="9" t="s">
        <v>37</v>
      </c>
      <c r="I461" s="9" t="s">
        <v>38</v>
      </c>
      <c r="J461" s="11">
        <v>152</v>
      </c>
      <c r="K461" s="11" t="s">
        <v>729</v>
      </c>
      <c r="L461" s="11" t="s">
        <v>40</v>
      </c>
      <c r="M461" s="13">
        <v>1</v>
      </c>
      <c r="N461" s="16">
        <v>7000.0</v>
      </c>
      <c r="O461" s="16"/>
      <c r="P461" s="18">
        <f>IF(N461&gt;0, O461/N461, 0)</f>
        <v>0</v>
      </c>
      <c r="Q461" s="16">
        <f>N461-O461</f>
        <v>7000</v>
      </c>
      <c r="R461" s="16">
        <f>M461*N461</f>
        <v>7000</v>
      </c>
      <c r="S461" s="16">
        <f>M461*O461</f>
        <v>0</v>
      </c>
      <c r="T461" s="16">
        <f>M461*Q461</f>
        <v>7000</v>
      </c>
      <c r="U461" s="16"/>
      <c r="V461" s="16">
        <f>M461*U461</f>
        <v>0</v>
      </c>
      <c r="W461" s="16">
        <f>T461-V461</f>
        <v>7000</v>
      </c>
      <c r="X461" s="18">
        <f>IF(T461&gt;0, W461/T461, 0)</f>
        <v>1</v>
      </c>
      <c r="Y461" s="9" t="s">
        <v>41</v>
      </c>
      <c r="Z461" s="11" t="s">
        <v>42</v>
      </c>
      <c r="AA461" s="11" t="s">
        <v>43</v>
      </c>
      <c r="AB461" s="11" t="s">
        <v>44</v>
      </c>
      <c r="AC461" s="9" t="s">
        <v>44</v>
      </c>
    </row>
    <row r="462" spans="1:29">
      <c r="A462" s="10">
        <v>455</v>
      </c>
      <c r="B462" s="10" t="s">
        <v>730</v>
      </c>
      <c r="C462" s="10" t="s">
        <v>701</v>
      </c>
      <c r="D462" s="10" t="s">
        <v>655</v>
      </c>
      <c r="E462" s="10" t="s">
        <v>34</v>
      </c>
      <c r="F462" s="10" t="s">
        <v>35</v>
      </c>
      <c r="G462" s="8" t="s">
        <v>36</v>
      </c>
      <c r="H462" s="8" t="s">
        <v>37</v>
      </c>
      <c r="I462" s="8" t="s">
        <v>38</v>
      </c>
      <c r="J462" s="10">
        <v>134</v>
      </c>
      <c r="K462" s="10" t="s">
        <v>725</v>
      </c>
      <c r="L462" s="10" t="s">
        <v>40</v>
      </c>
      <c r="M462" s="12">
        <v>4</v>
      </c>
      <c r="N462" s="15">
        <v>7000.0</v>
      </c>
      <c r="O462" s="15"/>
      <c r="P462" s="17">
        <f>IF(N462&gt;0, O462/N462, 0)</f>
        <v>0</v>
      </c>
      <c r="Q462" s="15">
        <f>N462-O462</f>
        <v>7000</v>
      </c>
      <c r="R462" s="15">
        <f>M462*N462</f>
        <v>28000</v>
      </c>
      <c r="S462" s="15">
        <f>M462*O462</f>
        <v>0</v>
      </c>
      <c r="T462" s="15">
        <f>M462*Q462</f>
        <v>28000</v>
      </c>
      <c r="U462" s="15"/>
      <c r="V462" s="15">
        <f>M462*U462</f>
        <v>0</v>
      </c>
      <c r="W462" s="15">
        <f>T462-V462</f>
        <v>28000</v>
      </c>
      <c r="X462" s="17">
        <f>IF(T462&gt;0, W462/T462, 0)</f>
        <v>1</v>
      </c>
      <c r="Y462" s="8" t="s">
        <v>41</v>
      </c>
      <c r="Z462" s="10" t="s">
        <v>42</v>
      </c>
      <c r="AA462" s="10" t="s">
        <v>43</v>
      </c>
      <c r="AB462" s="10" t="s">
        <v>44</v>
      </c>
      <c r="AC462" s="8" t="s">
        <v>44</v>
      </c>
    </row>
    <row r="463" spans="1:29">
      <c r="A463" s="11">
        <v>456</v>
      </c>
      <c r="B463" s="11" t="s">
        <v>731</v>
      </c>
      <c r="C463" s="11" t="s">
        <v>701</v>
      </c>
      <c r="D463" s="11" t="s">
        <v>655</v>
      </c>
      <c r="E463" s="11" t="s">
        <v>34</v>
      </c>
      <c r="F463" s="11" t="s">
        <v>35</v>
      </c>
      <c r="G463" s="9" t="s">
        <v>36</v>
      </c>
      <c r="H463" s="9" t="s">
        <v>53</v>
      </c>
      <c r="I463" s="9" t="s">
        <v>53</v>
      </c>
      <c r="J463" s="11">
        <v>128</v>
      </c>
      <c r="K463" s="11" t="s">
        <v>727</v>
      </c>
      <c r="L463" s="11" t="s">
        <v>40</v>
      </c>
      <c r="M463" s="13">
        <v>1</v>
      </c>
      <c r="N463" s="16">
        <v>8000.0</v>
      </c>
      <c r="O463" s="16"/>
      <c r="P463" s="18">
        <f>IF(N463&gt;0, O463/N463, 0)</f>
        <v>0</v>
      </c>
      <c r="Q463" s="16">
        <f>N463-O463</f>
        <v>8000</v>
      </c>
      <c r="R463" s="16">
        <f>M463*N463</f>
        <v>8000</v>
      </c>
      <c r="S463" s="16">
        <f>M463*O463</f>
        <v>0</v>
      </c>
      <c r="T463" s="16">
        <f>M463*Q463</f>
        <v>8000</v>
      </c>
      <c r="U463" s="16"/>
      <c r="V463" s="16">
        <f>M463*U463</f>
        <v>0</v>
      </c>
      <c r="W463" s="16">
        <f>T463-V463</f>
        <v>8000</v>
      </c>
      <c r="X463" s="18">
        <f>IF(T463&gt;0, W463/T463, 0)</f>
        <v>1</v>
      </c>
      <c r="Y463" s="9" t="s">
        <v>41</v>
      </c>
      <c r="Z463" s="11" t="s">
        <v>42</v>
      </c>
      <c r="AA463" s="11" t="s">
        <v>43</v>
      </c>
      <c r="AB463" s="11" t="s">
        <v>44</v>
      </c>
      <c r="AC463" s="9" t="s">
        <v>44</v>
      </c>
    </row>
    <row r="464" spans="1:29">
      <c r="A464" s="10">
        <v>457</v>
      </c>
      <c r="B464" s="10" t="s">
        <v>732</v>
      </c>
      <c r="C464" s="10" t="s">
        <v>701</v>
      </c>
      <c r="D464" s="10" t="s">
        <v>655</v>
      </c>
      <c r="E464" s="10" t="s">
        <v>34</v>
      </c>
      <c r="F464" s="10" t="s">
        <v>35</v>
      </c>
      <c r="G464" s="8" t="s">
        <v>36</v>
      </c>
      <c r="H464" s="8" t="s">
        <v>37</v>
      </c>
      <c r="I464" s="8" t="s">
        <v>38</v>
      </c>
      <c r="J464" s="10">
        <v>152</v>
      </c>
      <c r="K464" s="10" t="s">
        <v>729</v>
      </c>
      <c r="L464" s="10" t="s">
        <v>40</v>
      </c>
      <c r="M464" s="12">
        <v>1</v>
      </c>
      <c r="N464" s="15">
        <v>7000.0</v>
      </c>
      <c r="O464" s="15"/>
      <c r="P464" s="17">
        <f>IF(N464&gt;0, O464/N464, 0)</f>
        <v>0</v>
      </c>
      <c r="Q464" s="15">
        <f>N464-O464</f>
        <v>7000</v>
      </c>
      <c r="R464" s="15">
        <f>M464*N464</f>
        <v>7000</v>
      </c>
      <c r="S464" s="15">
        <f>M464*O464</f>
        <v>0</v>
      </c>
      <c r="T464" s="15">
        <f>M464*Q464</f>
        <v>7000</v>
      </c>
      <c r="U464" s="15"/>
      <c r="V464" s="15">
        <f>M464*U464</f>
        <v>0</v>
      </c>
      <c r="W464" s="15">
        <f>T464-V464</f>
        <v>7000</v>
      </c>
      <c r="X464" s="17">
        <f>IF(T464&gt;0, W464/T464, 0)</f>
        <v>1</v>
      </c>
      <c r="Y464" s="8" t="s">
        <v>41</v>
      </c>
      <c r="Z464" s="10" t="s">
        <v>42</v>
      </c>
      <c r="AA464" s="10" t="s">
        <v>43</v>
      </c>
      <c r="AB464" s="10" t="s">
        <v>44</v>
      </c>
      <c r="AC464" s="8" t="s">
        <v>44</v>
      </c>
    </row>
    <row r="465" spans="1:29">
      <c r="A465" s="11">
        <v>458</v>
      </c>
      <c r="B465" s="11" t="s">
        <v>733</v>
      </c>
      <c r="C465" s="11" t="s">
        <v>701</v>
      </c>
      <c r="D465" s="11" t="s">
        <v>655</v>
      </c>
      <c r="E465" s="11" t="s">
        <v>34</v>
      </c>
      <c r="F465" s="11" t="s">
        <v>35</v>
      </c>
      <c r="G465" s="9" t="s">
        <v>36</v>
      </c>
      <c r="H465" s="9" t="s">
        <v>37</v>
      </c>
      <c r="I465" s="9" t="s">
        <v>38</v>
      </c>
      <c r="J465" s="11">
        <v>146</v>
      </c>
      <c r="K465" s="11" t="s">
        <v>531</v>
      </c>
      <c r="L465" s="11" t="s">
        <v>40</v>
      </c>
      <c r="M465" s="13">
        <v>1</v>
      </c>
      <c r="N465" s="16">
        <v>7000.0</v>
      </c>
      <c r="O465" s="16"/>
      <c r="P465" s="18">
        <f>IF(N465&gt;0, O465/N465, 0)</f>
        <v>0</v>
      </c>
      <c r="Q465" s="16">
        <f>N465-O465</f>
        <v>7000</v>
      </c>
      <c r="R465" s="16">
        <f>M465*N465</f>
        <v>7000</v>
      </c>
      <c r="S465" s="16">
        <f>M465*O465</f>
        <v>0</v>
      </c>
      <c r="T465" s="16">
        <f>M465*Q465</f>
        <v>7000</v>
      </c>
      <c r="U465" s="16"/>
      <c r="V465" s="16">
        <f>M465*U465</f>
        <v>0</v>
      </c>
      <c r="W465" s="16">
        <f>T465-V465</f>
        <v>7000</v>
      </c>
      <c r="X465" s="18">
        <f>IF(T465&gt;0, W465/T465, 0)</f>
        <v>1</v>
      </c>
      <c r="Y465" s="9" t="s">
        <v>41</v>
      </c>
      <c r="Z465" s="11" t="s">
        <v>42</v>
      </c>
      <c r="AA465" s="11" t="s">
        <v>43</v>
      </c>
      <c r="AB465" s="11" t="s">
        <v>44</v>
      </c>
      <c r="AC465" s="9" t="s">
        <v>44</v>
      </c>
    </row>
    <row r="466" spans="1:29">
      <c r="A466" s="10">
        <v>459</v>
      </c>
      <c r="B466" s="10" t="s">
        <v>734</v>
      </c>
      <c r="C466" s="10" t="s">
        <v>701</v>
      </c>
      <c r="D466" s="10" t="s">
        <v>655</v>
      </c>
      <c r="E466" s="10" t="s">
        <v>34</v>
      </c>
      <c r="F466" s="10" t="s">
        <v>35</v>
      </c>
      <c r="G466" s="8" t="s">
        <v>36</v>
      </c>
      <c r="H466" s="8" t="s">
        <v>47</v>
      </c>
      <c r="I466" s="8" t="s">
        <v>48</v>
      </c>
      <c r="J466" s="10">
        <v>146</v>
      </c>
      <c r="K466" s="10" t="s">
        <v>710</v>
      </c>
      <c r="L466" s="10" t="s">
        <v>40</v>
      </c>
      <c r="M466" s="12">
        <v>1</v>
      </c>
      <c r="N466" s="15">
        <v>18000.0</v>
      </c>
      <c r="O466" s="15"/>
      <c r="P466" s="17">
        <f>IF(N466&gt;0, O466/N466, 0)</f>
        <v>0</v>
      </c>
      <c r="Q466" s="15">
        <f>N466-O466</f>
        <v>18000</v>
      </c>
      <c r="R466" s="15">
        <f>M466*N466</f>
        <v>18000</v>
      </c>
      <c r="S466" s="15">
        <f>M466*O466</f>
        <v>0</v>
      </c>
      <c r="T466" s="15">
        <f>M466*Q466</f>
        <v>18000</v>
      </c>
      <c r="U466" s="15"/>
      <c r="V466" s="15">
        <f>M466*U466</f>
        <v>0</v>
      </c>
      <c r="W466" s="15">
        <f>T466-V466</f>
        <v>18000</v>
      </c>
      <c r="X466" s="17">
        <f>IF(T466&gt;0, W466/T466, 0)</f>
        <v>1</v>
      </c>
      <c r="Y466" s="8" t="s">
        <v>41</v>
      </c>
      <c r="Z466" s="10" t="s">
        <v>42</v>
      </c>
      <c r="AA466" s="10" t="s">
        <v>43</v>
      </c>
      <c r="AB466" s="10" t="s">
        <v>44</v>
      </c>
      <c r="AC466" s="8" t="s">
        <v>44</v>
      </c>
    </row>
    <row r="467" spans="1:29">
      <c r="A467" s="11">
        <v>460</v>
      </c>
      <c r="B467" s="11" t="s">
        <v>735</v>
      </c>
      <c r="C467" s="11" t="s">
        <v>701</v>
      </c>
      <c r="D467" s="11" t="s">
        <v>655</v>
      </c>
      <c r="E467" s="11" t="s">
        <v>34</v>
      </c>
      <c r="F467" s="11" t="s">
        <v>35</v>
      </c>
      <c r="G467" s="9" t="s">
        <v>36</v>
      </c>
      <c r="H467" s="9" t="s">
        <v>47</v>
      </c>
      <c r="I467" s="9" t="s">
        <v>48</v>
      </c>
      <c r="J467" s="11">
        <v>152</v>
      </c>
      <c r="K467" s="11" t="s">
        <v>348</v>
      </c>
      <c r="L467" s="11" t="s">
        <v>40</v>
      </c>
      <c r="M467" s="13">
        <v>1</v>
      </c>
      <c r="N467" s="16">
        <v>18000.0</v>
      </c>
      <c r="O467" s="16"/>
      <c r="P467" s="18">
        <f>IF(N467&gt;0, O467/N467, 0)</f>
        <v>0</v>
      </c>
      <c r="Q467" s="16">
        <f>N467-O467</f>
        <v>18000</v>
      </c>
      <c r="R467" s="16">
        <f>M467*N467</f>
        <v>18000</v>
      </c>
      <c r="S467" s="16">
        <f>M467*O467</f>
        <v>0</v>
      </c>
      <c r="T467" s="16">
        <f>M467*Q467</f>
        <v>18000</v>
      </c>
      <c r="U467" s="16"/>
      <c r="V467" s="16">
        <f>M467*U467</f>
        <v>0</v>
      </c>
      <c r="W467" s="16">
        <f>T467-V467</f>
        <v>18000</v>
      </c>
      <c r="X467" s="18">
        <f>IF(T467&gt;0, W467/T467, 0)</f>
        <v>1</v>
      </c>
      <c r="Y467" s="9" t="s">
        <v>41</v>
      </c>
      <c r="Z467" s="11" t="s">
        <v>42</v>
      </c>
      <c r="AA467" s="11" t="s">
        <v>43</v>
      </c>
      <c r="AB467" s="11" t="s">
        <v>44</v>
      </c>
      <c r="AC467" s="9" t="s">
        <v>44</v>
      </c>
    </row>
    <row r="468" spans="1:29">
      <c r="A468" s="10">
        <v>461</v>
      </c>
      <c r="B468" s="10" t="s">
        <v>736</v>
      </c>
      <c r="C468" s="10" t="s">
        <v>701</v>
      </c>
      <c r="D468" s="10" t="s">
        <v>655</v>
      </c>
      <c r="E468" s="10" t="s">
        <v>70</v>
      </c>
      <c r="F468" s="10" t="s">
        <v>35</v>
      </c>
      <c r="G468" s="8" t="s">
        <v>36</v>
      </c>
      <c r="H468" s="8" t="s">
        <v>53</v>
      </c>
      <c r="I468" s="8" t="s">
        <v>53</v>
      </c>
      <c r="J468" s="10">
        <v>194</v>
      </c>
      <c r="K468" s="10" t="s">
        <v>737</v>
      </c>
      <c r="L468" s="10" t="s">
        <v>40</v>
      </c>
      <c r="M468" s="12">
        <v>1</v>
      </c>
      <c r="N468" s="15">
        <v>10000.0</v>
      </c>
      <c r="O468" s="15"/>
      <c r="P468" s="17">
        <f>IF(N468&gt;0, O468/N468, 0)</f>
        <v>0</v>
      </c>
      <c r="Q468" s="15">
        <f>N468-O468</f>
        <v>10000</v>
      </c>
      <c r="R468" s="15">
        <f>M468*N468</f>
        <v>10000</v>
      </c>
      <c r="S468" s="15">
        <f>M468*O468</f>
        <v>0</v>
      </c>
      <c r="T468" s="15">
        <f>M468*Q468</f>
        <v>10000</v>
      </c>
      <c r="U468" s="15"/>
      <c r="V468" s="15">
        <f>M468*U468</f>
        <v>0</v>
      </c>
      <c r="W468" s="15">
        <f>T468-V468</f>
        <v>10000</v>
      </c>
      <c r="X468" s="17">
        <f>IF(T468&gt;0, W468/T468, 0)</f>
        <v>1</v>
      </c>
      <c r="Y468" s="8" t="s">
        <v>41</v>
      </c>
      <c r="Z468" s="10" t="s">
        <v>42</v>
      </c>
      <c r="AA468" s="10" t="s">
        <v>73</v>
      </c>
      <c r="AB468" s="10" t="s">
        <v>44</v>
      </c>
      <c r="AC468" s="8" t="s">
        <v>44</v>
      </c>
    </row>
    <row r="469" spans="1:29">
      <c r="A469" s="11">
        <v>462</v>
      </c>
      <c r="B469" s="11" t="s">
        <v>738</v>
      </c>
      <c r="C469" s="11" t="s">
        <v>701</v>
      </c>
      <c r="D469" s="11" t="s">
        <v>655</v>
      </c>
      <c r="E469" s="11" t="s">
        <v>34</v>
      </c>
      <c r="F469" s="11" t="s">
        <v>35</v>
      </c>
      <c r="G469" s="9" t="s">
        <v>36</v>
      </c>
      <c r="H469" s="9" t="s">
        <v>58</v>
      </c>
      <c r="I469" s="9" t="s">
        <v>58</v>
      </c>
      <c r="J469" s="11">
        <v>176</v>
      </c>
      <c r="K469" s="11" t="s">
        <v>668</v>
      </c>
      <c r="L469" s="11" t="s">
        <v>40</v>
      </c>
      <c r="M469" s="13">
        <v>1</v>
      </c>
      <c r="N469" s="16">
        <v>7500.0</v>
      </c>
      <c r="O469" s="16"/>
      <c r="P469" s="18">
        <f>IF(N469&gt;0, O469/N469, 0)</f>
        <v>0</v>
      </c>
      <c r="Q469" s="16">
        <f>N469-O469</f>
        <v>7500</v>
      </c>
      <c r="R469" s="16">
        <f>M469*N469</f>
        <v>7500</v>
      </c>
      <c r="S469" s="16">
        <f>M469*O469</f>
        <v>0</v>
      </c>
      <c r="T469" s="16">
        <f>M469*Q469</f>
        <v>7500</v>
      </c>
      <c r="U469" s="16"/>
      <c r="V469" s="16">
        <f>M469*U469</f>
        <v>0</v>
      </c>
      <c r="W469" s="16">
        <f>T469-V469</f>
        <v>7500</v>
      </c>
      <c r="X469" s="18">
        <f>IF(T469&gt;0, W469/T469, 0)</f>
        <v>1</v>
      </c>
      <c r="Y469" s="9" t="s">
        <v>41</v>
      </c>
      <c r="Z469" s="11" t="s">
        <v>42</v>
      </c>
      <c r="AA469" s="11" t="s">
        <v>43</v>
      </c>
      <c r="AB469" s="11" t="s">
        <v>44</v>
      </c>
      <c r="AC469" s="9" t="s">
        <v>44</v>
      </c>
    </row>
    <row r="470" spans="1:29">
      <c r="A470" s="10">
        <v>463</v>
      </c>
      <c r="B470" s="10" t="s">
        <v>739</v>
      </c>
      <c r="C470" s="10" t="s">
        <v>701</v>
      </c>
      <c r="D470" s="10" t="s">
        <v>655</v>
      </c>
      <c r="E470" s="10" t="s">
        <v>34</v>
      </c>
      <c r="F470" s="10" t="s">
        <v>35</v>
      </c>
      <c r="G470" s="8" t="s">
        <v>36</v>
      </c>
      <c r="H470" s="8" t="s">
        <v>58</v>
      </c>
      <c r="I470" s="8" t="s">
        <v>58</v>
      </c>
      <c r="J470" s="10">
        <v>182</v>
      </c>
      <c r="K470" s="10" t="s">
        <v>658</v>
      </c>
      <c r="L470" s="10" t="s">
        <v>40</v>
      </c>
      <c r="M470" s="12">
        <v>1</v>
      </c>
      <c r="N470" s="15">
        <v>7500.0</v>
      </c>
      <c r="O470" s="15"/>
      <c r="P470" s="17">
        <f>IF(N470&gt;0, O470/N470, 0)</f>
        <v>0</v>
      </c>
      <c r="Q470" s="15">
        <f>N470-O470</f>
        <v>7500</v>
      </c>
      <c r="R470" s="15">
        <f>M470*N470</f>
        <v>7500</v>
      </c>
      <c r="S470" s="15">
        <f>M470*O470</f>
        <v>0</v>
      </c>
      <c r="T470" s="15">
        <f>M470*Q470</f>
        <v>7500</v>
      </c>
      <c r="U470" s="15"/>
      <c r="V470" s="15">
        <f>M470*U470</f>
        <v>0</v>
      </c>
      <c r="W470" s="15">
        <f>T470-V470</f>
        <v>7500</v>
      </c>
      <c r="X470" s="17">
        <f>IF(T470&gt;0, W470/T470, 0)</f>
        <v>1</v>
      </c>
      <c r="Y470" s="8" t="s">
        <v>41</v>
      </c>
      <c r="Z470" s="10" t="s">
        <v>42</v>
      </c>
      <c r="AA470" s="10" t="s">
        <v>43</v>
      </c>
      <c r="AB470" s="10" t="s">
        <v>44</v>
      </c>
      <c r="AC470" s="8" t="s">
        <v>44</v>
      </c>
    </row>
    <row r="471" spans="1:29">
      <c r="A471" s="11">
        <v>464</v>
      </c>
      <c r="B471" s="11" t="s">
        <v>740</v>
      </c>
      <c r="C471" s="11" t="s">
        <v>701</v>
      </c>
      <c r="D471" s="11" t="s">
        <v>655</v>
      </c>
      <c r="E471" s="11" t="s">
        <v>34</v>
      </c>
      <c r="F471" s="11" t="s">
        <v>35</v>
      </c>
      <c r="G471" s="9" t="s">
        <v>36</v>
      </c>
      <c r="H471" s="9" t="s">
        <v>37</v>
      </c>
      <c r="I471" s="9" t="s">
        <v>38</v>
      </c>
      <c r="J471" s="11">
        <v>182</v>
      </c>
      <c r="K471" s="11" t="s">
        <v>338</v>
      </c>
      <c r="L471" s="11" t="s">
        <v>40</v>
      </c>
      <c r="M471" s="13">
        <v>1</v>
      </c>
      <c r="N471" s="16">
        <v>8000.0</v>
      </c>
      <c r="O471" s="16"/>
      <c r="P471" s="18">
        <f>IF(N471&gt;0, O471/N471, 0)</f>
        <v>0</v>
      </c>
      <c r="Q471" s="16">
        <f>N471-O471</f>
        <v>8000</v>
      </c>
      <c r="R471" s="16">
        <f>M471*N471</f>
        <v>8000</v>
      </c>
      <c r="S471" s="16">
        <f>M471*O471</f>
        <v>0</v>
      </c>
      <c r="T471" s="16">
        <f>M471*Q471</f>
        <v>8000</v>
      </c>
      <c r="U471" s="16"/>
      <c r="V471" s="16">
        <f>M471*U471</f>
        <v>0</v>
      </c>
      <c r="W471" s="16">
        <f>T471-V471</f>
        <v>8000</v>
      </c>
      <c r="X471" s="18">
        <f>IF(T471&gt;0, W471/T471, 0)</f>
        <v>1</v>
      </c>
      <c r="Y471" s="9" t="s">
        <v>41</v>
      </c>
      <c r="Z471" s="11" t="s">
        <v>42</v>
      </c>
      <c r="AA471" s="11" t="s">
        <v>43</v>
      </c>
      <c r="AB471" s="11" t="s">
        <v>44</v>
      </c>
      <c r="AC471" s="9" t="s">
        <v>44</v>
      </c>
    </row>
    <row r="472" spans="1:29">
      <c r="A472" s="10">
        <v>465</v>
      </c>
      <c r="B472" s="10" t="s">
        <v>741</v>
      </c>
      <c r="C472" s="10" t="s">
        <v>701</v>
      </c>
      <c r="D472" s="10" t="s">
        <v>655</v>
      </c>
      <c r="E472" s="10" t="s">
        <v>34</v>
      </c>
      <c r="F472" s="10" t="s">
        <v>35</v>
      </c>
      <c r="G472" s="8" t="s">
        <v>36</v>
      </c>
      <c r="H472" s="8" t="s">
        <v>65</v>
      </c>
      <c r="I472" s="8" t="s">
        <v>151</v>
      </c>
      <c r="J472" s="10">
        <v>182</v>
      </c>
      <c r="K472" s="10" t="s">
        <v>742</v>
      </c>
      <c r="L472" s="10" t="s">
        <v>40</v>
      </c>
      <c r="M472" s="12">
        <v>1</v>
      </c>
      <c r="N472" s="15">
        <v>9500.0</v>
      </c>
      <c r="O472" s="15"/>
      <c r="P472" s="17">
        <f>IF(N472&gt;0, O472/N472, 0)</f>
        <v>0</v>
      </c>
      <c r="Q472" s="15">
        <f>N472-O472</f>
        <v>9500</v>
      </c>
      <c r="R472" s="15">
        <f>M472*N472</f>
        <v>9500</v>
      </c>
      <c r="S472" s="15">
        <f>M472*O472</f>
        <v>0</v>
      </c>
      <c r="T472" s="15">
        <f>M472*Q472</f>
        <v>9500</v>
      </c>
      <c r="U472" s="15"/>
      <c r="V472" s="15">
        <f>M472*U472</f>
        <v>0</v>
      </c>
      <c r="W472" s="15">
        <f>T472-V472</f>
        <v>9500</v>
      </c>
      <c r="X472" s="17">
        <f>IF(T472&gt;0, W472/T472, 0)</f>
        <v>1</v>
      </c>
      <c r="Y472" s="8" t="s">
        <v>41</v>
      </c>
      <c r="Z472" s="10" t="s">
        <v>42</v>
      </c>
      <c r="AA472" s="10" t="s">
        <v>43</v>
      </c>
      <c r="AB472" s="10" t="s">
        <v>44</v>
      </c>
      <c r="AC472" s="8" t="s">
        <v>44</v>
      </c>
    </row>
    <row r="473" spans="1:29">
      <c r="A473" s="11">
        <v>466</v>
      </c>
      <c r="B473" s="11" t="s">
        <v>743</v>
      </c>
      <c r="C473" s="11" t="s">
        <v>701</v>
      </c>
      <c r="D473" s="11" t="s">
        <v>655</v>
      </c>
      <c r="E473" s="11" t="s">
        <v>34</v>
      </c>
      <c r="F473" s="11" t="s">
        <v>35</v>
      </c>
      <c r="G473" s="9" t="s">
        <v>36</v>
      </c>
      <c r="H473" s="9" t="s">
        <v>37</v>
      </c>
      <c r="I473" s="9" t="s">
        <v>38</v>
      </c>
      <c r="J473" s="11">
        <v>152</v>
      </c>
      <c r="K473" s="11" t="s">
        <v>729</v>
      </c>
      <c r="L473" s="11" t="s">
        <v>40</v>
      </c>
      <c r="M473" s="13">
        <v>1</v>
      </c>
      <c r="N473" s="16">
        <v>7000.0</v>
      </c>
      <c r="O473" s="16"/>
      <c r="P473" s="18">
        <f>IF(N473&gt;0, O473/N473, 0)</f>
        <v>0</v>
      </c>
      <c r="Q473" s="16">
        <f>N473-O473</f>
        <v>7000</v>
      </c>
      <c r="R473" s="16">
        <f>M473*N473</f>
        <v>7000</v>
      </c>
      <c r="S473" s="16">
        <f>M473*O473</f>
        <v>0</v>
      </c>
      <c r="T473" s="16">
        <f>M473*Q473</f>
        <v>7000</v>
      </c>
      <c r="U473" s="16"/>
      <c r="V473" s="16">
        <f>M473*U473</f>
        <v>0</v>
      </c>
      <c r="W473" s="16">
        <f>T473-V473</f>
        <v>7000</v>
      </c>
      <c r="X473" s="18">
        <f>IF(T473&gt;0, W473/T473, 0)</f>
        <v>1</v>
      </c>
      <c r="Y473" s="9" t="s">
        <v>41</v>
      </c>
      <c r="Z473" s="11" t="s">
        <v>42</v>
      </c>
      <c r="AA473" s="11" t="s">
        <v>43</v>
      </c>
      <c r="AB473" s="11" t="s">
        <v>44</v>
      </c>
      <c r="AC473" s="9" t="s">
        <v>44</v>
      </c>
    </row>
    <row r="474" spans="1:29">
      <c r="A474" s="10">
        <v>467</v>
      </c>
      <c r="B474" s="10" t="s">
        <v>744</v>
      </c>
      <c r="C474" s="10" t="s">
        <v>701</v>
      </c>
      <c r="D474" s="10" t="s">
        <v>655</v>
      </c>
      <c r="E474" s="10" t="s">
        <v>34</v>
      </c>
      <c r="F474" s="10" t="s">
        <v>745</v>
      </c>
      <c r="G474" s="8" t="s">
        <v>36</v>
      </c>
      <c r="H474" s="8" t="s">
        <v>71</v>
      </c>
      <c r="I474" s="8" t="s">
        <v>71</v>
      </c>
      <c r="J474" s="10">
        <v>146</v>
      </c>
      <c r="K474" s="10" t="s">
        <v>267</v>
      </c>
      <c r="L474" s="10" t="s">
        <v>40</v>
      </c>
      <c r="M474" s="12">
        <v>1</v>
      </c>
      <c r="N474" s="15">
        <v>16000.0</v>
      </c>
      <c r="O474" s="15"/>
      <c r="P474" s="17">
        <f>IF(N474&gt;0, O474/N474, 0)</f>
        <v>0</v>
      </c>
      <c r="Q474" s="15">
        <f>N474-O474</f>
        <v>16000</v>
      </c>
      <c r="R474" s="15">
        <f>M474*N474</f>
        <v>16000</v>
      </c>
      <c r="S474" s="15">
        <f>M474*O474</f>
        <v>0</v>
      </c>
      <c r="T474" s="15">
        <f>M474*Q474</f>
        <v>16000</v>
      </c>
      <c r="U474" s="15"/>
      <c r="V474" s="15">
        <f>M474*U474</f>
        <v>0</v>
      </c>
      <c r="W474" s="15">
        <f>T474-V474</f>
        <v>16000</v>
      </c>
      <c r="X474" s="17">
        <f>IF(T474&gt;0, W474/T474, 0)</f>
        <v>1</v>
      </c>
      <c r="Y474" s="8" t="s">
        <v>41</v>
      </c>
      <c r="Z474" s="10" t="s">
        <v>42</v>
      </c>
      <c r="AA474" s="10" t="s">
        <v>43</v>
      </c>
      <c r="AB474" s="10" t="s">
        <v>44</v>
      </c>
      <c r="AC474" s="8" t="s">
        <v>746</v>
      </c>
    </row>
    <row r="475" spans="1:29">
      <c r="A475" s="11">
        <v>468</v>
      </c>
      <c r="B475" s="11" t="s">
        <v>747</v>
      </c>
      <c r="C475" s="11" t="s">
        <v>748</v>
      </c>
      <c r="D475" s="11" t="s">
        <v>655</v>
      </c>
      <c r="E475" s="11" t="s">
        <v>70</v>
      </c>
      <c r="F475" s="11" t="s">
        <v>35</v>
      </c>
      <c r="G475" s="9" t="s">
        <v>36</v>
      </c>
      <c r="H475" s="9" t="s">
        <v>37</v>
      </c>
      <c r="I475" s="9" t="s">
        <v>75</v>
      </c>
      <c r="J475" s="11">
        <v>158</v>
      </c>
      <c r="K475" s="11" t="s">
        <v>294</v>
      </c>
      <c r="L475" s="11" t="s">
        <v>40</v>
      </c>
      <c r="M475" s="13">
        <v>1</v>
      </c>
      <c r="N475" s="16">
        <v>11000.0</v>
      </c>
      <c r="O475" s="16"/>
      <c r="P475" s="18">
        <f>IF(N475&gt;0, O475/N475, 0)</f>
        <v>0</v>
      </c>
      <c r="Q475" s="16">
        <f>N475-O475</f>
        <v>11000</v>
      </c>
      <c r="R475" s="16">
        <f>M475*N475</f>
        <v>11000</v>
      </c>
      <c r="S475" s="16">
        <f>M475*O475</f>
        <v>0</v>
      </c>
      <c r="T475" s="16">
        <f>M475*Q475</f>
        <v>11000</v>
      </c>
      <c r="U475" s="16"/>
      <c r="V475" s="16">
        <f>M475*U475</f>
        <v>0</v>
      </c>
      <c r="W475" s="16">
        <f>T475-V475</f>
        <v>11000</v>
      </c>
      <c r="X475" s="18">
        <f>IF(T475&gt;0, W475/T475, 0)</f>
        <v>1</v>
      </c>
      <c r="Y475" s="9" t="s">
        <v>41</v>
      </c>
      <c r="Z475" s="11" t="s">
        <v>42</v>
      </c>
      <c r="AA475" s="11" t="s">
        <v>73</v>
      </c>
      <c r="AB475" s="11" t="s">
        <v>44</v>
      </c>
      <c r="AC475" s="9" t="s">
        <v>44</v>
      </c>
    </row>
    <row r="476" spans="1:29">
      <c r="A476" s="10">
        <v>469</v>
      </c>
      <c r="B476" s="10" t="s">
        <v>749</v>
      </c>
      <c r="C476" s="10" t="s">
        <v>748</v>
      </c>
      <c r="D476" s="10" t="s">
        <v>655</v>
      </c>
      <c r="E476" s="10" t="s">
        <v>70</v>
      </c>
      <c r="F476" s="10" t="s">
        <v>35</v>
      </c>
      <c r="G476" s="8" t="s">
        <v>52</v>
      </c>
      <c r="H476" s="8" t="s">
        <v>65</v>
      </c>
      <c r="I476" s="8" t="s">
        <v>151</v>
      </c>
      <c r="J476" s="10">
        <v>158</v>
      </c>
      <c r="K476" s="10" t="s">
        <v>437</v>
      </c>
      <c r="L476" s="10" t="s">
        <v>40</v>
      </c>
      <c r="M476" s="12">
        <v>1</v>
      </c>
      <c r="N476" s="15">
        <v>11000.0</v>
      </c>
      <c r="O476" s="15"/>
      <c r="P476" s="17">
        <f>IF(N476&gt;0, O476/N476, 0)</f>
        <v>0</v>
      </c>
      <c r="Q476" s="15">
        <f>N476-O476</f>
        <v>11000</v>
      </c>
      <c r="R476" s="15">
        <f>M476*N476</f>
        <v>11000</v>
      </c>
      <c r="S476" s="15">
        <f>M476*O476</f>
        <v>0</v>
      </c>
      <c r="T476" s="15">
        <f>M476*Q476</f>
        <v>11000</v>
      </c>
      <c r="U476" s="15"/>
      <c r="V476" s="15">
        <f>M476*U476</f>
        <v>0</v>
      </c>
      <c r="W476" s="15">
        <f>T476-V476</f>
        <v>11000</v>
      </c>
      <c r="X476" s="17">
        <f>IF(T476&gt;0, W476/T476, 0)</f>
        <v>1</v>
      </c>
      <c r="Y476" s="8" t="s">
        <v>41</v>
      </c>
      <c r="Z476" s="10" t="s">
        <v>42</v>
      </c>
      <c r="AA476" s="10" t="s">
        <v>73</v>
      </c>
      <c r="AB476" s="10" t="s">
        <v>44</v>
      </c>
      <c r="AC476" s="8" t="s">
        <v>44</v>
      </c>
    </row>
    <row r="477" spans="1:29">
      <c r="A477" s="11">
        <v>470</v>
      </c>
      <c r="B477" s="11" t="s">
        <v>750</v>
      </c>
      <c r="C477" s="11" t="s">
        <v>748</v>
      </c>
      <c r="D477" s="11" t="s">
        <v>655</v>
      </c>
      <c r="E477" s="11" t="s">
        <v>70</v>
      </c>
      <c r="F477" s="11" t="s">
        <v>35</v>
      </c>
      <c r="G477" s="9" t="s">
        <v>52</v>
      </c>
      <c r="H477" s="9" t="s">
        <v>71</v>
      </c>
      <c r="I477" s="9" t="s">
        <v>71</v>
      </c>
      <c r="J477" s="11">
        <v>128</v>
      </c>
      <c r="K477" s="11" t="s">
        <v>112</v>
      </c>
      <c r="L477" s="11" t="s">
        <v>40</v>
      </c>
      <c r="M477" s="13">
        <v>1</v>
      </c>
      <c r="N477" s="16">
        <v>18000.0</v>
      </c>
      <c r="O477" s="16"/>
      <c r="P477" s="18">
        <f>IF(N477&gt;0, O477/N477, 0)</f>
        <v>0</v>
      </c>
      <c r="Q477" s="16">
        <f>N477-O477</f>
        <v>18000</v>
      </c>
      <c r="R477" s="16">
        <f>M477*N477</f>
        <v>18000</v>
      </c>
      <c r="S477" s="16">
        <f>M477*O477</f>
        <v>0</v>
      </c>
      <c r="T477" s="16">
        <f>M477*Q477</f>
        <v>18000</v>
      </c>
      <c r="U477" s="16"/>
      <c r="V477" s="16">
        <f>M477*U477</f>
        <v>0</v>
      </c>
      <c r="W477" s="16">
        <f>T477-V477</f>
        <v>18000</v>
      </c>
      <c r="X477" s="18">
        <f>IF(T477&gt;0, W477/T477, 0)</f>
        <v>1</v>
      </c>
      <c r="Y477" s="9" t="s">
        <v>41</v>
      </c>
      <c r="Z477" s="11" t="s">
        <v>42</v>
      </c>
      <c r="AA477" s="11" t="s">
        <v>73</v>
      </c>
      <c r="AB477" s="11" t="s">
        <v>44</v>
      </c>
      <c r="AC477" s="9" t="s">
        <v>44</v>
      </c>
    </row>
    <row r="478" spans="1:29">
      <c r="A478" s="10">
        <v>471</v>
      </c>
      <c r="B478" s="10" t="s">
        <v>751</v>
      </c>
      <c r="C478" s="10" t="s">
        <v>748</v>
      </c>
      <c r="D478" s="10" t="s">
        <v>655</v>
      </c>
      <c r="E478" s="10" t="s">
        <v>70</v>
      </c>
      <c r="F478" s="10" t="s">
        <v>35</v>
      </c>
      <c r="G478" s="8" t="s">
        <v>52</v>
      </c>
      <c r="H478" s="8" t="s">
        <v>37</v>
      </c>
      <c r="I478" s="8" t="s">
        <v>38</v>
      </c>
      <c r="J478" s="10">
        <v>158</v>
      </c>
      <c r="K478" s="10" t="s">
        <v>132</v>
      </c>
      <c r="L478" s="10" t="s">
        <v>55</v>
      </c>
      <c r="M478" s="12">
        <v>3</v>
      </c>
      <c r="N478" s="15">
        <v>10000.0</v>
      </c>
      <c r="O478" s="15"/>
      <c r="P478" s="17">
        <f>IF(N478&gt;0, O478/N478, 0)</f>
        <v>0</v>
      </c>
      <c r="Q478" s="15">
        <f>N478-O478</f>
        <v>10000</v>
      </c>
      <c r="R478" s="15">
        <f>M478*N478</f>
        <v>30000</v>
      </c>
      <c r="S478" s="15">
        <f>M478*O478</f>
        <v>0</v>
      </c>
      <c r="T478" s="15">
        <f>M478*Q478</f>
        <v>30000</v>
      </c>
      <c r="U478" s="15"/>
      <c r="V478" s="15">
        <f>M478*U478</f>
        <v>0</v>
      </c>
      <c r="W478" s="15">
        <f>T478-V478</f>
        <v>30000</v>
      </c>
      <c r="X478" s="17">
        <f>IF(T478&gt;0, W478/T478, 0)</f>
        <v>1</v>
      </c>
      <c r="Y478" s="8" t="s">
        <v>41</v>
      </c>
      <c r="Z478" s="10" t="s">
        <v>42</v>
      </c>
      <c r="AA478" s="10" t="s">
        <v>73</v>
      </c>
      <c r="AB478" s="10" t="s">
        <v>44</v>
      </c>
      <c r="AC478" s="8" t="s">
        <v>44</v>
      </c>
    </row>
    <row r="479" spans="1:29">
      <c r="A479" s="11">
        <v>472</v>
      </c>
      <c r="B479" s="11" t="s">
        <v>752</v>
      </c>
      <c r="C479" s="11" t="s">
        <v>748</v>
      </c>
      <c r="D479" s="11" t="s">
        <v>655</v>
      </c>
      <c r="E479" s="11" t="s">
        <v>34</v>
      </c>
      <c r="F479" s="11" t="s">
        <v>35</v>
      </c>
      <c r="G479" s="9" t="s">
        <v>52</v>
      </c>
      <c r="H479" s="9" t="s">
        <v>47</v>
      </c>
      <c r="I479" s="9" t="s">
        <v>48</v>
      </c>
      <c r="J479" s="11">
        <v>158</v>
      </c>
      <c r="K479" s="11" t="s">
        <v>444</v>
      </c>
      <c r="L479" s="11" t="s">
        <v>40</v>
      </c>
      <c r="M479" s="13">
        <v>1</v>
      </c>
      <c r="N479" s="16">
        <v>18000.0</v>
      </c>
      <c r="O479" s="16"/>
      <c r="P479" s="18">
        <f>IF(N479&gt;0, O479/N479, 0)</f>
        <v>0</v>
      </c>
      <c r="Q479" s="16">
        <f>N479-O479</f>
        <v>18000</v>
      </c>
      <c r="R479" s="16">
        <f>M479*N479</f>
        <v>18000</v>
      </c>
      <c r="S479" s="16">
        <f>M479*O479</f>
        <v>0</v>
      </c>
      <c r="T479" s="16">
        <f>M479*Q479</f>
        <v>18000</v>
      </c>
      <c r="U479" s="16"/>
      <c r="V479" s="16">
        <f>M479*U479</f>
        <v>0</v>
      </c>
      <c r="W479" s="16">
        <f>T479-V479</f>
        <v>18000</v>
      </c>
      <c r="X479" s="18">
        <f>IF(T479&gt;0, W479/T479, 0)</f>
        <v>1</v>
      </c>
      <c r="Y479" s="9" t="s">
        <v>41</v>
      </c>
      <c r="Z479" s="11" t="s">
        <v>42</v>
      </c>
      <c r="AA479" s="11" t="s">
        <v>43</v>
      </c>
      <c r="AB479" s="11" t="s">
        <v>44</v>
      </c>
      <c r="AC479" s="9" t="s">
        <v>44</v>
      </c>
    </row>
    <row r="480" spans="1:29">
      <c r="A480" s="10">
        <v>473</v>
      </c>
      <c r="B480" s="10" t="s">
        <v>753</v>
      </c>
      <c r="C480" s="10" t="s">
        <v>748</v>
      </c>
      <c r="D480" s="10" t="s">
        <v>655</v>
      </c>
      <c r="E480" s="10" t="s">
        <v>34</v>
      </c>
      <c r="F480" s="10" t="s">
        <v>35</v>
      </c>
      <c r="G480" s="8" t="s">
        <v>52</v>
      </c>
      <c r="H480" s="8" t="s">
        <v>53</v>
      </c>
      <c r="I480" s="8" t="s">
        <v>53</v>
      </c>
      <c r="J480" s="10">
        <v>158</v>
      </c>
      <c r="K480" s="10" t="s">
        <v>127</v>
      </c>
      <c r="L480" s="10" t="s">
        <v>55</v>
      </c>
      <c r="M480" s="12">
        <v>1</v>
      </c>
      <c r="N480" s="15">
        <v>8500.0</v>
      </c>
      <c r="O480" s="15"/>
      <c r="P480" s="17">
        <f>IF(N480&gt;0, O480/N480, 0)</f>
        <v>0</v>
      </c>
      <c r="Q480" s="15">
        <f>N480-O480</f>
        <v>8500</v>
      </c>
      <c r="R480" s="15">
        <f>M480*N480</f>
        <v>8500</v>
      </c>
      <c r="S480" s="15">
        <f>M480*O480</f>
        <v>0</v>
      </c>
      <c r="T480" s="15">
        <f>M480*Q480</f>
        <v>8500</v>
      </c>
      <c r="U480" s="15"/>
      <c r="V480" s="15">
        <f>M480*U480</f>
        <v>0</v>
      </c>
      <c r="W480" s="15">
        <f>T480-V480</f>
        <v>8500</v>
      </c>
      <c r="X480" s="17">
        <f>IF(T480&gt;0, W480/T480, 0)</f>
        <v>1</v>
      </c>
      <c r="Y480" s="8" t="s">
        <v>41</v>
      </c>
      <c r="Z480" s="10" t="s">
        <v>42</v>
      </c>
      <c r="AA480" s="10" t="s">
        <v>43</v>
      </c>
      <c r="AB480" s="10" t="s">
        <v>44</v>
      </c>
      <c r="AC480" s="8" t="s">
        <v>44</v>
      </c>
    </row>
    <row r="481" spans="1:29">
      <c r="A481" s="11">
        <v>474</v>
      </c>
      <c r="B481" s="11" t="s">
        <v>754</v>
      </c>
      <c r="C481" s="11" t="s">
        <v>748</v>
      </c>
      <c r="D481" s="11" t="s">
        <v>655</v>
      </c>
      <c r="E481" s="11" t="s">
        <v>70</v>
      </c>
      <c r="F481" s="11" t="s">
        <v>35</v>
      </c>
      <c r="G481" s="9" t="s">
        <v>52</v>
      </c>
      <c r="H481" s="9" t="s">
        <v>58</v>
      </c>
      <c r="I481" s="9" t="s">
        <v>58</v>
      </c>
      <c r="J481" s="11">
        <v>146</v>
      </c>
      <c r="K481" s="11" t="s">
        <v>755</v>
      </c>
      <c r="L481" s="11" t="s">
        <v>40</v>
      </c>
      <c r="M481" s="13">
        <v>1</v>
      </c>
      <c r="N481" s="16">
        <v>8000.0</v>
      </c>
      <c r="O481" s="16"/>
      <c r="P481" s="18">
        <f>IF(N481&gt;0, O481/N481, 0)</f>
        <v>0</v>
      </c>
      <c r="Q481" s="16">
        <f>N481-O481</f>
        <v>8000</v>
      </c>
      <c r="R481" s="16">
        <f>M481*N481</f>
        <v>8000</v>
      </c>
      <c r="S481" s="16">
        <f>M481*O481</f>
        <v>0</v>
      </c>
      <c r="T481" s="16">
        <f>M481*Q481</f>
        <v>8000</v>
      </c>
      <c r="U481" s="16"/>
      <c r="V481" s="16">
        <f>M481*U481</f>
        <v>0</v>
      </c>
      <c r="W481" s="16">
        <f>T481-V481</f>
        <v>8000</v>
      </c>
      <c r="X481" s="18">
        <f>IF(T481&gt;0, W481/T481, 0)</f>
        <v>1</v>
      </c>
      <c r="Y481" s="9" t="s">
        <v>41</v>
      </c>
      <c r="Z481" s="11" t="s">
        <v>42</v>
      </c>
      <c r="AA481" s="11" t="s">
        <v>73</v>
      </c>
      <c r="AB481" s="11" t="s">
        <v>44</v>
      </c>
      <c r="AC481" s="9" t="s">
        <v>44</v>
      </c>
    </row>
    <row r="482" spans="1:29">
      <c r="A482" s="10">
        <v>475</v>
      </c>
      <c r="B482" s="10" t="s">
        <v>756</v>
      </c>
      <c r="C482" s="10" t="s">
        <v>748</v>
      </c>
      <c r="D482" s="10" t="s">
        <v>655</v>
      </c>
      <c r="E482" s="10" t="s">
        <v>34</v>
      </c>
      <c r="F482" s="10" t="s">
        <v>35</v>
      </c>
      <c r="G482" s="8" t="s">
        <v>52</v>
      </c>
      <c r="H482" s="8" t="s">
        <v>58</v>
      </c>
      <c r="I482" s="8" t="s">
        <v>58</v>
      </c>
      <c r="J482" s="10">
        <v>128</v>
      </c>
      <c r="K482" s="10" t="s">
        <v>580</v>
      </c>
      <c r="L482" s="10" t="s">
        <v>40</v>
      </c>
      <c r="M482" s="12">
        <v>1</v>
      </c>
      <c r="N482" s="15">
        <v>8000.0</v>
      </c>
      <c r="O482" s="15"/>
      <c r="P482" s="17">
        <f>IF(N482&gt;0, O482/N482, 0)</f>
        <v>0</v>
      </c>
      <c r="Q482" s="15">
        <f>N482-O482</f>
        <v>8000</v>
      </c>
      <c r="R482" s="15">
        <f>M482*N482</f>
        <v>8000</v>
      </c>
      <c r="S482" s="15">
        <f>M482*O482</f>
        <v>0</v>
      </c>
      <c r="T482" s="15">
        <f>M482*Q482</f>
        <v>8000</v>
      </c>
      <c r="U482" s="15"/>
      <c r="V482" s="15">
        <f>M482*U482</f>
        <v>0</v>
      </c>
      <c r="W482" s="15">
        <f>T482-V482</f>
        <v>8000</v>
      </c>
      <c r="X482" s="17">
        <f>IF(T482&gt;0, W482/T482, 0)</f>
        <v>1</v>
      </c>
      <c r="Y482" s="8" t="s">
        <v>41</v>
      </c>
      <c r="Z482" s="10" t="s">
        <v>42</v>
      </c>
      <c r="AA482" s="10" t="s">
        <v>43</v>
      </c>
      <c r="AB482" s="10" t="s">
        <v>44</v>
      </c>
      <c r="AC482" s="8" t="s">
        <v>44</v>
      </c>
    </row>
    <row r="483" spans="1:29">
      <c r="A483" s="11">
        <v>476</v>
      </c>
      <c r="B483" s="11" t="s">
        <v>757</v>
      </c>
      <c r="C483" s="11" t="s">
        <v>748</v>
      </c>
      <c r="D483" s="11" t="s">
        <v>655</v>
      </c>
      <c r="E483" s="11" t="s">
        <v>70</v>
      </c>
      <c r="F483" s="11" t="s">
        <v>35</v>
      </c>
      <c r="G483" s="9" t="s">
        <v>52</v>
      </c>
      <c r="H483" s="9" t="s">
        <v>37</v>
      </c>
      <c r="I483" s="9" t="s">
        <v>38</v>
      </c>
      <c r="J483" s="11">
        <v>146</v>
      </c>
      <c r="K483" s="11" t="s">
        <v>260</v>
      </c>
      <c r="L483" s="11" t="s">
        <v>55</v>
      </c>
      <c r="M483" s="13">
        <v>1</v>
      </c>
      <c r="N483" s="16">
        <v>7000.0</v>
      </c>
      <c r="O483" s="16"/>
      <c r="P483" s="18">
        <f>IF(N483&gt;0, O483/N483, 0)</f>
        <v>0</v>
      </c>
      <c r="Q483" s="16">
        <f>N483-O483</f>
        <v>7000</v>
      </c>
      <c r="R483" s="16">
        <f>M483*N483</f>
        <v>7000</v>
      </c>
      <c r="S483" s="16">
        <f>M483*O483</f>
        <v>0</v>
      </c>
      <c r="T483" s="16">
        <f>M483*Q483</f>
        <v>7000</v>
      </c>
      <c r="U483" s="16"/>
      <c r="V483" s="16">
        <f>M483*U483</f>
        <v>0</v>
      </c>
      <c r="W483" s="16">
        <f>T483-V483</f>
        <v>7000</v>
      </c>
      <c r="X483" s="18">
        <f>IF(T483&gt;0, W483/T483, 0)</f>
        <v>1</v>
      </c>
      <c r="Y483" s="9" t="s">
        <v>41</v>
      </c>
      <c r="Z483" s="11" t="s">
        <v>42</v>
      </c>
      <c r="AA483" s="11" t="s">
        <v>73</v>
      </c>
      <c r="AB483" s="11" t="s">
        <v>44</v>
      </c>
      <c r="AC483" s="9" t="s">
        <v>44</v>
      </c>
    </row>
    <row r="484" spans="1:29">
      <c r="A484" s="10">
        <v>477</v>
      </c>
      <c r="B484" s="10" t="s">
        <v>758</v>
      </c>
      <c r="C484" s="10" t="s">
        <v>748</v>
      </c>
      <c r="D484" s="10" t="s">
        <v>655</v>
      </c>
      <c r="E484" s="10" t="s">
        <v>34</v>
      </c>
      <c r="F484" s="10" t="s">
        <v>35</v>
      </c>
      <c r="G484" s="8" t="s">
        <v>52</v>
      </c>
      <c r="H484" s="8" t="s">
        <v>37</v>
      </c>
      <c r="I484" s="8" t="s">
        <v>38</v>
      </c>
      <c r="J484" s="10">
        <v>128</v>
      </c>
      <c r="K484" s="10" t="s">
        <v>159</v>
      </c>
      <c r="L484" s="10" t="s">
        <v>55</v>
      </c>
      <c r="M484" s="12">
        <v>1</v>
      </c>
      <c r="N484" s="15">
        <v>7000.0</v>
      </c>
      <c r="O484" s="15"/>
      <c r="P484" s="17">
        <f>IF(N484&gt;0, O484/N484, 0)</f>
        <v>0</v>
      </c>
      <c r="Q484" s="15">
        <f>N484-O484</f>
        <v>7000</v>
      </c>
      <c r="R484" s="15">
        <f>M484*N484</f>
        <v>7000</v>
      </c>
      <c r="S484" s="15">
        <f>M484*O484</f>
        <v>0</v>
      </c>
      <c r="T484" s="15">
        <f>M484*Q484</f>
        <v>7000</v>
      </c>
      <c r="U484" s="15"/>
      <c r="V484" s="15">
        <f>M484*U484</f>
        <v>0</v>
      </c>
      <c r="W484" s="15">
        <f>T484-V484</f>
        <v>7000</v>
      </c>
      <c r="X484" s="17">
        <f>IF(T484&gt;0, W484/T484, 0)</f>
        <v>1</v>
      </c>
      <c r="Y484" s="8" t="s">
        <v>41</v>
      </c>
      <c r="Z484" s="10" t="s">
        <v>42</v>
      </c>
      <c r="AA484" s="10" t="s">
        <v>43</v>
      </c>
      <c r="AB484" s="10" t="s">
        <v>44</v>
      </c>
      <c r="AC484" s="8" t="s">
        <v>44</v>
      </c>
    </row>
    <row r="485" spans="1:29">
      <c r="A485" s="11">
        <v>478</v>
      </c>
      <c r="B485" s="11" t="s">
        <v>759</v>
      </c>
      <c r="C485" s="11" t="s">
        <v>748</v>
      </c>
      <c r="D485" s="11" t="s">
        <v>655</v>
      </c>
      <c r="E485" s="11" t="s">
        <v>34</v>
      </c>
      <c r="F485" s="11" t="s">
        <v>35</v>
      </c>
      <c r="G485" s="9" t="s">
        <v>52</v>
      </c>
      <c r="H485" s="9" t="s">
        <v>58</v>
      </c>
      <c r="I485" s="9" t="s">
        <v>58</v>
      </c>
      <c r="J485" s="11">
        <v>152</v>
      </c>
      <c r="K485" s="11" t="s">
        <v>314</v>
      </c>
      <c r="L485" s="11" t="s">
        <v>40</v>
      </c>
      <c r="M485" s="13">
        <v>1</v>
      </c>
      <c r="N485" s="16">
        <v>7000.0</v>
      </c>
      <c r="O485" s="16"/>
      <c r="P485" s="18">
        <f>IF(N485&gt;0, O485/N485, 0)</f>
        <v>0</v>
      </c>
      <c r="Q485" s="16">
        <f>N485-O485</f>
        <v>7000</v>
      </c>
      <c r="R485" s="16">
        <f>M485*N485</f>
        <v>7000</v>
      </c>
      <c r="S485" s="16">
        <f>M485*O485</f>
        <v>0</v>
      </c>
      <c r="T485" s="16">
        <f>M485*Q485</f>
        <v>7000</v>
      </c>
      <c r="U485" s="16"/>
      <c r="V485" s="16">
        <f>M485*U485</f>
        <v>0</v>
      </c>
      <c r="W485" s="16">
        <f>T485-V485</f>
        <v>7000</v>
      </c>
      <c r="X485" s="18">
        <f>IF(T485&gt;0, W485/T485, 0)</f>
        <v>1</v>
      </c>
      <c r="Y485" s="9" t="s">
        <v>41</v>
      </c>
      <c r="Z485" s="11" t="s">
        <v>42</v>
      </c>
      <c r="AA485" s="11" t="s">
        <v>43</v>
      </c>
      <c r="AB485" s="11" t="s">
        <v>44</v>
      </c>
      <c r="AC485" s="9" t="s">
        <v>44</v>
      </c>
    </row>
    <row r="486" spans="1:29">
      <c r="A486" s="10">
        <v>479</v>
      </c>
      <c r="B486" s="10" t="s">
        <v>760</v>
      </c>
      <c r="C486" s="10" t="s">
        <v>748</v>
      </c>
      <c r="D486" s="10" t="s">
        <v>655</v>
      </c>
      <c r="E486" s="10" t="s">
        <v>34</v>
      </c>
      <c r="F486" s="10" t="s">
        <v>35</v>
      </c>
      <c r="G486" s="8" t="s">
        <v>52</v>
      </c>
      <c r="H486" s="8" t="s">
        <v>53</v>
      </c>
      <c r="I486" s="8" t="s">
        <v>53</v>
      </c>
      <c r="J486" s="10">
        <v>146</v>
      </c>
      <c r="K486" s="10" t="s">
        <v>257</v>
      </c>
      <c r="L486" s="10" t="s">
        <v>55</v>
      </c>
      <c r="M486" s="12">
        <v>1</v>
      </c>
      <c r="N486" s="15">
        <v>8000.0</v>
      </c>
      <c r="O486" s="15"/>
      <c r="P486" s="17">
        <f>IF(N486&gt;0, O486/N486, 0)</f>
        <v>0</v>
      </c>
      <c r="Q486" s="15">
        <f>N486-O486</f>
        <v>8000</v>
      </c>
      <c r="R486" s="15">
        <f>M486*N486</f>
        <v>8000</v>
      </c>
      <c r="S486" s="15">
        <f>M486*O486</f>
        <v>0</v>
      </c>
      <c r="T486" s="15">
        <f>M486*Q486</f>
        <v>8000</v>
      </c>
      <c r="U486" s="15"/>
      <c r="V486" s="15">
        <f>M486*U486</f>
        <v>0</v>
      </c>
      <c r="W486" s="15">
        <f>T486-V486</f>
        <v>8000</v>
      </c>
      <c r="X486" s="17">
        <f>IF(T486&gt;0, W486/T486, 0)</f>
        <v>1</v>
      </c>
      <c r="Y486" s="8" t="s">
        <v>41</v>
      </c>
      <c r="Z486" s="10" t="s">
        <v>42</v>
      </c>
      <c r="AA486" s="10" t="s">
        <v>43</v>
      </c>
      <c r="AB486" s="10" t="s">
        <v>44</v>
      </c>
      <c r="AC486" s="8" t="s">
        <v>44</v>
      </c>
    </row>
    <row r="487" spans="1:29">
      <c r="A487" s="11">
        <v>480</v>
      </c>
      <c r="B487" s="11" t="s">
        <v>761</v>
      </c>
      <c r="C487" s="11" t="s">
        <v>748</v>
      </c>
      <c r="D487" s="11" t="s">
        <v>655</v>
      </c>
      <c r="E487" s="11" t="s">
        <v>34</v>
      </c>
      <c r="F487" s="11" t="s">
        <v>35</v>
      </c>
      <c r="G487" s="9" t="s">
        <v>52</v>
      </c>
      <c r="H487" s="9" t="s">
        <v>53</v>
      </c>
      <c r="I487" s="9" t="s">
        <v>53</v>
      </c>
      <c r="J487" s="11">
        <v>128</v>
      </c>
      <c r="K487" s="11" t="s">
        <v>393</v>
      </c>
      <c r="L487" s="11" t="s">
        <v>55</v>
      </c>
      <c r="M487" s="13">
        <v>1</v>
      </c>
      <c r="N487" s="16">
        <v>8000.0</v>
      </c>
      <c r="O487" s="16"/>
      <c r="P487" s="18">
        <f>IF(N487&gt;0, O487/N487, 0)</f>
        <v>0</v>
      </c>
      <c r="Q487" s="16">
        <f>N487-O487</f>
        <v>8000</v>
      </c>
      <c r="R487" s="16">
        <f>M487*N487</f>
        <v>8000</v>
      </c>
      <c r="S487" s="16">
        <f>M487*O487</f>
        <v>0</v>
      </c>
      <c r="T487" s="16">
        <f>M487*Q487</f>
        <v>8000</v>
      </c>
      <c r="U487" s="16"/>
      <c r="V487" s="16">
        <f>M487*U487</f>
        <v>0</v>
      </c>
      <c r="W487" s="16">
        <f>T487-V487</f>
        <v>8000</v>
      </c>
      <c r="X487" s="18">
        <f>IF(T487&gt;0, W487/T487, 0)</f>
        <v>1</v>
      </c>
      <c r="Y487" s="9" t="s">
        <v>41</v>
      </c>
      <c r="Z487" s="11" t="s">
        <v>42</v>
      </c>
      <c r="AA487" s="11" t="s">
        <v>43</v>
      </c>
      <c r="AB487" s="11" t="s">
        <v>44</v>
      </c>
      <c r="AC487" s="9" t="s">
        <v>44</v>
      </c>
    </row>
    <row r="488" spans="1:29">
      <c r="A488" s="10">
        <v>481</v>
      </c>
      <c r="B488" s="10" t="s">
        <v>762</v>
      </c>
      <c r="C488" s="10" t="s">
        <v>763</v>
      </c>
      <c r="D488" s="10" t="s">
        <v>655</v>
      </c>
      <c r="E488" s="10" t="s">
        <v>34</v>
      </c>
      <c r="F488" s="10" t="s">
        <v>35</v>
      </c>
      <c r="G488" s="8" t="s">
        <v>52</v>
      </c>
      <c r="H488" s="8" t="s">
        <v>53</v>
      </c>
      <c r="I488" s="8" t="s">
        <v>53</v>
      </c>
      <c r="J488" s="10">
        <v>146</v>
      </c>
      <c r="K488" s="10" t="s">
        <v>257</v>
      </c>
      <c r="L488" s="10" t="s">
        <v>55</v>
      </c>
      <c r="M488" s="12">
        <v>1</v>
      </c>
      <c r="N488" s="15">
        <v>8000.0</v>
      </c>
      <c r="O488" s="15"/>
      <c r="P488" s="17">
        <f>IF(N488&gt;0, O488/N488, 0)</f>
        <v>0</v>
      </c>
      <c r="Q488" s="15">
        <f>N488-O488</f>
        <v>8000</v>
      </c>
      <c r="R488" s="15">
        <f>M488*N488</f>
        <v>8000</v>
      </c>
      <c r="S488" s="15">
        <f>M488*O488</f>
        <v>0</v>
      </c>
      <c r="T488" s="15">
        <f>M488*Q488</f>
        <v>8000</v>
      </c>
      <c r="U488" s="15"/>
      <c r="V488" s="15">
        <f>M488*U488</f>
        <v>0</v>
      </c>
      <c r="W488" s="15">
        <f>T488-V488</f>
        <v>8000</v>
      </c>
      <c r="X488" s="17">
        <f>IF(T488&gt;0, W488/T488, 0)</f>
        <v>1</v>
      </c>
      <c r="Y488" s="8" t="s">
        <v>41</v>
      </c>
      <c r="Z488" s="10" t="s">
        <v>42</v>
      </c>
      <c r="AA488" s="10" t="s">
        <v>43</v>
      </c>
      <c r="AB488" s="10" t="s">
        <v>44</v>
      </c>
      <c r="AC488" s="8" t="s">
        <v>44</v>
      </c>
    </row>
    <row r="489" spans="1:29">
      <c r="A489" s="11">
        <v>482</v>
      </c>
      <c r="B489" s="11" t="s">
        <v>764</v>
      </c>
      <c r="C489" s="11" t="s">
        <v>763</v>
      </c>
      <c r="D489" s="11" t="s">
        <v>655</v>
      </c>
      <c r="E489" s="11" t="s">
        <v>34</v>
      </c>
      <c r="F489" s="11" t="s">
        <v>35</v>
      </c>
      <c r="G489" s="9" t="s">
        <v>52</v>
      </c>
      <c r="H489" s="9" t="s">
        <v>53</v>
      </c>
      <c r="I489" s="9" t="s">
        <v>53</v>
      </c>
      <c r="J489" s="11">
        <v>134</v>
      </c>
      <c r="K489" s="11" t="s">
        <v>178</v>
      </c>
      <c r="L489" s="11" t="s">
        <v>55</v>
      </c>
      <c r="M489" s="13">
        <v>1</v>
      </c>
      <c r="N489" s="16">
        <v>8000.0</v>
      </c>
      <c r="O489" s="16"/>
      <c r="P489" s="18">
        <f>IF(N489&gt;0, O489/N489, 0)</f>
        <v>0</v>
      </c>
      <c r="Q489" s="16">
        <f>N489-O489</f>
        <v>8000</v>
      </c>
      <c r="R489" s="16">
        <f>M489*N489</f>
        <v>8000</v>
      </c>
      <c r="S489" s="16">
        <f>M489*O489</f>
        <v>0</v>
      </c>
      <c r="T489" s="16">
        <f>M489*Q489</f>
        <v>8000</v>
      </c>
      <c r="U489" s="16"/>
      <c r="V489" s="16">
        <f>M489*U489</f>
        <v>0</v>
      </c>
      <c r="W489" s="16">
        <f>T489-V489</f>
        <v>8000</v>
      </c>
      <c r="X489" s="18">
        <f>IF(T489&gt;0, W489/T489, 0)</f>
        <v>1</v>
      </c>
      <c r="Y489" s="9" t="s">
        <v>41</v>
      </c>
      <c r="Z489" s="11" t="s">
        <v>42</v>
      </c>
      <c r="AA489" s="11" t="s">
        <v>43</v>
      </c>
      <c r="AB489" s="11" t="s">
        <v>44</v>
      </c>
      <c r="AC489" s="9" t="s">
        <v>44</v>
      </c>
    </row>
    <row r="490" spans="1:29">
      <c r="A490" s="10">
        <v>483</v>
      </c>
      <c r="B490" s="10" t="s">
        <v>765</v>
      </c>
      <c r="C490" s="10" t="s">
        <v>763</v>
      </c>
      <c r="D490" s="10" t="s">
        <v>655</v>
      </c>
      <c r="E490" s="10" t="s">
        <v>34</v>
      </c>
      <c r="F490" s="10" t="s">
        <v>35</v>
      </c>
      <c r="G490" s="8" t="s">
        <v>52</v>
      </c>
      <c r="H490" s="8" t="s">
        <v>47</v>
      </c>
      <c r="I490" s="8" t="s">
        <v>48</v>
      </c>
      <c r="J490" s="10">
        <v>152</v>
      </c>
      <c r="K490" s="10" t="s">
        <v>414</v>
      </c>
      <c r="L490" s="10" t="s">
        <v>40</v>
      </c>
      <c r="M490" s="12">
        <v>1</v>
      </c>
      <c r="N490" s="15">
        <v>18000.0</v>
      </c>
      <c r="O490" s="15"/>
      <c r="P490" s="17">
        <f>IF(N490&gt;0, O490/N490, 0)</f>
        <v>0</v>
      </c>
      <c r="Q490" s="15">
        <f>N490-O490</f>
        <v>18000</v>
      </c>
      <c r="R490" s="15">
        <f>M490*N490</f>
        <v>18000</v>
      </c>
      <c r="S490" s="15">
        <f>M490*O490</f>
        <v>0</v>
      </c>
      <c r="T490" s="15">
        <f>M490*Q490</f>
        <v>18000</v>
      </c>
      <c r="U490" s="15"/>
      <c r="V490" s="15">
        <f>M490*U490</f>
        <v>0</v>
      </c>
      <c r="W490" s="15">
        <f>T490-V490</f>
        <v>18000</v>
      </c>
      <c r="X490" s="17">
        <f>IF(T490&gt;0, W490/T490, 0)</f>
        <v>1</v>
      </c>
      <c r="Y490" s="8" t="s">
        <v>41</v>
      </c>
      <c r="Z490" s="10" t="s">
        <v>42</v>
      </c>
      <c r="AA490" s="10" t="s">
        <v>43</v>
      </c>
      <c r="AB490" s="10" t="s">
        <v>44</v>
      </c>
      <c r="AC490" s="8" t="s">
        <v>44</v>
      </c>
    </row>
    <row r="491" spans="1:29">
      <c r="A491" s="11">
        <v>484</v>
      </c>
      <c r="B491" s="11" t="s">
        <v>766</v>
      </c>
      <c r="C491" s="11" t="s">
        <v>763</v>
      </c>
      <c r="D491" s="11" t="s">
        <v>655</v>
      </c>
      <c r="E491" s="11" t="s">
        <v>34</v>
      </c>
      <c r="F491" s="11" t="s">
        <v>35</v>
      </c>
      <c r="G491" s="9" t="s">
        <v>52</v>
      </c>
      <c r="H491" s="9" t="s">
        <v>47</v>
      </c>
      <c r="I491" s="9" t="s">
        <v>48</v>
      </c>
      <c r="J491" s="11">
        <v>140</v>
      </c>
      <c r="K491" s="11" t="s">
        <v>417</v>
      </c>
      <c r="L491" s="11" t="s">
        <v>40</v>
      </c>
      <c r="M491" s="13">
        <v>1</v>
      </c>
      <c r="N491" s="16">
        <v>18000.0</v>
      </c>
      <c r="O491" s="16"/>
      <c r="P491" s="18">
        <f>IF(N491&gt;0, O491/N491, 0)</f>
        <v>0</v>
      </c>
      <c r="Q491" s="16">
        <f>N491-O491</f>
        <v>18000</v>
      </c>
      <c r="R491" s="16">
        <f>M491*N491</f>
        <v>18000</v>
      </c>
      <c r="S491" s="16">
        <f>M491*O491</f>
        <v>0</v>
      </c>
      <c r="T491" s="16">
        <f>M491*Q491</f>
        <v>18000</v>
      </c>
      <c r="U491" s="16"/>
      <c r="V491" s="16">
        <f>M491*U491</f>
        <v>0</v>
      </c>
      <c r="W491" s="16">
        <f>T491-V491</f>
        <v>18000</v>
      </c>
      <c r="X491" s="18">
        <f>IF(T491&gt;0, W491/T491, 0)</f>
        <v>1</v>
      </c>
      <c r="Y491" s="9" t="s">
        <v>41</v>
      </c>
      <c r="Z491" s="11" t="s">
        <v>42</v>
      </c>
      <c r="AA491" s="11" t="s">
        <v>43</v>
      </c>
      <c r="AB491" s="11" t="s">
        <v>44</v>
      </c>
      <c r="AC491" s="9" t="s">
        <v>44</v>
      </c>
    </row>
    <row r="492" spans="1:29">
      <c r="A492" s="10">
        <v>485</v>
      </c>
      <c r="B492" s="10" t="s">
        <v>767</v>
      </c>
      <c r="C492" s="10" t="s">
        <v>763</v>
      </c>
      <c r="D492" s="10" t="s">
        <v>655</v>
      </c>
      <c r="E492" s="10" t="s">
        <v>34</v>
      </c>
      <c r="F492" s="10" t="s">
        <v>35</v>
      </c>
      <c r="G492" s="8" t="s">
        <v>36</v>
      </c>
      <c r="H492" s="8" t="s">
        <v>53</v>
      </c>
      <c r="I492" s="8" t="s">
        <v>53</v>
      </c>
      <c r="J492" s="10">
        <v>158</v>
      </c>
      <c r="K492" s="10" t="s">
        <v>124</v>
      </c>
      <c r="L492" s="10" t="s">
        <v>40</v>
      </c>
      <c r="M492" s="12">
        <v>1</v>
      </c>
      <c r="N492" s="15">
        <v>8500.0</v>
      </c>
      <c r="O492" s="15"/>
      <c r="P492" s="17">
        <f>IF(N492&gt;0, O492/N492, 0)</f>
        <v>0</v>
      </c>
      <c r="Q492" s="15">
        <f>N492-O492</f>
        <v>8500</v>
      </c>
      <c r="R492" s="15">
        <f>M492*N492</f>
        <v>8500</v>
      </c>
      <c r="S492" s="15">
        <f>M492*O492</f>
        <v>0</v>
      </c>
      <c r="T492" s="15">
        <f>M492*Q492</f>
        <v>8500</v>
      </c>
      <c r="U492" s="15"/>
      <c r="V492" s="15">
        <f>M492*U492</f>
        <v>0</v>
      </c>
      <c r="W492" s="15">
        <f>T492-V492</f>
        <v>8500</v>
      </c>
      <c r="X492" s="17">
        <f>IF(T492&gt;0, W492/T492, 0)</f>
        <v>1</v>
      </c>
      <c r="Y492" s="8" t="s">
        <v>41</v>
      </c>
      <c r="Z492" s="10" t="s">
        <v>42</v>
      </c>
      <c r="AA492" s="10" t="s">
        <v>43</v>
      </c>
      <c r="AB492" s="10" t="s">
        <v>44</v>
      </c>
      <c r="AC492" s="8" t="s">
        <v>44</v>
      </c>
    </row>
    <row r="493" spans="1:29">
      <c r="A493" s="11">
        <v>486</v>
      </c>
      <c r="B493" s="11" t="s">
        <v>768</v>
      </c>
      <c r="C493" s="11" t="s">
        <v>763</v>
      </c>
      <c r="D493" s="11" t="s">
        <v>655</v>
      </c>
      <c r="E493" s="11" t="s">
        <v>34</v>
      </c>
      <c r="F493" s="11" t="s">
        <v>35</v>
      </c>
      <c r="G493" s="9" t="s">
        <v>36</v>
      </c>
      <c r="H493" s="9" t="s">
        <v>53</v>
      </c>
      <c r="I493" s="9" t="s">
        <v>53</v>
      </c>
      <c r="J493" s="11">
        <v>164</v>
      </c>
      <c r="K493" s="11" t="s">
        <v>63</v>
      </c>
      <c r="L493" s="11" t="s">
        <v>40</v>
      </c>
      <c r="M493" s="13">
        <v>1</v>
      </c>
      <c r="N493" s="16">
        <v>8500.0</v>
      </c>
      <c r="O493" s="16"/>
      <c r="P493" s="18">
        <f>IF(N493&gt;0, O493/N493, 0)</f>
        <v>0</v>
      </c>
      <c r="Q493" s="16">
        <f>N493-O493</f>
        <v>8500</v>
      </c>
      <c r="R493" s="16">
        <f>M493*N493</f>
        <v>8500</v>
      </c>
      <c r="S493" s="16">
        <f>M493*O493</f>
        <v>0</v>
      </c>
      <c r="T493" s="16">
        <f>M493*Q493</f>
        <v>8500</v>
      </c>
      <c r="U493" s="16"/>
      <c r="V493" s="16">
        <f>M493*U493</f>
        <v>0</v>
      </c>
      <c r="W493" s="16">
        <f>T493-V493</f>
        <v>8500</v>
      </c>
      <c r="X493" s="18">
        <f>IF(T493&gt;0, W493/T493, 0)</f>
        <v>1</v>
      </c>
      <c r="Y493" s="9" t="s">
        <v>41</v>
      </c>
      <c r="Z493" s="11" t="s">
        <v>42</v>
      </c>
      <c r="AA493" s="11" t="s">
        <v>43</v>
      </c>
      <c r="AB493" s="11" t="s">
        <v>44</v>
      </c>
      <c r="AC493" s="9" t="s">
        <v>44</v>
      </c>
    </row>
    <row r="494" spans="1:29">
      <c r="A494" s="10">
        <v>487</v>
      </c>
      <c r="B494" s="10" t="s">
        <v>769</v>
      </c>
      <c r="C494" s="10" t="s">
        <v>763</v>
      </c>
      <c r="D494" s="10" t="s">
        <v>655</v>
      </c>
      <c r="E494" s="10" t="s">
        <v>34</v>
      </c>
      <c r="F494" s="10" t="s">
        <v>35</v>
      </c>
      <c r="G494" s="8" t="s">
        <v>52</v>
      </c>
      <c r="H494" s="8" t="s">
        <v>65</v>
      </c>
      <c r="I494" s="8" t="s">
        <v>151</v>
      </c>
      <c r="J494" s="10">
        <v>110</v>
      </c>
      <c r="K494" s="10" t="s">
        <v>231</v>
      </c>
      <c r="L494" s="10" t="s">
        <v>40</v>
      </c>
      <c r="M494" s="12">
        <v>1</v>
      </c>
      <c r="N494" s="15">
        <v>9000.0</v>
      </c>
      <c r="O494" s="15"/>
      <c r="P494" s="17">
        <f>IF(N494&gt;0, O494/N494, 0)</f>
        <v>0</v>
      </c>
      <c r="Q494" s="15">
        <f>N494-O494</f>
        <v>9000</v>
      </c>
      <c r="R494" s="15">
        <f>M494*N494</f>
        <v>9000</v>
      </c>
      <c r="S494" s="15">
        <f>M494*O494</f>
        <v>0</v>
      </c>
      <c r="T494" s="15">
        <f>M494*Q494</f>
        <v>9000</v>
      </c>
      <c r="U494" s="15"/>
      <c r="V494" s="15">
        <f>M494*U494</f>
        <v>0</v>
      </c>
      <c r="W494" s="15">
        <f>T494-V494</f>
        <v>9000</v>
      </c>
      <c r="X494" s="17">
        <f>IF(T494&gt;0, W494/T494, 0)</f>
        <v>1</v>
      </c>
      <c r="Y494" s="8" t="s">
        <v>41</v>
      </c>
      <c r="Z494" s="10" t="s">
        <v>42</v>
      </c>
      <c r="AA494" s="10" t="s">
        <v>43</v>
      </c>
      <c r="AB494" s="10" t="s">
        <v>44</v>
      </c>
      <c r="AC494" s="8" t="s">
        <v>44</v>
      </c>
    </row>
    <row r="495" spans="1:29">
      <c r="A495" s="11">
        <v>488</v>
      </c>
      <c r="B495" s="11" t="s">
        <v>770</v>
      </c>
      <c r="C495" s="11" t="s">
        <v>763</v>
      </c>
      <c r="D495" s="11" t="s">
        <v>655</v>
      </c>
      <c r="E495" s="11" t="s">
        <v>34</v>
      </c>
      <c r="F495" s="11" t="s">
        <v>35</v>
      </c>
      <c r="G495" s="9" t="s">
        <v>52</v>
      </c>
      <c r="H495" s="9" t="s">
        <v>53</v>
      </c>
      <c r="I495" s="9" t="s">
        <v>53</v>
      </c>
      <c r="J495" s="11">
        <v>110</v>
      </c>
      <c r="K495" s="11" t="s">
        <v>233</v>
      </c>
      <c r="L495" s="11" t="s">
        <v>55</v>
      </c>
      <c r="M495" s="13">
        <v>1</v>
      </c>
      <c r="N495" s="16">
        <v>8000.0</v>
      </c>
      <c r="O495" s="16"/>
      <c r="P495" s="18">
        <f>IF(N495&gt;0, O495/N495, 0)</f>
        <v>0</v>
      </c>
      <c r="Q495" s="16">
        <f>N495-O495</f>
        <v>8000</v>
      </c>
      <c r="R495" s="16">
        <f>M495*N495</f>
        <v>8000</v>
      </c>
      <c r="S495" s="16">
        <f>M495*O495</f>
        <v>0</v>
      </c>
      <c r="T495" s="16">
        <f>M495*Q495</f>
        <v>8000</v>
      </c>
      <c r="U495" s="16"/>
      <c r="V495" s="16">
        <f>M495*U495</f>
        <v>0</v>
      </c>
      <c r="W495" s="16">
        <f>T495-V495</f>
        <v>8000</v>
      </c>
      <c r="X495" s="18">
        <f>IF(T495&gt;0, W495/T495, 0)</f>
        <v>1</v>
      </c>
      <c r="Y495" s="9" t="s">
        <v>41</v>
      </c>
      <c r="Z495" s="11" t="s">
        <v>42</v>
      </c>
      <c r="AA495" s="11" t="s">
        <v>43</v>
      </c>
      <c r="AB495" s="11" t="s">
        <v>44</v>
      </c>
      <c r="AC495" s="9" t="s">
        <v>44</v>
      </c>
    </row>
    <row r="496" spans="1:29">
      <c r="A496" s="10">
        <v>489</v>
      </c>
      <c r="B496" s="10" t="s">
        <v>771</v>
      </c>
      <c r="C496" s="10" t="s">
        <v>763</v>
      </c>
      <c r="D496" s="10" t="s">
        <v>655</v>
      </c>
      <c r="E496" s="10" t="s">
        <v>34</v>
      </c>
      <c r="F496" s="10" t="s">
        <v>35</v>
      </c>
      <c r="G496" s="8" t="s">
        <v>52</v>
      </c>
      <c r="H496" s="8" t="s">
        <v>71</v>
      </c>
      <c r="I496" s="8" t="s">
        <v>71</v>
      </c>
      <c r="J496" s="10">
        <v>110</v>
      </c>
      <c r="K496" s="10" t="s">
        <v>772</v>
      </c>
      <c r="L496" s="10" t="s">
        <v>40</v>
      </c>
      <c r="M496" s="12">
        <v>1</v>
      </c>
      <c r="N496" s="15">
        <v>16000.0</v>
      </c>
      <c r="O496" s="15"/>
      <c r="P496" s="17">
        <f>IF(N496&gt;0, O496/N496, 0)</f>
        <v>0</v>
      </c>
      <c r="Q496" s="15">
        <f>N496-O496</f>
        <v>16000</v>
      </c>
      <c r="R496" s="15">
        <f>M496*N496</f>
        <v>16000</v>
      </c>
      <c r="S496" s="15">
        <f>M496*O496</f>
        <v>0</v>
      </c>
      <c r="T496" s="15">
        <f>M496*Q496</f>
        <v>16000</v>
      </c>
      <c r="U496" s="15"/>
      <c r="V496" s="15">
        <f>M496*U496</f>
        <v>0</v>
      </c>
      <c r="W496" s="15">
        <f>T496-V496</f>
        <v>16000</v>
      </c>
      <c r="X496" s="17">
        <f>IF(T496&gt;0, W496/T496, 0)</f>
        <v>1</v>
      </c>
      <c r="Y496" s="8" t="s">
        <v>41</v>
      </c>
      <c r="Z496" s="10" t="s">
        <v>42</v>
      </c>
      <c r="AA496" s="10" t="s">
        <v>43</v>
      </c>
      <c r="AB496" s="10" t="s">
        <v>44</v>
      </c>
      <c r="AC496" s="8" t="s">
        <v>44</v>
      </c>
    </row>
    <row r="497" spans="1:29">
      <c r="A497" s="11">
        <v>490</v>
      </c>
      <c r="B497" s="11" t="s">
        <v>773</v>
      </c>
      <c r="C497" s="11" t="s">
        <v>763</v>
      </c>
      <c r="D497" s="11" t="s">
        <v>655</v>
      </c>
      <c r="E497" s="11" t="s">
        <v>34</v>
      </c>
      <c r="F497" s="11" t="s">
        <v>35</v>
      </c>
      <c r="G497" s="9" t="s">
        <v>52</v>
      </c>
      <c r="H497" s="9" t="s">
        <v>47</v>
      </c>
      <c r="I497" s="9" t="s">
        <v>48</v>
      </c>
      <c r="J497" s="11">
        <v>110</v>
      </c>
      <c r="K497" s="11" t="s">
        <v>774</v>
      </c>
      <c r="L497" s="11" t="s">
        <v>40</v>
      </c>
      <c r="M497" s="13">
        <v>1</v>
      </c>
      <c r="N497" s="16">
        <v>18000.0</v>
      </c>
      <c r="O497" s="16"/>
      <c r="P497" s="18">
        <f>IF(N497&gt;0, O497/N497, 0)</f>
        <v>0</v>
      </c>
      <c r="Q497" s="16">
        <f>N497-O497</f>
        <v>18000</v>
      </c>
      <c r="R497" s="16">
        <f>M497*N497</f>
        <v>18000</v>
      </c>
      <c r="S497" s="16">
        <f>M497*O497</f>
        <v>0</v>
      </c>
      <c r="T497" s="16">
        <f>M497*Q497</f>
        <v>18000</v>
      </c>
      <c r="U497" s="16"/>
      <c r="V497" s="16">
        <f>M497*U497</f>
        <v>0</v>
      </c>
      <c r="W497" s="16">
        <f>T497-V497</f>
        <v>18000</v>
      </c>
      <c r="X497" s="18">
        <f>IF(T497&gt;0, W497/T497, 0)</f>
        <v>1</v>
      </c>
      <c r="Y497" s="9" t="s">
        <v>41</v>
      </c>
      <c r="Z497" s="11" t="s">
        <v>42</v>
      </c>
      <c r="AA497" s="11" t="s">
        <v>43</v>
      </c>
      <c r="AB497" s="11" t="s">
        <v>44</v>
      </c>
      <c r="AC497" s="9" t="s">
        <v>44</v>
      </c>
    </row>
    <row r="498" spans="1:29">
      <c r="A498" s="10">
        <v>491</v>
      </c>
      <c r="B498" s="10" t="s">
        <v>775</v>
      </c>
      <c r="C498" s="10" t="s">
        <v>763</v>
      </c>
      <c r="D498" s="10" t="s">
        <v>655</v>
      </c>
      <c r="E498" s="10" t="s">
        <v>34</v>
      </c>
      <c r="F498" s="10" t="s">
        <v>35</v>
      </c>
      <c r="G498" s="8" t="s">
        <v>52</v>
      </c>
      <c r="H498" s="8" t="s">
        <v>37</v>
      </c>
      <c r="I498" s="8" t="s">
        <v>75</v>
      </c>
      <c r="J498" s="10">
        <v>110</v>
      </c>
      <c r="K498" s="10" t="s">
        <v>776</v>
      </c>
      <c r="L498" s="10" t="s">
        <v>55</v>
      </c>
      <c r="M498" s="12">
        <v>1</v>
      </c>
      <c r="N498" s="15">
        <v>8000.0</v>
      </c>
      <c r="O498" s="15"/>
      <c r="P498" s="17">
        <f>IF(N498&gt;0, O498/N498, 0)</f>
        <v>0</v>
      </c>
      <c r="Q498" s="15">
        <f>N498-O498</f>
        <v>8000</v>
      </c>
      <c r="R498" s="15">
        <f>M498*N498</f>
        <v>8000</v>
      </c>
      <c r="S498" s="15">
        <f>M498*O498</f>
        <v>0</v>
      </c>
      <c r="T498" s="15">
        <f>M498*Q498</f>
        <v>8000</v>
      </c>
      <c r="U498" s="15"/>
      <c r="V498" s="15">
        <f>M498*U498</f>
        <v>0</v>
      </c>
      <c r="W498" s="15">
        <f>T498-V498</f>
        <v>8000</v>
      </c>
      <c r="X498" s="17">
        <f>IF(T498&gt;0, W498/T498, 0)</f>
        <v>1</v>
      </c>
      <c r="Y498" s="8" t="s">
        <v>41</v>
      </c>
      <c r="Z498" s="10" t="s">
        <v>42</v>
      </c>
      <c r="AA498" s="10" t="s">
        <v>43</v>
      </c>
      <c r="AB498" s="10" t="s">
        <v>44</v>
      </c>
      <c r="AC498" s="8" t="s">
        <v>44</v>
      </c>
    </row>
    <row r="499" spans="1:29">
      <c r="A499" s="11">
        <v>492</v>
      </c>
      <c r="B499" s="11" t="s">
        <v>777</v>
      </c>
      <c r="C499" s="11" t="s">
        <v>763</v>
      </c>
      <c r="D499" s="11" t="s">
        <v>655</v>
      </c>
      <c r="E499" s="11" t="s">
        <v>34</v>
      </c>
      <c r="F499" s="11" t="s">
        <v>35</v>
      </c>
      <c r="G499" s="9" t="s">
        <v>52</v>
      </c>
      <c r="H499" s="9" t="s">
        <v>47</v>
      </c>
      <c r="I499" s="9" t="s">
        <v>48</v>
      </c>
      <c r="J499" s="11">
        <v>122</v>
      </c>
      <c r="K499" s="11" t="s">
        <v>479</v>
      </c>
      <c r="L499" s="11" t="s">
        <v>40</v>
      </c>
      <c r="M499" s="13">
        <v>1</v>
      </c>
      <c r="N499" s="16">
        <v>18000.0</v>
      </c>
      <c r="O499" s="16"/>
      <c r="P499" s="18">
        <f>IF(N499&gt;0, O499/N499, 0)</f>
        <v>0</v>
      </c>
      <c r="Q499" s="16">
        <f>N499-O499</f>
        <v>18000</v>
      </c>
      <c r="R499" s="16">
        <f>M499*N499</f>
        <v>18000</v>
      </c>
      <c r="S499" s="16">
        <f>M499*O499</f>
        <v>0</v>
      </c>
      <c r="T499" s="16">
        <f>M499*Q499</f>
        <v>18000</v>
      </c>
      <c r="U499" s="16"/>
      <c r="V499" s="16">
        <f>M499*U499</f>
        <v>0</v>
      </c>
      <c r="W499" s="16">
        <f>T499-V499</f>
        <v>18000</v>
      </c>
      <c r="X499" s="18">
        <f>IF(T499&gt;0, W499/T499, 0)</f>
        <v>1</v>
      </c>
      <c r="Y499" s="9" t="s">
        <v>41</v>
      </c>
      <c r="Z499" s="11" t="s">
        <v>42</v>
      </c>
      <c r="AA499" s="11" t="s">
        <v>43</v>
      </c>
      <c r="AB499" s="11" t="s">
        <v>44</v>
      </c>
      <c r="AC499" s="9" t="s">
        <v>44</v>
      </c>
    </row>
    <row r="500" spans="1:29">
      <c r="A500" s="10">
        <v>493</v>
      </c>
      <c r="B500" s="10" t="s">
        <v>778</v>
      </c>
      <c r="C500" s="10" t="s">
        <v>763</v>
      </c>
      <c r="D500" s="10" t="s">
        <v>655</v>
      </c>
      <c r="E500" s="10" t="s">
        <v>34</v>
      </c>
      <c r="F500" s="10" t="s">
        <v>35</v>
      </c>
      <c r="G500" s="8" t="s">
        <v>36</v>
      </c>
      <c r="H500" s="8" t="s">
        <v>47</v>
      </c>
      <c r="I500" s="8" t="s">
        <v>48</v>
      </c>
      <c r="J500" s="10">
        <v>170</v>
      </c>
      <c r="K500" s="10" t="s">
        <v>184</v>
      </c>
      <c r="L500" s="10" t="s">
        <v>40</v>
      </c>
      <c r="M500" s="12">
        <v>1</v>
      </c>
      <c r="N500" s="15">
        <v>18000.0</v>
      </c>
      <c r="O500" s="15"/>
      <c r="P500" s="17">
        <f>IF(N500&gt;0, O500/N500, 0)</f>
        <v>0</v>
      </c>
      <c r="Q500" s="15">
        <f>N500-O500</f>
        <v>18000</v>
      </c>
      <c r="R500" s="15">
        <f>M500*N500</f>
        <v>18000</v>
      </c>
      <c r="S500" s="15">
        <f>M500*O500</f>
        <v>0</v>
      </c>
      <c r="T500" s="15">
        <f>M500*Q500</f>
        <v>18000</v>
      </c>
      <c r="U500" s="15"/>
      <c r="V500" s="15">
        <f>M500*U500</f>
        <v>0</v>
      </c>
      <c r="W500" s="15">
        <f>T500-V500</f>
        <v>18000</v>
      </c>
      <c r="X500" s="17">
        <f>IF(T500&gt;0, W500/T500, 0)</f>
        <v>1</v>
      </c>
      <c r="Y500" s="8" t="s">
        <v>41</v>
      </c>
      <c r="Z500" s="10" t="s">
        <v>42</v>
      </c>
      <c r="AA500" s="10" t="s">
        <v>43</v>
      </c>
      <c r="AB500" s="10" t="s">
        <v>44</v>
      </c>
      <c r="AC500" s="8" t="s">
        <v>44</v>
      </c>
    </row>
    <row r="501" spans="1:29">
      <c r="A501" s="11">
        <v>494</v>
      </c>
      <c r="B501" s="11" t="s">
        <v>779</v>
      </c>
      <c r="C501" s="11" t="s">
        <v>763</v>
      </c>
      <c r="D501" s="11" t="s">
        <v>655</v>
      </c>
      <c r="E501" s="11" t="s">
        <v>34</v>
      </c>
      <c r="F501" s="11" t="s">
        <v>35</v>
      </c>
      <c r="G501" s="9" t="s">
        <v>36</v>
      </c>
      <c r="H501" s="9" t="s">
        <v>53</v>
      </c>
      <c r="I501" s="9" t="s">
        <v>53</v>
      </c>
      <c r="J501" s="11">
        <v>194</v>
      </c>
      <c r="K501" s="11" t="s">
        <v>737</v>
      </c>
      <c r="L501" s="11" t="s">
        <v>40</v>
      </c>
      <c r="M501" s="13">
        <v>1</v>
      </c>
      <c r="N501" s="16">
        <v>8500.0</v>
      </c>
      <c r="O501" s="16"/>
      <c r="P501" s="18">
        <f>IF(N501&gt;0, O501/N501, 0)</f>
        <v>0</v>
      </c>
      <c r="Q501" s="16">
        <f>N501-O501</f>
        <v>8500</v>
      </c>
      <c r="R501" s="16">
        <f>M501*N501</f>
        <v>8500</v>
      </c>
      <c r="S501" s="16">
        <f>M501*O501</f>
        <v>0</v>
      </c>
      <c r="T501" s="16">
        <f>M501*Q501</f>
        <v>8500</v>
      </c>
      <c r="U501" s="16"/>
      <c r="V501" s="16">
        <f>M501*U501</f>
        <v>0</v>
      </c>
      <c r="W501" s="16">
        <f>T501-V501</f>
        <v>8500</v>
      </c>
      <c r="X501" s="18">
        <f>IF(T501&gt;0, W501/T501, 0)</f>
        <v>1</v>
      </c>
      <c r="Y501" s="9" t="s">
        <v>41</v>
      </c>
      <c r="Z501" s="11" t="s">
        <v>42</v>
      </c>
      <c r="AA501" s="11" t="s">
        <v>43</v>
      </c>
      <c r="AB501" s="11" t="s">
        <v>44</v>
      </c>
      <c r="AC501" s="9" t="s">
        <v>44</v>
      </c>
    </row>
    <row r="502" spans="1:29">
      <c r="A502" s="10">
        <v>495</v>
      </c>
      <c r="B502" s="10" t="s">
        <v>780</v>
      </c>
      <c r="C502" s="10" t="s">
        <v>763</v>
      </c>
      <c r="D502" s="10" t="s">
        <v>655</v>
      </c>
      <c r="E502" s="10" t="s">
        <v>34</v>
      </c>
      <c r="F502" s="10" t="s">
        <v>35</v>
      </c>
      <c r="G502" s="8" t="s">
        <v>36</v>
      </c>
      <c r="H502" s="8" t="s">
        <v>65</v>
      </c>
      <c r="I502" s="8" t="s">
        <v>151</v>
      </c>
      <c r="J502" s="10">
        <v>188</v>
      </c>
      <c r="K502" s="10" t="s">
        <v>172</v>
      </c>
      <c r="L502" s="10" t="s">
        <v>40</v>
      </c>
      <c r="M502" s="12">
        <v>1</v>
      </c>
      <c r="N502" s="15">
        <v>9500.0</v>
      </c>
      <c r="O502" s="15"/>
      <c r="P502" s="17">
        <f>IF(N502&gt;0, O502/N502, 0)</f>
        <v>0</v>
      </c>
      <c r="Q502" s="15">
        <f>N502-O502</f>
        <v>9500</v>
      </c>
      <c r="R502" s="15">
        <f>M502*N502</f>
        <v>9500</v>
      </c>
      <c r="S502" s="15">
        <f>M502*O502</f>
        <v>0</v>
      </c>
      <c r="T502" s="15">
        <f>M502*Q502</f>
        <v>9500</v>
      </c>
      <c r="U502" s="15"/>
      <c r="V502" s="15">
        <f>M502*U502</f>
        <v>0</v>
      </c>
      <c r="W502" s="15">
        <f>T502-V502</f>
        <v>9500</v>
      </c>
      <c r="X502" s="17">
        <f>IF(T502&gt;0, W502/T502, 0)</f>
        <v>1</v>
      </c>
      <c r="Y502" s="8" t="s">
        <v>41</v>
      </c>
      <c r="Z502" s="10" t="s">
        <v>42</v>
      </c>
      <c r="AA502" s="10" t="s">
        <v>43</v>
      </c>
      <c r="AB502" s="10" t="s">
        <v>44</v>
      </c>
      <c r="AC502" s="8" t="s">
        <v>44</v>
      </c>
    </row>
    <row r="503" spans="1:29">
      <c r="A503" s="11">
        <v>496</v>
      </c>
      <c r="B503" s="11" t="s">
        <v>781</v>
      </c>
      <c r="C503" s="11" t="s">
        <v>763</v>
      </c>
      <c r="D503" s="11" t="s">
        <v>655</v>
      </c>
      <c r="E503" s="11" t="s">
        <v>34</v>
      </c>
      <c r="F503" s="11" t="s">
        <v>35</v>
      </c>
      <c r="G503" s="9" t="s">
        <v>36</v>
      </c>
      <c r="H503" s="9" t="s">
        <v>37</v>
      </c>
      <c r="I503" s="9" t="s">
        <v>38</v>
      </c>
      <c r="J503" s="11">
        <v>182</v>
      </c>
      <c r="K503" s="11" t="s">
        <v>338</v>
      </c>
      <c r="L503" s="11" t="s">
        <v>40</v>
      </c>
      <c r="M503" s="13">
        <v>2</v>
      </c>
      <c r="N503" s="16">
        <v>8000.0</v>
      </c>
      <c r="O503" s="16"/>
      <c r="P503" s="18">
        <f>IF(N503&gt;0, O503/N503, 0)</f>
        <v>0</v>
      </c>
      <c r="Q503" s="16">
        <f>N503-O503</f>
        <v>8000</v>
      </c>
      <c r="R503" s="16">
        <f>M503*N503</f>
        <v>16000</v>
      </c>
      <c r="S503" s="16">
        <f>M503*O503</f>
        <v>0</v>
      </c>
      <c r="T503" s="16">
        <f>M503*Q503</f>
        <v>16000</v>
      </c>
      <c r="U503" s="16"/>
      <c r="V503" s="16">
        <f>M503*U503</f>
        <v>0</v>
      </c>
      <c r="W503" s="16">
        <f>T503-V503</f>
        <v>16000</v>
      </c>
      <c r="X503" s="18">
        <f>IF(T503&gt;0, W503/T503, 0)</f>
        <v>1</v>
      </c>
      <c r="Y503" s="9" t="s">
        <v>41</v>
      </c>
      <c r="Z503" s="11" t="s">
        <v>42</v>
      </c>
      <c r="AA503" s="11" t="s">
        <v>43</v>
      </c>
      <c r="AB503" s="11" t="s">
        <v>44</v>
      </c>
      <c r="AC503" s="9" t="s">
        <v>44</v>
      </c>
    </row>
    <row r="504" spans="1:29">
      <c r="A504" s="10">
        <v>497</v>
      </c>
      <c r="B504" s="10" t="s">
        <v>782</v>
      </c>
      <c r="C504" s="10" t="s">
        <v>763</v>
      </c>
      <c r="D504" s="10" t="s">
        <v>655</v>
      </c>
      <c r="E504" s="10" t="s">
        <v>34</v>
      </c>
      <c r="F504" s="10" t="s">
        <v>35</v>
      </c>
      <c r="G504" s="8" t="s">
        <v>36</v>
      </c>
      <c r="H504" s="8" t="s">
        <v>71</v>
      </c>
      <c r="I504" s="8" t="s">
        <v>71</v>
      </c>
      <c r="J504" s="10">
        <v>182</v>
      </c>
      <c r="K504" s="10" t="s">
        <v>425</v>
      </c>
      <c r="L504" s="10" t="s">
        <v>40</v>
      </c>
      <c r="M504" s="12">
        <v>1</v>
      </c>
      <c r="N504" s="15">
        <v>16500.0</v>
      </c>
      <c r="O504" s="15"/>
      <c r="P504" s="17">
        <f>IF(N504&gt;0, O504/N504, 0)</f>
        <v>0</v>
      </c>
      <c r="Q504" s="15">
        <f>N504-O504</f>
        <v>16500</v>
      </c>
      <c r="R504" s="15">
        <f>M504*N504</f>
        <v>16500</v>
      </c>
      <c r="S504" s="15">
        <f>M504*O504</f>
        <v>0</v>
      </c>
      <c r="T504" s="15">
        <f>M504*Q504</f>
        <v>16500</v>
      </c>
      <c r="U504" s="15"/>
      <c r="V504" s="15">
        <f>M504*U504</f>
        <v>0</v>
      </c>
      <c r="W504" s="15">
        <f>T504-V504</f>
        <v>16500</v>
      </c>
      <c r="X504" s="17">
        <f>IF(T504&gt;0, W504/T504, 0)</f>
        <v>1</v>
      </c>
      <c r="Y504" s="8" t="s">
        <v>41</v>
      </c>
      <c r="Z504" s="10" t="s">
        <v>42</v>
      </c>
      <c r="AA504" s="10" t="s">
        <v>43</v>
      </c>
      <c r="AB504" s="10" t="s">
        <v>44</v>
      </c>
      <c r="AC504" s="8" t="s">
        <v>44</v>
      </c>
    </row>
    <row r="505" spans="1:29">
      <c r="A505" s="11">
        <v>498</v>
      </c>
      <c r="B505" s="11" t="s">
        <v>783</v>
      </c>
      <c r="C505" s="11" t="s">
        <v>763</v>
      </c>
      <c r="D505" s="11" t="s">
        <v>655</v>
      </c>
      <c r="E505" s="11" t="s">
        <v>70</v>
      </c>
      <c r="F505" s="11" t="s">
        <v>35</v>
      </c>
      <c r="G505" s="9" t="s">
        <v>36</v>
      </c>
      <c r="H505" s="9" t="s">
        <v>53</v>
      </c>
      <c r="I505" s="9" t="s">
        <v>53</v>
      </c>
      <c r="J505" s="11">
        <v>194</v>
      </c>
      <c r="K505" s="11" t="s">
        <v>737</v>
      </c>
      <c r="L505" s="11" t="s">
        <v>40</v>
      </c>
      <c r="M505" s="13">
        <v>1</v>
      </c>
      <c r="N505" s="16">
        <v>10000.0</v>
      </c>
      <c r="O505" s="16"/>
      <c r="P505" s="18">
        <f>IF(N505&gt;0, O505/N505, 0)</f>
        <v>0</v>
      </c>
      <c r="Q505" s="16">
        <f>N505-O505</f>
        <v>10000</v>
      </c>
      <c r="R505" s="16">
        <f>M505*N505</f>
        <v>10000</v>
      </c>
      <c r="S505" s="16">
        <f>M505*O505</f>
        <v>0</v>
      </c>
      <c r="T505" s="16">
        <f>M505*Q505</f>
        <v>10000</v>
      </c>
      <c r="U505" s="16"/>
      <c r="V505" s="16">
        <f>M505*U505</f>
        <v>0</v>
      </c>
      <c r="W505" s="16">
        <f>T505-V505</f>
        <v>10000</v>
      </c>
      <c r="X505" s="18">
        <f>IF(T505&gt;0, W505/T505, 0)</f>
        <v>1</v>
      </c>
      <c r="Y505" s="9" t="s">
        <v>41</v>
      </c>
      <c r="Z505" s="11" t="s">
        <v>42</v>
      </c>
      <c r="AA505" s="11" t="s">
        <v>73</v>
      </c>
      <c r="AB505" s="11" t="s">
        <v>44</v>
      </c>
      <c r="AC505" s="9" t="s">
        <v>44</v>
      </c>
    </row>
    <row r="506" spans="1:29">
      <c r="A506" s="10">
        <v>499</v>
      </c>
      <c r="B506" s="10" t="s">
        <v>784</v>
      </c>
      <c r="C506" s="10" t="s">
        <v>763</v>
      </c>
      <c r="D506" s="10" t="s">
        <v>655</v>
      </c>
      <c r="E506" s="10" t="s">
        <v>34</v>
      </c>
      <c r="F506" s="10" t="s">
        <v>35</v>
      </c>
      <c r="G506" s="8" t="s">
        <v>36</v>
      </c>
      <c r="H506" s="8" t="s">
        <v>47</v>
      </c>
      <c r="I506" s="8" t="s">
        <v>48</v>
      </c>
      <c r="J506" s="10">
        <v>188</v>
      </c>
      <c r="K506" s="10" t="s">
        <v>515</v>
      </c>
      <c r="L506" s="10" t="s">
        <v>40</v>
      </c>
      <c r="M506" s="12">
        <v>1</v>
      </c>
      <c r="N506" s="15">
        <v>18000.0</v>
      </c>
      <c r="O506" s="15"/>
      <c r="P506" s="17">
        <f>IF(N506&gt;0, O506/N506, 0)</f>
        <v>0</v>
      </c>
      <c r="Q506" s="15">
        <f>N506-O506</f>
        <v>18000</v>
      </c>
      <c r="R506" s="15">
        <f>M506*N506</f>
        <v>18000</v>
      </c>
      <c r="S506" s="15">
        <f>M506*O506</f>
        <v>0</v>
      </c>
      <c r="T506" s="15">
        <f>M506*Q506</f>
        <v>18000</v>
      </c>
      <c r="U506" s="15"/>
      <c r="V506" s="15">
        <f>M506*U506</f>
        <v>0</v>
      </c>
      <c r="W506" s="15">
        <f>T506-V506</f>
        <v>18000</v>
      </c>
      <c r="X506" s="17">
        <f>IF(T506&gt;0, W506/T506, 0)</f>
        <v>1</v>
      </c>
      <c r="Y506" s="8" t="s">
        <v>41</v>
      </c>
      <c r="Z506" s="10" t="s">
        <v>42</v>
      </c>
      <c r="AA506" s="10" t="s">
        <v>43</v>
      </c>
      <c r="AB506" s="10" t="s">
        <v>44</v>
      </c>
      <c r="AC506" s="8" t="s">
        <v>44</v>
      </c>
    </row>
    <row r="507" spans="1:29">
      <c r="A507" s="11">
        <v>500</v>
      </c>
      <c r="B507" s="11" t="s">
        <v>785</v>
      </c>
      <c r="C507" s="11" t="s">
        <v>763</v>
      </c>
      <c r="D507" s="11" t="s">
        <v>655</v>
      </c>
      <c r="E507" s="11" t="s">
        <v>34</v>
      </c>
      <c r="F507" s="11" t="s">
        <v>35</v>
      </c>
      <c r="G507" s="9" t="s">
        <v>36</v>
      </c>
      <c r="H507" s="9" t="s">
        <v>65</v>
      </c>
      <c r="I507" s="9" t="s">
        <v>151</v>
      </c>
      <c r="J507" s="11">
        <v>182</v>
      </c>
      <c r="K507" s="11" t="s">
        <v>742</v>
      </c>
      <c r="L507" s="11" t="s">
        <v>40</v>
      </c>
      <c r="M507" s="13">
        <v>2</v>
      </c>
      <c r="N507" s="16">
        <v>9500.0</v>
      </c>
      <c r="O507" s="16"/>
      <c r="P507" s="18">
        <f>IF(N507&gt;0, O507/N507, 0)</f>
        <v>0</v>
      </c>
      <c r="Q507" s="16">
        <f>N507-O507</f>
        <v>9500</v>
      </c>
      <c r="R507" s="16">
        <f>M507*N507</f>
        <v>19000</v>
      </c>
      <c r="S507" s="16">
        <f>M507*O507</f>
        <v>0</v>
      </c>
      <c r="T507" s="16">
        <f>M507*Q507</f>
        <v>19000</v>
      </c>
      <c r="U507" s="16"/>
      <c r="V507" s="16">
        <f>M507*U507</f>
        <v>0</v>
      </c>
      <c r="W507" s="16">
        <f>T507-V507</f>
        <v>19000</v>
      </c>
      <c r="X507" s="18">
        <f>IF(T507&gt;0, W507/T507, 0)</f>
        <v>1</v>
      </c>
      <c r="Y507" s="9" t="s">
        <v>41</v>
      </c>
      <c r="Z507" s="11" t="s">
        <v>42</v>
      </c>
      <c r="AA507" s="11" t="s">
        <v>43</v>
      </c>
      <c r="AB507" s="11" t="s">
        <v>44</v>
      </c>
      <c r="AC507" s="9" t="s">
        <v>44</v>
      </c>
    </row>
    <row r="508" spans="1:29">
      <c r="A508" s="10">
        <v>501</v>
      </c>
      <c r="B508" s="10" t="s">
        <v>786</v>
      </c>
      <c r="C508" s="10" t="s">
        <v>763</v>
      </c>
      <c r="D508" s="10" t="s">
        <v>655</v>
      </c>
      <c r="E508" s="10" t="s">
        <v>34</v>
      </c>
      <c r="F508" s="10" t="s">
        <v>35</v>
      </c>
      <c r="G508" s="8" t="s">
        <v>36</v>
      </c>
      <c r="H508" s="8" t="s">
        <v>53</v>
      </c>
      <c r="I508" s="8" t="s">
        <v>53</v>
      </c>
      <c r="J508" s="10">
        <v>194</v>
      </c>
      <c r="K508" s="10" t="s">
        <v>737</v>
      </c>
      <c r="L508" s="10" t="s">
        <v>40</v>
      </c>
      <c r="M508" s="12">
        <v>1</v>
      </c>
      <c r="N508" s="15">
        <v>8500.0</v>
      </c>
      <c r="O508" s="15"/>
      <c r="P508" s="17">
        <f>IF(N508&gt;0, O508/N508, 0)</f>
        <v>0</v>
      </c>
      <c r="Q508" s="15">
        <f>N508-O508</f>
        <v>8500</v>
      </c>
      <c r="R508" s="15">
        <f>M508*N508</f>
        <v>8500</v>
      </c>
      <c r="S508" s="15">
        <f>M508*O508</f>
        <v>0</v>
      </c>
      <c r="T508" s="15">
        <f>M508*Q508</f>
        <v>8500</v>
      </c>
      <c r="U508" s="15"/>
      <c r="V508" s="15">
        <f>M508*U508</f>
        <v>0</v>
      </c>
      <c r="W508" s="15">
        <f>T508-V508</f>
        <v>8500</v>
      </c>
      <c r="X508" s="17">
        <f>IF(T508&gt;0, W508/T508, 0)</f>
        <v>1</v>
      </c>
      <c r="Y508" s="8" t="s">
        <v>41</v>
      </c>
      <c r="Z508" s="10" t="s">
        <v>42</v>
      </c>
      <c r="AA508" s="10" t="s">
        <v>43</v>
      </c>
      <c r="AB508" s="10" t="s">
        <v>44</v>
      </c>
      <c r="AC508" s="8" t="s">
        <v>44</v>
      </c>
    </row>
    <row r="509" spans="1:29">
      <c r="A509" s="11">
        <v>502</v>
      </c>
      <c r="B509" s="11" t="s">
        <v>787</v>
      </c>
      <c r="C509" s="11" t="s">
        <v>763</v>
      </c>
      <c r="D509" s="11" t="s">
        <v>655</v>
      </c>
      <c r="E509" s="11" t="s">
        <v>34</v>
      </c>
      <c r="F509" s="11" t="s">
        <v>35</v>
      </c>
      <c r="G509" s="9" t="s">
        <v>36</v>
      </c>
      <c r="H509" s="9" t="s">
        <v>71</v>
      </c>
      <c r="I509" s="9" t="s">
        <v>71</v>
      </c>
      <c r="J509" s="11">
        <v>182</v>
      </c>
      <c r="K509" s="11" t="s">
        <v>425</v>
      </c>
      <c r="L509" s="11" t="s">
        <v>40</v>
      </c>
      <c r="M509" s="13">
        <v>1</v>
      </c>
      <c r="N509" s="16">
        <v>16500.0</v>
      </c>
      <c r="O509" s="16"/>
      <c r="P509" s="18">
        <f>IF(N509&gt;0, O509/N509, 0)</f>
        <v>0</v>
      </c>
      <c r="Q509" s="16">
        <f>N509-O509</f>
        <v>16500</v>
      </c>
      <c r="R509" s="16">
        <f>M509*N509</f>
        <v>16500</v>
      </c>
      <c r="S509" s="16">
        <f>M509*O509</f>
        <v>0</v>
      </c>
      <c r="T509" s="16">
        <f>M509*Q509</f>
        <v>16500</v>
      </c>
      <c r="U509" s="16"/>
      <c r="V509" s="16">
        <f>M509*U509</f>
        <v>0</v>
      </c>
      <c r="W509" s="16">
        <f>T509-V509</f>
        <v>16500</v>
      </c>
      <c r="X509" s="18">
        <f>IF(T509&gt;0, W509/T509, 0)</f>
        <v>1</v>
      </c>
      <c r="Y509" s="9" t="s">
        <v>41</v>
      </c>
      <c r="Z509" s="11" t="s">
        <v>42</v>
      </c>
      <c r="AA509" s="11" t="s">
        <v>43</v>
      </c>
      <c r="AB509" s="11" t="s">
        <v>44</v>
      </c>
      <c r="AC509" s="9" t="s">
        <v>44</v>
      </c>
    </row>
    <row r="510" spans="1:29">
      <c r="A510" s="10">
        <v>503</v>
      </c>
      <c r="B510" s="10" t="s">
        <v>788</v>
      </c>
      <c r="C510" s="10" t="s">
        <v>763</v>
      </c>
      <c r="D510" s="10" t="s">
        <v>655</v>
      </c>
      <c r="E510" s="10" t="s">
        <v>34</v>
      </c>
      <c r="F510" s="10" t="s">
        <v>35</v>
      </c>
      <c r="G510" s="8" t="s">
        <v>36</v>
      </c>
      <c r="H510" s="8" t="s">
        <v>37</v>
      </c>
      <c r="I510" s="8" t="s">
        <v>38</v>
      </c>
      <c r="J510" s="10">
        <v>182</v>
      </c>
      <c r="K510" s="10" t="s">
        <v>338</v>
      </c>
      <c r="L510" s="10" t="s">
        <v>40</v>
      </c>
      <c r="M510" s="12">
        <v>2</v>
      </c>
      <c r="N510" s="15">
        <v>8000.0</v>
      </c>
      <c r="O510" s="15"/>
      <c r="P510" s="17">
        <f>IF(N510&gt;0, O510/N510, 0)</f>
        <v>0</v>
      </c>
      <c r="Q510" s="15">
        <f>N510-O510</f>
        <v>8000</v>
      </c>
      <c r="R510" s="15">
        <f>M510*N510</f>
        <v>16000</v>
      </c>
      <c r="S510" s="15">
        <f>M510*O510</f>
        <v>0</v>
      </c>
      <c r="T510" s="15">
        <f>M510*Q510</f>
        <v>16000</v>
      </c>
      <c r="U510" s="15"/>
      <c r="V510" s="15">
        <f>M510*U510</f>
        <v>0</v>
      </c>
      <c r="W510" s="15">
        <f>T510-V510</f>
        <v>16000</v>
      </c>
      <c r="X510" s="17">
        <f>IF(T510&gt;0, W510/T510, 0)</f>
        <v>1</v>
      </c>
      <c r="Y510" s="8" t="s">
        <v>41</v>
      </c>
      <c r="Z510" s="10" t="s">
        <v>42</v>
      </c>
      <c r="AA510" s="10" t="s">
        <v>43</v>
      </c>
      <c r="AB510" s="10" t="s">
        <v>44</v>
      </c>
      <c r="AC510" s="8" t="s">
        <v>44</v>
      </c>
    </row>
    <row r="511" spans="1:29">
      <c r="A511" s="11">
        <v>504</v>
      </c>
      <c r="B511" s="11" t="s">
        <v>789</v>
      </c>
      <c r="C511" s="11" t="s">
        <v>763</v>
      </c>
      <c r="D511" s="11" t="s">
        <v>655</v>
      </c>
      <c r="E511" s="11" t="s">
        <v>34</v>
      </c>
      <c r="F511" s="11" t="s">
        <v>35</v>
      </c>
      <c r="G511" s="9" t="s">
        <v>36</v>
      </c>
      <c r="H511" s="9" t="s">
        <v>37</v>
      </c>
      <c r="I511" s="9" t="s">
        <v>75</v>
      </c>
      <c r="J511" s="11">
        <v>182</v>
      </c>
      <c r="K511" s="11" t="s">
        <v>357</v>
      </c>
      <c r="L511" s="11" t="s">
        <v>40</v>
      </c>
      <c r="M511" s="13">
        <v>2</v>
      </c>
      <c r="N511" s="16">
        <v>9000.0</v>
      </c>
      <c r="O511" s="16"/>
      <c r="P511" s="18">
        <f>IF(N511&gt;0, O511/N511, 0)</f>
        <v>0</v>
      </c>
      <c r="Q511" s="16">
        <f>N511-O511</f>
        <v>9000</v>
      </c>
      <c r="R511" s="16">
        <f>M511*N511</f>
        <v>18000</v>
      </c>
      <c r="S511" s="16">
        <f>M511*O511</f>
        <v>0</v>
      </c>
      <c r="T511" s="16">
        <f>M511*Q511</f>
        <v>18000</v>
      </c>
      <c r="U511" s="16"/>
      <c r="V511" s="16">
        <f>M511*U511</f>
        <v>0</v>
      </c>
      <c r="W511" s="16">
        <f>T511-V511</f>
        <v>18000</v>
      </c>
      <c r="X511" s="18">
        <f>IF(T511&gt;0, W511/T511, 0)</f>
        <v>1</v>
      </c>
      <c r="Y511" s="9" t="s">
        <v>41</v>
      </c>
      <c r="Z511" s="11" t="s">
        <v>42</v>
      </c>
      <c r="AA511" s="11" t="s">
        <v>43</v>
      </c>
      <c r="AB511" s="11" t="s">
        <v>44</v>
      </c>
      <c r="AC511" s="9" t="s">
        <v>44</v>
      </c>
    </row>
    <row r="512" spans="1:29">
      <c r="A512" s="10">
        <v>505</v>
      </c>
      <c r="B512" s="10" t="s">
        <v>790</v>
      </c>
      <c r="C512" s="10" t="s">
        <v>763</v>
      </c>
      <c r="D512" s="10" t="s">
        <v>655</v>
      </c>
      <c r="E512" s="10" t="s">
        <v>34</v>
      </c>
      <c r="F512" s="10" t="s">
        <v>35</v>
      </c>
      <c r="G512" s="8" t="s">
        <v>52</v>
      </c>
      <c r="H512" s="8" t="s">
        <v>47</v>
      </c>
      <c r="I512" s="8" t="s">
        <v>48</v>
      </c>
      <c r="J512" s="10">
        <v>170</v>
      </c>
      <c r="K512" s="10" t="s">
        <v>791</v>
      </c>
      <c r="L512" s="10" t="s">
        <v>40</v>
      </c>
      <c r="M512" s="12">
        <v>1</v>
      </c>
      <c r="N512" s="15">
        <v>18000.0</v>
      </c>
      <c r="O512" s="15"/>
      <c r="P512" s="17">
        <f>IF(N512&gt;0, O512/N512, 0)</f>
        <v>0</v>
      </c>
      <c r="Q512" s="15">
        <f>N512-O512</f>
        <v>18000</v>
      </c>
      <c r="R512" s="15">
        <f>M512*N512</f>
        <v>18000</v>
      </c>
      <c r="S512" s="15">
        <f>M512*O512</f>
        <v>0</v>
      </c>
      <c r="T512" s="15">
        <f>M512*Q512</f>
        <v>18000</v>
      </c>
      <c r="U512" s="15"/>
      <c r="V512" s="15">
        <f>M512*U512</f>
        <v>0</v>
      </c>
      <c r="W512" s="15">
        <f>T512-V512</f>
        <v>18000</v>
      </c>
      <c r="X512" s="17">
        <f>IF(T512&gt;0, W512/T512, 0)</f>
        <v>1</v>
      </c>
      <c r="Y512" s="8" t="s">
        <v>41</v>
      </c>
      <c r="Z512" s="10" t="s">
        <v>42</v>
      </c>
      <c r="AA512" s="10" t="s">
        <v>43</v>
      </c>
      <c r="AB512" s="10" t="s">
        <v>44</v>
      </c>
      <c r="AC512" s="8" t="s">
        <v>44</v>
      </c>
    </row>
    <row r="513" spans="1:29">
      <c r="A513" s="11">
        <v>506</v>
      </c>
      <c r="B513" s="11" t="s">
        <v>792</v>
      </c>
      <c r="C513" s="11" t="s">
        <v>763</v>
      </c>
      <c r="D513" s="11" t="s">
        <v>655</v>
      </c>
      <c r="E513" s="11" t="s">
        <v>34</v>
      </c>
      <c r="F513" s="11" t="s">
        <v>35</v>
      </c>
      <c r="G513" s="9" t="s">
        <v>52</v>
      </c>
      <c r="H513" s="9" t="s">
        <v>65</v>
      </c>
      <c r="I513" s="9" t="s">
        <v>151</v>
      </c>
      <c r="J513" s="11">
        <v>176</v>
      </c>
      <c r="K513" s="11" t="s">
        <v>793</v>
      </c>
      <c r="L513" s="11" t="s">
        <v>40</v>
      </c>
      <c r="M513" s="13">
        <v>1</v>
      </c>
      <c r="N513" s="16">
        <v>9000.0</v>
      </c>
      <c r="O513" s="16"/>
      <c r="P513" s="18">
        <f>IF(N513&gt;0, O513/N513, 0)</f>
        <v>0</v>
      </c>
      <c r="Q513" s="16">
        <f>N513-O513</f>
        <v>9000</v>
      </c>
      <c r="R513" s="16">
        <f>M513*N513</f>
        <v>9000</v>
      </c>
      <c r="S513" s="16">
        <f>M513*O513</f>
        <v>0</v>
      </c>
      <c r="T513" s="16">
        <f>M513*Q513</f>
        <v>9000</v>
      </c>
      <c r="U513" s="16"/>
      <c r="V513" s="16">
        <f>M513*U513</f>
        <v>0</v>
      </c>
      <c r="W513" s="16">
        <f>T513-V513</f>
        <v>9000</v>
      </c>
      <c r="X513" s="18">
        <f>IF(T513&gt;0, W513/T513, 0)</f>
        <v>1</v>
      </c>
      <c r="Y513" s="9" t="s">
        <v>41</v>
      </c>
      <c r="Z513" s="11" t="s">
        <v>42</v>
      </c>
      <c r="AA513" s="11" t="s">
        <v>43</v>
      </c>
      <c r="AB513" s="11" t="s">
        <v>44</v>
      </c>
      <c r="AC513" s="9" t="s">
        <v>44</v>
      </c>
    </row>
    <row r="514" spans="1:29">
      <c r="A514" s="10">
        <v>507</v>
      </c>
      <c r="B514" s="10" t="s">
        <v>794</v>
      </c>
      <c r="C514" s="10" t="s">
        <v>763</v>
      </c>
      <c r="D514" s="10" t="s">
        <v>655</v>
      </c>
      <c r="E514" s="10" t="s">
        <v>34</v>
      </c>
      <c r="F514" s="10" t="s">
        <v>35</v>
      </c>
      <c r="G514" s="8" t="s">
        <v>52</v>
      </c>
      <c r="H514" s="8" t="s">
        <v>58</v>
      </c>
      <c r="I514" s="8" t="s">
        <v>58</v>
      </c>
      <c r="J514" s="10">
        <v>158</v>
      </c>
      <c r="K514" s="10" t="s">
        <v>795</v>
      </c>
      <c r="L514" s="10" t="s">
        <v>40</v>
      </c>
      <c r="M514" s="12">
        <v>1</v>
      </c>
      <c r="N514" s="15">
        <v>7000.0</v>
      </c>
      <c r="O514" s="15"/>
      <c r="P514" s="17">
        <f>IF(N514&gt;0, O514/N514, 0)</f>
        <v>0</v>
      </c>
      <c r="Q514" s="15">
        <f>N514-O514</f>
        <v>7000</v>
      </c>
      <c r="R514" s="15">
        <f>M514*N514</f>
        <v>7000</v>
      </c>
      <c r="S514" s="15">
        <f>M514*O514</f>
        <v>0</v>
      </c>
      <c r="T514" s="15">
        <f>M514*Q514</f>
        <v>7000</v>
      </c>
      <c r="U514" s="15"/>
      <c r="V514" s="15">
        <f>M514*U514</f>
        <v>0</v>
      </c>
      <c r="W514" s="15">
        <f>T514-V514</f>
        <v>7000</v>
      </c>
      <c r="X514" s="17">
        <f>IF(T514&gt;0, W514/T514, 0)</f>
        <v>1</v>
      </c>
      <c r="Y514" s="8" t="s">
        <v>41</v>
      </c>
      <c r="Z514" s="10" t="s">
        <v>42</v>
      </c>
      <c r="AA514" s="10" t="s">
        <v>43</v>
      </c>
      <c r="AB514" s="10" t="s">
        <v>44</v>
      </c>
      <c r="AC514" s="8" t="s">
        <v>44</v>
      </c>
    </row>
    <row r="515" spans="1:29">
      <c r="A515" s="11">
        <v>508</v>
      </c>
      <c r="B515" s="11" t="s">
        <v>796</v>
      </c>
      <c r="C515" s="11" t="s">
        <v>763</v>
      </c>
      <c r="D515" s="11" t="s">
        <v>655</v>
      </c>
      <c r="E515" s="11" t="s">
        <v>34</v>
      </c>
      <c r="F515" s="11" t="s">
        <v>35</v>
      </c>
      <c r="G515" s="9" t="s">
        <v>52</v>
      </c>
      <c r="H515" s="9" t="s">
        <v>37</v>
      </c>
      <c r="I515" s="9" t="s">
        <v>38</v>
      </c>
      <c r="J515" s="11">
        <v>170</v>
      </c>
      <c r="K515" s="11" t="s">
        <v>645</v>
      </c>
      <c r="L515" s="11" t="s">
        <v>55</v>
      </c>
      <c r="M515" s="13">
        <v>1</v>
      </c>
      <c r="N515" s="16">
        <v>7000.0</v>
      </c>
      <c r="O515" s="16"/>
      <c r="P515" s="18">
        <f>IF(N515&gt;0, O515/N515, 0)</f>
        <v>0</v>
      </c>
      <c r="Q515" s="16">
        <f>N515-O515</f>
        <v>7000</v>
      </c>
      <c r="R515" s="16">
        <f>M515*N515</f>
        <v>7000</v>
      </c>
      <c r="S515" s="16">
        <f>M515*O515</f>
        <v>0</v>
      </c>
      <c r="T515" s="16">
        <f>M515*Q515</f>
        <v>7000</v>
      </c>
      <c r="U515" s="16"/>
      <c r="V515" s="16">
        <f>M515*U515</f>
        <v>0</v>
      </c>
      <c r="W515" s="16">
        <f>T515-V515</f>
        <v>7000</v>
      </c>
      <c r="X515" s="18">
        <f>IF(T515&gt;0, W515/T515, 0)</f>
        <v>1</v>
      </c>
      <c r="Y515" s="9" t="s">
        <v>41</v>
      </c>
      <c r="Z515" s="11" t="s">
        <v>42</v>
      </c>
      <c r="AA515" s="11" t="s">
        <v>43</v>
      </c>
      <c r="AB515" s="11" t="s">
        <v>44</v>
      </c>
      <c r="AC515" s="9" t="s">
        <v>44</v>
      </c>
    </row>
    <row r="516" spans="1:29">
      <c r="A516" s="10">
        <v>509</v>
      </c>
      <c r="B516" s="10" t="s">
        <v>797</v>
      </c>
      <c r="C516" s="10" t="s">
        <v>763</v>
      </c>
      <c r="D516" s="10" t="s">
        <v>655</v>
      </c>
      <c r="E516" s="10" t="s">
        <v>34</v>
      </c>
      <c r="F516" s="10" t="s">
        <v>35</v>
      </c>
      <c r="G516" s="8" t="s">
        <v>52</v>
      </c>
      <c r="H516" s="8" t="s">
        <v>37</v>
      </c>
      <c r="I516" s="8" t="s">
        <v>75</v>
      </c>
      <c r="J516" s="10">
        <v>164</v>
      </c>
      <c r="K516" s="10" t="s">
        <v>190</v>
      </c>
      <c r="L516" s="10" t="s">
        <v>55</v>
      </c>
      <c r="M516" s="12">
        <v>2</v>
      </c>
      <c r="N516" s="15">
        <v>8000.0</v>
      </c>
      <c r="O516" s="15"/>
      <c r="P516" s="17">
        <f>IF(N516&gt;0, O516/N516, 0)</f>
        <v>0</v>
      </c>
      <c r="Q516" s="15">
        <f>N516-O516</f>
        <v>8000</v>
      </c>
      <c r="R516" s="15">
        <f>M516*N516</f>
        <v>16000</v>
      </c>
      <c r="S516" s="15">
        <f>M516*O516</f>
        <v>0</v>
      </c>
      <c r="T516" s="15">
        <f>M516*Q516</f>
        <v>16000</v>
      </c>
      <c r="U516" s="15"/>
      <c r="V516" s="15">
        <f>M516*U516</f>
        <v>0</v>
      </c>
      <c r="W516" s="15">
        <f>T516-V516</f>
        <v>16000</v>
      </c>
      <c r="X516" s="17">
        <f>IF(T516&gt;0, W516/T516, 0)</f>
        <v>1</v>
      </c>
      <c r="Y516" s="8" t="s">
        <v>41</v>
      </c>
      <c r="Z516" s="10" t="s">
        <v>42</v>
      </c>
      <c r="AA516" s="10" t="s">
        <v>43</v>
      </c>
      <c r="AB516" s="10" t="s">
        <v>44</v>
      </c>
      <c r="AC516" s="8" t="s">
        <v>44</v>
      </c>
    </row>
    <row r="517" spans="1:29">
      <c r="A517" s="11">
        <v>510</v>
      </c>
      <c r="B517" s="11" t="s">
        <v>798</v>
      </c>
      <c r="C517" s="11" t="s">
        <v>763</v>
      </c>
      <c r="D517" s="11" t="s">
        <v>655</v>
      </c>
      <c r="E517" s="11" t="s">
        <v>34</v>
      </c>
      <c r="F517" s="11" t="s">
        <v>35</v>
      </c>
      <c r="G517" s="9" t="s">
        <v>52</v>
      </c>
      <c r="H517" s="9" t="s">
        <v>37</v>
      </c>
      <c r="I517" s="9" t="s">
        <v>75</v>
      </c>
      <c r="J517" s="11">
        <v>152</v>
      </c>
      <c r="K517" s="11" t="s">
        <v>608</v>
      </c>
      <c r="L517" s="11" t="s">
        <v>55</v>
      </c>
      <c r="M517" s="13">
        <v>2</v>
      </c>
      <c r="N517" s="16">
        <v>8000.0</v>
      </c>
      <c r="O517" s="16"/>
      <c r="P517" s="18">
        <f>IF(N517&gt;0, O517/N517, 0)</f>
        <v>0</v>
      </c>
      <c r="Q517" s="16">
        <f>N517-O517</f>
        <v>8000</v>
      </c>
      <c r="R517" s="16">
        <f>M517*N517</f>
        <v>16000</v>
      </c>
      <c r="S517" s="16">
        <f>M517*O517</f>
        <v>0</v>
      </c>
      <c r="T517" s="16">
        <f>M517*Q517</f>
        <v>16000</v>
      </c>
      <c r="U517" s="16"/>
      <c r="V517" s="16">
        <f>M517*U517</f>
        <v>0</v>
      </c>
      <c r="W517" s="16">
        <f>T517-V517</f>
        <v>16000</v>
      </c>
      <c r="X517" s="18">
        <f>IF(T517&gt;0, W517/T517, 0)</f>
        <v>1</v>
      </c>
      <c r="Y517" s="9" t="s">
        <v>41</v>
      </c>
      <c r="Z517" s="11" t="s">
        <v>42</v>
      </c>
      <c r="AA517" s="11" t="s">
        <v>43</v>
      </c>
      <c r="AB517" s="11" t="s">
        <v>44</v>
      </c>
      <c r="AC517" s="9" t="s">
        <v>44</v>
      </c>
    </row>
    <row r="518" spans="1:29">
      <c r="A518" s="10">
        <v>511</v>
      </c>
      <c r="B518" s="10" t="s">
        <v>799</v>
      </c>
      <c r="C518" s="10" t="s">
        <v>763</v>
      </c>
      <c r="D518" s="10" t="s">
        <v>655</v>
      </c>
      <c r="E518" s="10" t="s">
        <v>34</v>
      </c>
      <c r="F518" s="10" t="s">
        <v>35</v>
      </c>
      <c r="G518" s="8" t="s">
        <v>52</v>
      </c>
      <c r="H518" s="8" t="s">
        <v>37</v>
      </c>
      <c r="I518" s="8" t="s">
        <v>75</v>
      </c>
      <c r="J518" s="10">
        <v>140</v>
      </c>
      <c r="K518" s="10" t="s">
        <v>573</v>
      </c>
      <c r="L518" s="10" t="s">
        <v>55</v>
      </c>
      <c r="M518" s="12">
        <v>2</v>
      </c>
      <c r="N518" s="15">
        <v>8000.0</v>
      </c>
      <c r="O518" s="15"/>
      <c r="P518" s="17">
        <f>IF(N518&gt;0, O518/N518, 0)</f>
        <v>0</v>
      </c>
      <c r="Q518" s="15">
        <f>N518-O518</f>
        <v>8000</v>
      </c>
      <c r="R518" s="15">
        <f>M518*N518</f>
        <v>16000</v>
      </c>
      <c r="S518" s="15">
        <f>M518*O518</f>
        <v>0</v>
      </c>
      <c r="T518" s="15">
        <f>M518*Q518</f>
        <v>16000</v>
      </c>
      <c r="U518" s="15"/>
      <c r="V518" s="15">
        <f>M518*U518</f>
        <v>0</v>
      </c>
      <c r="W518" s="15">
        <f>T518-V518</f>
        <v>16000</v>
      </c>
      <c r="X518" s="17">
        <f>IF(T518&gt;0, W518/T518, 0)</f>
        <v>1</v>
      </c>
      <c r="Y518" s="8" t="s">
        <v>41</v>
      </c>
      <c r="Z518" s="10" t="s">
        <v>42</v>
      </c>
      <c r="AA518" s="10" t="s">
        <v>43</v>
      </c>
      <c r="AB518" s="10" t="s">
        <v>44</v>
      </c>
      <c r="AC518" s="8" t="s">
        <v>44</v>
      </c>
    </row>
    <row r="519" spans="1:29">
      <c r="A519" s="11">
        <v>512</v>
      </c>
      <c r="B519" s="11" t="s">
        <v>800</v>
      </c>
      <c r="C519" s="11" t="s">
        <v>763</v>
      </c>
      <c r="D519" s="11" t="s">
        <v>655</v>
      </c>
      <c r="E519" s="11" t="s">
        <v>34</v>
      </c>
      <c r="F519" s="11" t="s">
        <v>35</v>
      </c>
      <c r="G519" s="9" t="s">
        <v>52</v>
      </c>
      <c r="H519" s="9" t="s">
        <v>37</v>
      </c>
      <c r="I519" s="9" t="s">
        <v>38</v>
      </c>
      <c r="J519" s="11">
        <v>152</v>
      </c>
      <c r="K519" s="11" t="s">
        <v>154</v>
      </c>
      <c r="L519" s="11" t="s">
        <v>55</v>
      </c>
      <c r="M519" s="13">
        <v>1</v>
      </c>
      <c r="N519" s="16">
        <v>7000.0</v>
      </c>
      <c r="O519" s="16"/>
      <c r="P519" s="18">
        <f>IF(N519&gt;0, O519/N519, 0)</f>
        <v>0</v>
      </c>
      <c r="Q519" s="16">
        <f>N519-O519</f>
        <v>7000</v>
      </c>
      <c r="R519" s="16">
        <f>M519*N519</f>
        <v>7000</v>
      </c>
      <c r="S519" s="16">
        <f>M519*O519</f>
        <v>0</v>
      </c>
      <c r="T519" s="16">
        <f>M519*Q519</f>
        <v>7000</v>
      </c>
      <c r="U519" s="16"/>
      <c r="V519" s="16">
        <f>M519*U519</f>
        <v>0</v>
      </c>
      <c r="W519" s="16">
        <f>T519-V519</f>
        <v>7000</v>
      </c>
      <c r="X519" s="18">
        <f>IF(T519&gt;0, W519/T519, 0)</f>
        <v>1</v>
      </c>
      <c r="Y519" s="9" t="s">
        <v>41</v>
      </c>
      <c r="Z519" s="11" t="s">
        <v>42</v>
      </c>
      <c r="AA519" s="11" t="s">
        <v>43</v>
      </c>
      <c r="AB519" s="11" t="s">
        <v>44</v>
      </c>
      <c r="AC519" s="9" t="s">
        <v>44</v>
      </c>
    </row>
    <row r="520" spans="1:29">
      <c r="A520" s="10">
        <v>513</v>
      </c>
      <c r="B520" s="10" t="s">
        <v>801</v>
      </c>
      <c r="C520" s="10" t="s">
        <v>763</v>
      </c>
      <c r="D520" s="10" t="s">
        <v>655</v>
      </c>
      <c r="E520" s="10" t="s">
        <v>34</v>
      </c>
      <c r="F520" s="10" t="s">
        <v>35</v>
      </c>
      <c r="G520" s="8" t="s">
        <v>52</v>
      </c>
      <c r="H520" s="8" t="s">
        <v>37</v>
      </c>
      <c r="I520" s="8" t="s">
        <v>38</v>
      </c>
      <c r="J520" s="10">
        <v>140</v>
      </c>
      <c r="K520" s="10" t="s">
        <v>226</v>
      </c>
      <c r="L520" s="10" t="s">
        <v>55</v>
      </c>
      <c r="M520" s="12">
        <v>1</v>
      </c>
      <c r="N520" s="15">
        <v>7000.0</v>
      </c>
      <c r="O520" s="15"/>
      <c r="P520" s="17">
        <f>IF(N520&gt;0, O520/N520, 0)</f>
        <v>0</v>
      </c>
      <c r="Q520" s="15">
        <f>N520-O520</f>
        <v>7000</v>
      </c>
      <c r="R520" s="15">
        <f>M520*N520</f>
        <v>7000</v>
      </c>
      <c r="S520" s="15">
        <f>M520*O520</f>
        <v>0</v>
      </c>
      <c r="T520" s="15">
        <f>M520*Q520</f>
        <v>7000</v>
      </c>
      <c r="U520" s="15"/>
      <c r="V520" s="15">
        <f>M520*U520</f>
        <v>0</v>
      </c>
      <c r="W520" s="15">
        <f>T520-V520</f>
        <v>7000</v>
      </c>
      <c r="X520" s="17">
        <f>IF(T520&gt;0, W520/T520, 0)</f>
        <v>1</v>
      </c>
      <c r="Y520" s="8" t="s">
        <v>41</v>
      </c>
      <c r="Z520" s="10" t="s">
        <v>42</v>
      </c>
      <c r="AA520" s="10" t="s">
        <v>43</v>
      </c>
      <c r="AB520" s="10" t="s">
        <v>44</v>
      </c>
      <c r="AC520" s="8" t="s">
        <v>44</v>
      </c>
    </row>
    <row r="521" spans="1:29">
      <c r="A521" s="11">
        <v>514</v>
      </c>
      <c r="B521" s="11" t="s">
        <v>802</v>
      </c>
      <c r="C521" s="11" t="s">
        <v>803</v>
      </c>
      <c r="D521" s="11" t="s">
        <v>655</v>
      </c>
      <c r="E521" s="11" t="s">
        <v>34</v>
      </c>
      <c r="F521" s="11" t="s">
        <v>35</v>
      </c>
      <c r="G521" s="9" t="s">
        <v>36</v>
      </c>
      <c r="H521" s="9" t="s">
        <v>47</v>
      </c>
      <c r="I521" s="9" t="s">
        <v>48</v>
      </c>
      <c r="J521" s="11">
        <v>164</v>
      </c>
      <c r="K521" s="11" t="s">
        <v>321</v>
      </c>
      <c r="L521" s="11" t="s">
        <v>40</v>
      </c>
      <c r="M521" s="13">
        <v>1</v>
      </c>
      <c r="N521" s="16">
        <v>18000.0</v>
      </c>
      <c r="O521" s="16"/>
      <c r="P521" s="18">
        <f>IF(N521&gt;0, O521/N521, 0)</f>
        <v>0</v>
      </c>
      <c r="Q521" s="16">
        <f>N521-O521</f>
        <v>18000</v>
      </c>
      <c r="R521" s="16">
        <f>M521*N521</f>
        <v>18000</v>
      </c>
      <c r="S521" s="16">
        <f>M521*O521</f>
        <v>0</v>
      </c>
      <c r="T521" s="16">
        <f>M521*Q521</f>
        <v>18000</v>
      </c>
      <c r="U521" s="16"/>
      <c r="V521" s="16">
        <f>M521*U521</f>
        <v>0</v>
      </c>
      <c r="W521" s="16">
        <f>T521-V521</f>
        <v>18000</v>
      </c>
      <c r="X521" s="18">
        <f>IF(T521&gt;0, W521/T521, 0)</f>
        <v>1</v>
      </c>
      <c r="Y521" s="9" t="s">
        <v>41</v>
      </c>
      <c r="Z521" s="11" t="s">
        <v>42</v>
      </c>
      <c r="AA521" s="11" t="s">
        <v>43</v>
      </c>
      <c r="AB521" s="11" t="s">
        <v>44</v>
      </c>
      <c r="AC521" s="9" t="s">
        <v>44</v>
      </c>
    </row>
    <row r="522" spans="1:29">
      <c r="A522" s="10">
        <v>515</v>
      </c>
      <c r="B522" s="10" t="s">
        <v>804</v>
      </c>
      <c r="C522" s="10" t="s">
        <v>803</v>
      </c>
      <c r="D522" s="10" t="s">
        <v>655</v>
      </c>
      <c r="E522" s="10" t="s">
        <v>70</v>
      </c>
      <c r="F522" s="10" t="s">
        <v>35</v>
      </c>
      <c r="G522" s="8" t="s">
        <v>52</v>
      </c>
      <c r="H522" s="8" t="s">
        <v>58</v>
      </c>
      <c r="I522" s="8" t="s">
        <v>58</v>
      </c>
      <c r="J522" s="10">
        <v>134</v>
      </c>
      <c r="K522" s="10" t="s">
        <v>284</v>
      </c>
      <c r="L522" s="10" t="s">
        <v>40</v>
      </c>
      <c r="M522" s="12">
        <v>1</v>
      </c>
      <c r="N522" s="15">
        <v>8000.0</v>
      </c>
      <c r="O522" s="15"/>
      <c r="P522" s="17">
        <f>IF(N522&gt;0, O522/N522, 0)</f>
        <v>0</v>
      </c>
      <c r="Q522" s="15">
        <f>N522-O522</f>
        <v>8000</v>
      </c>
      <c r="R522" s="15">
        <f>M522*N522</f>
        <v>8000</v>
      </c>
      <c r="S522" s="15">
        <f>M522*O522</f>
        <v>0</v>
      </c>
      <c r="T522" s="15">
        <f>M522*Q522</f>
        <v>8000</v>
      </c>
      <c r="U522" s="15"/>
      <c r="V522" s="15">
        <f>M522*U522</f>
        <v>0</v>
      </c>
      <c r="W522" s="15">
        <f>T522-V522</f>
        <v>8000</v>
      </c>
      <c r="X522" s="17">
        <f>IF(T522&gt;0, W522/T522, 0)</f>
        <v>1</v>
      </c>
      <c r="Y522" s="8" t="s">
        <v>41</v>
      </c>
      <c r="Z522" s="10" t="s">
        <v>42</v>
      </c>
      <c r="AA522" s="10" t="s">
        <v>73</v>
      </c>
      <c r="AB522" s="10" t="s">
        <v>44</v>
      </c>
      <c r="AC522" s="8" t="s">
        <v>44</v>
      </c>
    </row>
    <row r="523" spans="1:29">
      <c r="A523" s="11">
        <v>516</v>
      </c>
      <c r="B523" s="11" t="s">
        <v>805</v>
      </c>
      <c r="C523" s="11" t="s">
        <v>803</v>
      </c>
      <c r="D523" s="11" t="s">
        <v>655</v>
      </c>
      <c r="E523" s="11" t="s">
        <v>34</v>
      </c>
      <c r="F523" s="11" t="s">
        <v>35</v>
      </c>
      <c r="G523" s="9" t="s">
        <v>36</v>
      </c>
      <c r="H523" s="9" t="s">
        <v>37</v>
      </c>
      <c r="I523" s="9" t="s">
        <v>38</v>
      </c>
      <c r="J523" s="11">
        <v>170</v>
      </c>
      <c r="K523" s="11" t="s">
        <v>145</v>
      </c>
      <c r="L523" s="11" t="s">
        <v>40</v>
      </c>
      <c r="M523" s="13">
        <v>1</v>
      </c>
      <c r="N523" s="16">
        <v>8000.0</v>
      </c>
      <c r="O523" s="16"/>
      <c r="P523" s="18">
        <f>IF(N523&gt;0, O523/N523, 0)</f>
        <v>0</v>
      </c>
      <c r="Q523" s="16">
        <f>N523-O523</f>
        <v>8000</v>
      </c>
      <c r="R523" s="16">
        <f>M523*N523</f>
        <v>8000</v>
      </c>
      <c r="S523" s="16">
        <f>M523*O523</f>
        <v>0</v>
      </c>
      <c r="T523" s="16">
        <f>M523*Q523</f>
        <v>8000</v>
      </c>
      <c r="U523" s="16"/>
      <c r="V523" s="16">
        <f>M523*U523</f>
        <v>0</v>
      </c>
      <c r="W523" s="16">
        <f>T523-V523</f>
        <v>8000</v>
      </c>
      <c r="X523" s="18">
        <f>IF(T523&gt;0, W523/T523, 0)</f>
        <v>1</v>
      </c>
      <c r="Y523" s="9" t="s">
        <v>41</v>
      </c>
      <c r="Z523" s="11" t="s">
        <v>42</v>
      </c>
      <c r="AA523" s="11" t="s">
        <v>43</v>
      </c>
      <c r="AB523" s="11" t="s">
        <v>44</v>
      </c>
      <c r="AC523" s="9" t="s">
        <v>44</v>
      </c>
    </row>
    <row r="524" spans="1:29">
      <c r="A524" s="10">
        <v>517</v>
      </c>
      <c r="B524" s="10" t="s">
        <v>806</v>
      </c>
      <c r="C524" s="10" t="s">
        <v>803</v>
      </c>
      <c r="D524" s="10" t="s">
        <v>655</v>
      </c>
      <c r="E524" s="10" t="s">
        <v>34</v>
      </c>
      <c r="F524" s="10" t="s">
        <v>35</v>
      </c>
      <c r="G524" s="8" t="s">
        <v>52</v>
      </c>
      <c r="H524" s="8" t="s">
        <v>53</v>
      </c>
      <c r="I524" s="8" t="s">
        <v>53</v>
      </c>
      <c r="J524" s="10">
        <v>134</v>
      </c>
      <c r="K524" s="10" t="s">
        <v>178</v>
      </c>
      <c r="L524" s="10" t="s">
        <v>55</v>
      </c>
      <c r="M524" s="12">
        <v>1</v>
      </c>
      <c r="N524" s="15">
        <v>8000.0</v>
      </c>
      <c r="O524" s="15"/>
      <c r="P524" s="17">
        <f>IF(N524&gt;0, O524/N524, 0)</f>
        <v>0</v>
      </c>
      <c r="Q524" s="15">
        <f>N524-O524</f>
        <v>8000</v>
      </c>
      <c r="R524" s="15">
        <f>M524*N524</f>
        <v>8000</v>
      </c>
      <c r="S524" s="15">
        <f>M524*O524</f>
        <v>0</v>
      </c>
      <c r="T524" s="15">
        <f>M524*Q524</f>
        <v>8000</v>
      </c>
      <c r="U524" s="15"/>
      <c r="V524" s="15">
        <f>M524*U524</f>
        <v>0</v>
      </c>
      <c r="W524" s="15">
        <f>T524-V524</f>
        <v>8000</v>
      </c>
      <c r="X524" s="17">
        <f>IF(T524&gt;0, W524/T524, 0)</f>
        <v>1</v>
      </c>
      <c r="Y524" s="8" t="s">
        <v>41</v>
      </c>
      <c r="Z524" s="10" t="s">
        <v>42</v>
      </c>
      <c r="AA524" s="10" t="s">
        <v>43</v>
      </c>
      <c r="AB524" s="10" t="s">
        <v>44</v>
      </c>
      <c r="AC524" s="8" t="s">
        <v>44</v>
      </c>
    </row>
    <row r="525" spans="1:29">
      <c r="A525" s="11">
        <v>518</v>
      </c>
      <c r="B525" s="11" t="s">
        <v>807</v>
      </c>
      <c r="C525" s="11" t="s">
        <v>803</v>
      </c>
      <c r="D525" s="11" t="s">
        <v>655</v>
      </c>
      <c r="E525" s="11" t="s">
        <v>34</v>
      </c>
      <c r="F525" s="11" t="s">
        <v>35</v>
      </c>
      <c r="G525" s="9" t="s">
        <v>52</v>
      </c>
      <c r="H525" s="9" t="s">
        <v>37</v>
      </c>
      <c r="I525" s="9" t="s">
        <v>38</v>
      </c>
      <c r="J525" s="11">
        <v>134</v>
      </c>
      <c r="K525" s="11" t="s">
        <v>180</v>
      </c>
      <c r="L525" s="11" t="s">
        <v>55</v>
      </c>
      <c r="M525" s="13">
        <v>1</v>
      </c>
      <c r="N525" s="16">
        <v>7000.0</v>
      </c>
      <c r="O525" s="16"/>
      <c r="P525" s="18">
        <f>IF(N525&gt;0, O525/N525, 0)</f>
        <v>0</v>
      </c>
      <c r="Q525" s="16">
        <f>N525-O525</f>
        <v>7000</v>
      </c>
      <c r="R525" s="16">
        <f>M525*N525</f>
        <v>7000</v>
      </c>
      <c r="S525" s="16">
        <f>M525*O525</f>
        <v>0</v>
      </c>
      <c r="T525" s="16">
        <f>M525*Q525</f>
        <v>7000</v>
      </c>
      <c r="U525" s="16"/>
      <c r="V525" s="16">
        <f>M525*U525</f>
        <v>0</v>
      </c>
      <c r="W525" s="16">
        <f>T525-V525</f>
        <v>7000</v>
      </c>
      <c r="X525" s="18">
        <f>IF(T525&gt;0, W525/T525, 0)</f>
        <v>1</v>
      </c>
      <c r="Y525" s="9" t="s">
        <v>41</v>
      </c>
      <c r="Z525" s="11" t="s">
        <v>42</v>
      </c>
      <c r="AA525" s="11" t="s">
        <v>43</v>
      </c>
      <c r="AB525" s="11" t="s">
        <v>44</v>
      </c>
      <c r="AC525" s="9" t="s">
        <v>44</v>
      </c>
    </row>
    <row r="526" spans="1:29">
      <c r="A526" s="10">
        <v>519</v>
      </c>
      <c r="B526" s="10" t="s">
        <v>808</v>
      </c>
      <c r="C526" s="10" t="s">
        <v>803</v>
      </c>
      <c r="D526" s="10" t="s">
        <v>655</v>
      </c>
      <c r="E526" s="10" t="s">
        <v>34</v>
      </c>
      <c r="F526" s="10" t="s">
        <v>35</v>
      </c>
      <c r="G526" s="8" t="s">
        <v>36</v>
      </c>
      <c r="H526" s="8" t="s">
        <v>71</v>
      </c>
      <c r="I526" s="8" t="s">
        <v>71</v>
      </c>
      <c r="J526" s="10">
        <v>152</v>
      </c>
      <c r="K526" s="10" t="s">
        <v>210</v>
      </c>
      <c r="L526" s="10" t="s">
        <v>40</v>
      </c>
      <c r="M526" s="12">
        <v>1</v>
      </c>
      <c r="N526" s="15">
        <v>16500.0</v>
      </c>
      <c r="O526" s="15"/>
      <c r="P526" s="17">
        <f>IF(N526&gt;0, O526/N526, 0)</f>
        <v>0</v>
      </c>
      <c r="Q526" s="15">
        <f>N526-O526</f>
        <v>16500</v>
      </c>
      <c r="R526" s="15">
        <f>M526*N526</f>
        <v>16500</v>
      </c>
      <c r="S526" s="15">
        <f>M526*O526</f>
        <v>0</v>
      </c>
      <c r="T526" s="15">
        <f>M526*Q526</f>
        <v>16500</v>
      </c>
      <c r="U526" s="15"/>
      <c r="V526" s="15">
        <f>M526*U526</f>
        <v>0</v>
      </c>
      <c r="W526" s="15">
        <f>T526-V526</f>
        <v>16500</v>
      </c>
      <c r="X526" s="17">
        <f>IF(T526&gt;0, W526/T526, 0)</f>
        <v>1</v>
      </c>
      <c r="Y526" s="8" t="s">
        <v>41</v>
      </c>
      <c r="Z526" s="10" t="s">
        <v>42</v>
      </c>
      <c r="AA526" s="10" t="s">
        <v>43</v>
      </c>
      <c r="AB526" s="10" t="s">
        <v>44</v>
      </c>
      <c r="AC526" s="8" t="s">
        <v>44</v>
      </c>
    </row>
    <row r="527" spans="1:29">
      <c r="A527" s="11">
        <v>520</v>
      </c>
      <c r="B527" s="11" t="s">
        <v>809</v>
      </c>
      <c r="C527" s="11" t="s">
        <v>803</v>
      </c>
      <c r="D527" s="11" t="s">
        <v>655</v>
      </c>
      <c r="E527" s="11" t="s">
        <v>70</v>
      </c>
      <c r="F527" s="11" t="s">
        <v>35</v>
      </c>
      <c r="G527" s="9" t="s">
        <v>36</v>
      </c>
      <c r="H527" s="9" t="s">
        <v>65</v>
      </c>
      <c r="I527" s="9" t="s">
        <v>151</v>
      </c>
      <c r="J527" s="11">
        <v>170</v>
      </c>
      <c r="K527" s="11" t="s">
        <v>152</v>
      </c>
      <c r="L527" s="11" t="s">
        <v>40</v>
      </c>
      <c r="M527" s="13">
        <v>1</v>
      </c>
      <c r="N527" s="16">
        <v>9000.0</v>
      </c>
      <c r="O527" s="16"/>
      <c r="P527" s="18">
        <f>IF(N527&gt;0, O527/N527, 0)</f>
        <v>0</v>
      </c>
      <c r="Q527" s="16">
        <f>N527-O527</f>
        <v>9000</v>
      </c>
      <c r="R527" s="16">
        <f>M527*N527</f>
        <v>9000</v>
      </c>
      <c r="S527" s="16">
        <f>M527*O527</f>
        <v>0</v>
      </c>
      <c r="T527" s="16">
        <f>M527*Q527</f>
        <v>9000</v>
      </c>
      <c r="U527" s="16"/>
      <c r="V527" s="16">
        <f>M527*U527</f>
        <v>0</v>
      </c>
      <c r="W527" s="16">
        <f>T527-V527</f>
        <v>9000</v>
      </c>
      <c r="X527" s="18">
        <f>IF(T527&gt;0, W527/T527, 0)</f>
        <v>1</v>
      </c>
      <c r="Y527" s="9" t="s">
        <v>41</v>
      </c>
      <c r="Z527" s="11" t="s">
        <v>42</v>
      </c>
      <c r="AA527" s="11" t="s">
        <v>73</v>
      </c>
      <c r="AB527" s="11" t="s">
        <v>44</v>
      </c>
      <c r="AC527" s="9" t="s">
        <v>44</v>
      </c>
    </row>
    <row r="528" spans="1:29">
      <c r="A528" s="10">
        <v>521</v>
      </c>
      <c r="B528" s="10" t="s">
        <v>810</v>
      </c>
      <c r="C528" s="10" t="s">
        <v>803</v>
      </c>
      <c r="D528" s="10" t="s">
        <v>655</v>
      </c>
      <c r="E528" s="10" t="s">
        <v>34</v>
      </c>
      <c r="F528" s="10" t="s">
        <v>35</v>
      </c>
      <c r="G528" s="8" t="s">
        <v>36</v>
      </c>
      <c r="H528" s="8" t="s">
        <v>47</v>
      </c>
      <c r="I528" s="8" t="s">
        <v>48</v>
      </c>
      <c r="J528" s="10">
        <v>182</v>
      </c>
      <c r="K528" s="10" t="s">
        <v>811</v>
      </c>
      <c r="L528" s="10" t="s">
        <v>40</v>
      </c>
      <c r="M528" s="12">
        <v>1</v>
      </c>
      <c r="N528" s="15">
        <v>18000.0</v>
      </c>
      <c r="O528" s="15"/>
      <c r="P528" s="17">
        <f>IF(N528&gt;0, O528/N528, 0)</f>
        <v>0</v>
      </c>
      <c r="Q528" s="15">
        <f>N528-O528</f>
        <v>18000</v>
      </c>
      <c r="R528" s="15">
        <f>M528*N528</f>
        <v>18000</v>
      </c>
      <c r="S528" s="15">
        <f>M528*O528</f>
        <v>0</v>
      </c>
      <c r="T528" s="15">
        <f>M528*Q528</f>
        <v>18000</v>
      </c>
      <c r="U528" s="15"/>
      <c r="V528" s="15">
        <f>M528*U528</f>
        <v>0</v>
      </c>
      <c r="W528" s="15">
        <f>T528-V528</f>
        <v>18000</v>
      </c>
      <c r="X528" s="17">
        <f>IF(T528&gt;0, W528/T528, 0)</f>
        <v>1</v>
      </c>
      <c r="Y528" s="8" t="s">
        <v>41</v>
      </c>
      <c r="Z528" s="10" t="s">
        <v>42</v>
      </c>
      <c r="AA528" s="10" t="s">
        <v>43</v>
      </c>
      <c r="AB528" s="10" t="s">
        <v>44</v>
      </c>
      <c r="AC528" s="8" t="s">
        <v>44</v>
      </c>
    </row>
    <row r="529" spans="1:29">
      <c r="A529" s="11">
        <v>522</v>
      </c>
      <c r="B529" s="11" t="s">
        <v>812</v>
      </c>
      <c r="C529" s="11" t="s">
        <v>803</v>
      </c>
      <c r="D529" s="11" t="s">
        <v>655</v>
      </c>
      <c r="E529" s="11" t="s">
        <v>34</v>
      </c>
      <c r="F529" s="11" t="s">
        <v>35</v>
      </c>
      <c r="G529" s="9" t="s">
        <v>36</v>
      </c>
      <c r="H529" s="9" t="s">
        <v>71</v>
      </c>
      <c r="I529" s="9" t="s">
        <v>71</v>
      </c>
      <c r="J529" s="11">
        <v>176</v>
      </c>
      <c r="K529" s="11" t="s">
        <v>206</v>
      </c>
      <c r="L529" s="11" t="s">
        <v>40</v>
      </c>
      <c r="M529" s="13">
        <v>1</v>
      </c>
      <c r="N529" s="16">
        <v>16500.0</v>
      </c>
      <c r="O529" s="16"/>
      <c r="P529" s="18">
        <f>IF(N529&gt;0, O529/N529, 0)</f>
        <v>0</v>
      </c>
      <c r="Q529" s="16">
        <f>N529-O529</f>
        <v>16500</v>
      </c>
      <c r="R529" s="16">
        <f>M529*N529</f>
        <v>16500</v>
      </c>
      <c r="S529" s="16">
        <f>M529*O529</f>
        <v>0</v>
      </c>
      <c r="T529" s="16">
        <f>M529*Q529</f>
        <v>16500</v>
      </c>
      <c r="U529" s="16"/>
      <c r="V529" s="16">
        <f>M529*U529</f>
        <v>0</v>
      </c>
      <c r="W529" s="16">
        <f>T529-V529</f>
        <v>16500</v>
      </c>
      <c r="X529" s="18">
        <f>IF(T529&gt;0, W529/T529, 0)</f>
        <v>1</v>
      </c>
      <c r="Y529" s="9" t="s">
        <v>41</v>
      </c>
      <c r="Z529" s="11" t="s">
        <v>42</v>
      </c>
      <c r="AA529" s="11" t="s">
        <v>43</v>
      </c>
      <c r="AB529" s="11" t="s">
        <v>44</v>
      </c>
      <c r="AC529" s="9" t="s">
        <v>44</v>
      </c>
    </row>
    <row r="530" spans="1:29">
      <c r="A530" s="10">
        <v>523</v>
      </c>
      <c r="B530" s="10" t="s">
        <v>813</v>
      </c>
      <c r="C530" s="10" t="s">
        <v>803</v>
      </c>
      <c r="D530" s="10" t="s">
        <v>655</v>
      </c>
      <c r="E530" s="10" t="s">
        <v>34</v>
      </c>
      <c r="F530" s="10" t="s">
        <v>35</v>
      </c>
      <c r="G530" s="8" t="s">
        <v>36</v>
      </c>
      <c r="H530" s="8" t="s">
        <v>37</v>
      </c>
      <c r="I530" s="8" t="s">
        <v>75</v>
      </c>
      <c r="J530" s="10">
        <v>176</v>
      </c>
      <c r="K530" s="10" t="s">
        <v>423</v>
      </c>
      <c r="L530" s="10" t="s">
        <v>40</v>
      </c>
      <c r="M530" s="12">
        <v>1</v>
      </c>
      <c r="N530" s="15">
        <v>9000.0</v>
      </c>
      <c r="O530" s="15"/>
      <c r="P530" s="17">
        <f>IF(N530&gt;0, O530/N530, 0)</f>
        <v>0</v>
      </c>
      <c r="Q530" s="15">
        <f>N530-O530</f>
        <v>9000</v>
      </c>
      <c r="R530" s="15">
        <f>M530*N530</f>
        <v>9000</v>
      </c>
      <c r="S530" s="15">
        <f>M530*O530</f>
        <v>0</v>
      </c>
      <c r="T530" s="15">
        <f>M530*Q530</f>
        <v>9000</v>
      </c>
      <c r="U530" s="15"/>
      <c r="V530" s="15">
        <f>M530*U530</f>
        <v>0</v>
      </c>
      <c r="W530" s="15">
        <f>T530-V530</f>
        <v>9000</v>
      </c>
      <c r="X530" s="17">
        <f>IF(T530&gt;0, W530/T530, 0)</f>
        <v>1</v>
      </c>
      <c r="Y530" s="8" t="s">
        <v>41</v>
      </c>
      <c r="Z530" s="10" t="s">
        <v>42</v>
      </c>
      <c r="AA530" s="10" t="s">
        <v>43</v>
      </c>
      <c r="AB530" s="10" t="s">
        <v>44</v>
      </c>
      <c r="AC530" s="8" t="s">
        <v>44</v>
      </c>
    </row>
    <row r="531" spans="1:29">
      <c r="A531" s="11">
        <v>524</v>
      </c>
      <c r="B531" s="11" t="s">
        <v>814</v>
      </c>
      <c r="C531" s="11" t="s">
        <v>803</v>
      </c>
      <c r="D531" s="11" t="s">
        <v>655</v>
      </c>
      <c r="E531" s="11" t="s">
        <v>34</v>
      </c>
      <c r="F531" s="11" t="s">
        <v>35</v>
      </c>
      <c r="G531" s="9" t="s">
        <v>36</v>
      </c>
      <c r="H531" s="9" t="s">
        <v>37</v>
      </c>
      <c r="I531" s="9" t="s">
        <v>38</v>
      </c>
      <c r="J531" s="11">
        <v>170</v>
      </c>
      <c r="K531" s="11" t="s">
        <v>145</v>
      </c>
      <c r="L531" s="11" t="s">
        <v>40</v>
      </c>
      <c r="M531" s="13">
        <v>1</v>
      </c>
      <c r="N531" s="16">
        <v>8000.0</v>
      </c>
      <c r="O531" s="16"/>
      <c r="P531" s="18">
        <f>IF(N531&gt;0, O531/N531, 0)</f>
        <v>0</v>
      </c>
      <c r="Q531" s="16">
        <f>N531-O531</f>
        <v>8000</v>
      </c>
      <c r="R531" s="16">
        <f>M531*N531</f>
        <v>8000</v>
      </c>
      <c r="S531" s="16">
        <f>M531*O531</f>
        <v>0</v>
      </c>
      <c r="T531" s="16">
        <f>M531*Q531</f>
        <v>8000</v>
      </c>
      <c r="U531" s="16"/>
      <c r="V531" s="16">
        <f>M531*U531</f>
        <v>0</v>
      </c>
      <c r="W531" s="16">
        <f>T531-V531</f>
        <v>8000</v>
      </c>
      <c r="X531" s="18">
        <f>IF(T531&gt;0, W531/T531, 0)</f>
        <v>1</v>
      </c>
      <c r="Y531" s="9" t="s">
        <v>41</v>
      </c>
      <c r="Z531" s="11" t="s">
        <v>42</v>
      </c>
      <c r="AA531" s="11" t="s">
        <v>43</v>
      </c>
      <c r="AB531" s="11" t="s">
        <v>44</v>
      </c>
      <c r="AC531" s="9" t="s">
        <v>44</v>
      </c>
    </row>
    <row r="532" spans="1:29">
      <c r="A532" s="10">
        <v>525</v>
      </c>
      <c r="B532" s="10" t="s">
        <v>815</v>
      </c>
      <c r="C532" s="10" t="s">
        <v>803</v>
      </c>
      <c r="D532" s="10" t="s">
        <v>655</v>
      </c>
      <c r="E532" s="10" t="s">
        <v>34</v>
      </c>
      <c r="F532" s="10" t="s">
        <v>35</v>
      </c>
      <c r="G532" s="8" t="s">
        <v>36</v>
      </c>
      <c r="H532" s="8" t="s">
        <v>53</v>
      </c>
      <c r="I532" s="8" t="s">
        <v>53</v>
      </c>
      <c r="J532" s="10">
        <v>164</v>
      </c>
      <c r="K532" s="10" t="s">
        <v>63</v>
      </c>
      <c r="L532" s="10" t="s">
        <v>40</v>
      </c>
      <c r="M532" s="12">
        <v>1</v>
      </c>
      <c r="N532" s="15">
        <v>8500.0</v>
      </c>
      <c r="O532" s="15"/>
      <c r="P532" s="17">
        <f>IF(N532&gt;0, O532/N532, 0)</f>
        <v>0</v>
      </c>
      <c r="Q532" s="15">
        <f>N532-O532</f>
        <v>8500</v>
      </c>
      <c r="R532" s="15">
        <f>M532*N532</f>
        <v>8500</v>
      </c>
      <c r="S532" s="15">
        <f>M532*O532</f>
        <v>0</v>
      </c>
      <c r="T532" s="15">
        <f>M532*Q532</f>
        <v>8500</v>
      </c>
      <c r="U532" s="15"/>
      <c r="V532" s="15">
        <f>M532*U532</f>
        <v>0</v>
      </c>
      <c r="W532" s="15">
        <f>T532-V532</f>
        <v>8500</v>
      </c>
      <c r="X532" s="17">
        <f>IF(T532&gt;0, W532/T532, 0)</f>
        <v>1</v>
      </c>
      <c r="Y532" s="8" t="s">
        <v>41</v>
      </c>
      <c r="Z532" s="10" t="s">
        <v>42</v>
      </c>
      <c r="AA532" s="10" t="s">
        <v>43</v>
      </c>
      <c r="AB532" s="10" t="s">
        <v>44</v>
      </c>
      <c r="AC532" s="8" t="s">
        <v>44</v>
      </c>
    </row>
    <row r="533" spans="1:29">
      <c r="A533" s="11">
        <v>526</v>
      </c>
      <c r="B533" s="11" t="s">
        <v>816</v>
      </c>
      <c r="C533" s="11" t="s">
        <v>803</v>
      </c>
      <c r="D533" s="11" t="s">
        <v>655</v>
      </c>
      <c r="E533" s="11" t="s">
        <v>34</v>
      </c>
      <c r="F533" s="11" t="s">
        <v>35</v>
      </c>
      <c r="G533" s="9" t="s">
        <v>52</v>
      </c>
      <c r="H533" s="9" t="s">
        <v>53</v>
      </c>
      <c r="I533" s="9" t="s">
        <v>53</v>
      </c>
      <c r="J533" s="11">
        <v>128</v>
      </c>
      <c r="K533" s="11" t="s">
        <v>393</v>
      </c>
      <c r="L533" s="11" t="s">
        <v>55</v>
      </c>
      <c r="M533" s="13">
        <v>1</v>
      </c>
      <c r="N533" s="16">
        <v>8000.0</v>
      </c>
      <c r="O533" s="16"/>
      <c r="P533" s="18">
        <f>IF(N533&gt;0, O533/N533, 0)</f>
        <v>0</v>
      </c>
      <c r="Q533" s="16">
        <f>N533-O533</f>
        <v>8000</v>
      </c>
      <c r="R533" s="16">
        <f>M533*N533</f>
        <v>8000</v>
      </c>
      <c r="S533" s="16">
        <f>M533*O533</f>
        <v>0</v>
      </c>
      <c r="T533" s="16">
        <f>M533*Q533</f>
        <v>8000</v>
      </c>
      <c r="U533" s="16"/>
      <c r="V533" s="16">
        <f>M533*U533</f>
        <v>0</v>
      </c>
      <c r="W533" s="16">
        <f>T533-V533</f>
        <v>8000</v>
      </c>
      <c r="X533" s="18">
        <f>IF(T533&gt;0, W533/T533, 0)</f>
        <v>1</v>
      </c>
      <c r="Y533" s="9" t="s">
        <v>41</v>
      </c>
      <c r="Z533" s="11" t="s">
        <v>42</v>
      </c>
      <c r="AA533" s="11" t="s">
        <v>43</v>
      </c>
      <c r="AB533" s="11" t="s">
        <v>44</v>
      </c>
      <c r="AC533" s="9" t="s">
        <v>44</v>
      </c>
    </row>
    <row r="534" spans="1:29">
      <c r="A534" s="10">
        <v>527</v>
      </c>
      <c r="B534" s="10" t="s">
        <v>817</v>
      </c>
      <c r="C534" s="10" t="s">
        <v>803</v>
      </c>
      <c r="D534" s="10" t="s">
        <v>655</v>
      </c>
      <c r="E534" s="10" t="s">
        <v>34</v>
      </c>
      <c r="F534" s="10" t="s">
        <v>35</v>
      </c>
      <c r="G534" s="8" t="s">
        <v>36</v>
      </c>
      <c r="H534" s="8" t="s">
        <v>37</v>
      </c>
      <c r="I534" s="8" t="s">
        <v>75</v>
      </c>
      <c r="J534" s="10">
        <v>170</v>
      </c>
      <c r="K534" s="10" t="s">
        <v>651</v>
      </c>
      <c r="L534" s="10" t="s">
        <v>40</v>
      </c>
      <c r="M534" s="12">
        <v>1</v>
      </c>
      <c r="N534" s="15">
        <v>9000.0</v>
      </c>
      <c r="O534" s="15"/>
      <c r="P534" s="17">
        <f>IF(N534&gt;0, O534/N534, 0)</f>
        <v>0</v>
      </c>
      <c r="Q534" s="15">
        <f>N534-O534</f>
        <v>9000</v>
      </c>
      <c r="R534" s="15">
        <f>M534*N534</f>
        <v>9000</v>
      </c>
      <c r="S534" s="15">
        <f>M534*O534</f>
        <v>0</v>
      </c>
      <c r="T534" s="15">
        <f>M534*Q534</f>
        <v>9000</v>
      </c>
      <c r="U534" s="15"/>
      <c r="V534" s="15">
        <f>M534*U534</f>
        <v>0</v>
      </c>
      <c r="W534" s="15">
        <f>T534-V534</f>
        <v>9000</v>
      </c>
      <c r="X534" s="17">
        <f>IF(T534&gt;0, W534/T534, 0)</f>
        <v>1</v>
      </c>
      <c r="Y534" s="8" t="s">
        <v>41</v>
      </c>
      <c r="Z534" s="10" t="s">
        <v>42</v>
      </c>
      <c r="AA534" s="10" t="s">
        <v>43</v>
      </c>
      <c r="AB534" s="10" t="s">
        <v>44</v>
      </c>
      <c r="AC534" s="8" t="s">
        <v>44</v>
      </c>
    </row>
    <row r="535" spans="1:29">
      <c r="A535" s="11">
        <v>528</v>
      </c>
      <c r="B535" s="11" t="s">
        <v>818</v>
      </c>
      <c r="C535" s="11" t="s">
        <v>803</v>
      </c>
      <c r="D535" s="11" t="s">
        <v>655</v>
      </c>
      <c r="E535" s="11" t="s">
        <v>34</v>
      </c>
      <c r="F535" s="11" t="s">
        <v>35</v>
      </c>
      <c r="G535" s="9" t="s">
        <v>52</v>
      </c>
      <c r="H535" s="9" t="s">
        <v>37</v>
      </c>
      <c r="I535" s="9" t="s">
        <v>38</v>
      </c>
      <c r="J535" s="11">
        <v>134</v>
      </c>
      <c r="K535" s="11" t="s">
        <v>180</v>
      </c>
      <c r="L535" s="11" t="s">
        <v>55</v>
      </c>
      <c r="M535" s="13">
        <v>1</v>
      </c>
      <c r="N535" s="16">
        <v>7000.0</v>
      </c>
      <c r="O535" s="16"/>
      <c r="P535" s="18">
        <f>IF(N535&gt;0, O535/N535, 0)</f>
        <v>0</v>
      </c>
      <c r="Q535" s="16">
        <f>N535-O535</f>
        <v>7000</v>
      </c>
      <c r="R535" s="16">
        <f>M535*N535</f>
        <v>7000</v>
      </c>
      <c r="S535" s="16">
        <f>M535*O535</f>
        <v>0</v>
      </c>
      <c r="T535" s="16">
        <f>M535*Q535</f>
        <v>7000</v>
      </c>
      <c r="U535" s="16"/>
      <c r="V535" s="16">
        <f>M535*U535</f>
        <v>0</v>
      </c>
      <c r="W535" s="16">
        <f>T535-V535</f>
        <v>7000</v>
      </c>
      <c r="X535" s="18">
        <f>IF(T535&gt;0, W535/T535, 0)</f>
        <v>1</v>
      </c>
      <c r="Y535" s="9" t="s">
        <v>41</v>
      </c>
      <c r="Z535" s="11" t="s">
        <v>42</v>
      </c>
      <c r="AA535" s="11" t="s">
        <v>43</v>
      </c>
      <c r="AB535" s="11" t="s">
        <v>44</v>
      </c>
      <c r="AC535" s="9" t="s">
        <v>44</v>
      </c>
    </row>
    <row r="536" spans="1:29">
      <c r="A536" s="10">
        <v>529</v>
      </c>
      <c r="B536" s="10" t="s">
        <v>819</v>
      </c>
      <c r="C536" s="10" t="s">
        <v>803</v>
      </c>
      <c r="D536" s="10" t="s">
        <v>655</v>
      </c>
      <c r="E536" s="10" t="s">
        <v>34</v>
      </c>
      <c r="F536" s="10" t="s">
        <v>35</v>
      </c>
      <c r="G536" s="8" t="s">
        <v>52</v>
      </c>
      <c r="H536" s="8" t="s">
        <v>47</v>
      </c>
      <c r="I536" s="8" t="s">
        <v>48</v>
      </c>
      <c r="J536" s="10">
        <v>134</v>
      </c>
      <c r="K536" s="10" t="s">
        <v>379</v>
      </c>
      <c r="L536" s="10" t="s">
        <v>40</v>
      </c>
      <c r="M536" s="12">
        <v>1</v>
      </c>
      <c r="N536" s="15">
        <v>18000.0</v>
      </c>
      <c r="O536" s="15"/>
      <c r="P536" s="17">
        <f>IF(N536&gt;0, O536/N536, 0)</f>
        <v>0</v>
      </c>
      <c r="Q536" s="15">
        <f>N536-O536</f>
        <v>18000</v>
      </c>
      <c r="R536" s="15">
        <f>M536*N536</f>
        <v>18000</v>
      </c>
      <c r="S536" s="15">
        <f>M536*O536</f>
        <v>0</v>
      </c>
      <c r="T536" s="15">
        <f>M536*Q536</f>
        <v>18000</v>
      </c>
      <c r="U536" s="15"/>
      <c r="V536" s="15">
        <f>M536*U536</f>
        <v>0</v>
      </c>
      <c r="W536" s="15">
        <f>T536-V536</f>
        <v>18000</v>
      </c>
      <c r="X536" s="17">
        <f>IF(T536&gt;0, W536/T536, 0)</f>
        <v>1</v>
      </c>
      <c r="Y536" s="8" t="s">
        <v>41</v>
      </c>
      <c r="Z536" s="10" t="s">
        <v>42</v>
      </c>
      <c r="AA536" s="10" t="s">
        <v>43</v>
      </c>
      <c r="AB536" s="10" t="s">
        <v>44</v>
      </c>
      <c r="AC536" s="8" t="s">
        <v>44</v>
      </c>
    </row>
    <row r="537" spans="1:29">
      <c r="A537" s="11">
        <v>530</v>
      </c>
      <c r="B537" s="11" t="s">
        <v>820</v>
      </c>
      <c r="C537" s="11" t="s">
        <v>803</v>
      </c>
      <c r="D537" s="11" t="s">
        <v>655</v>
      </c>
      <c r="E537" s="11" t="s">
        <v>34</v>
      </c>
      <c r="F537" s="11" t="s">
        <v>35</v>
      </c>
      <c r="G537" s="9" t="s">
        <v>36</v>
      </c>
      <c r="H537" s="9" t="s">
        <v>47</v>
      </c>
      <c r="I537" s="9" t="s">
        <v>48</v>
      </c>
      <c r="J537" s="11">
        <v>164</v>
      </c>
      <c r="K537" s="11" t="s">
        <v>321</v>
      </c>
      <c r="L537" s="11" t="s">
        <v>40</v>
      </c>
      <c r="M537" s="13">
        <v>1</v>
      </c>
      <c r="N537" s="16">
        <v>18000.0</v>
      </c>
      <c r="O537" s="16"/>
      <c r="P537" s="18">
        <f>IF(N537&gt;0, O537/N537, 0)</f>
        <v>0</v>
      </c>
      <c r="Q537" s="16">
        <f>N537-O537</f>
        <v>18000</v>
      </c>
      <c r="R537" s="16">
        <f>M537*N537</f>
        <v>18000</v>
      </c>
      <c r="S537" s="16">
        <f>M537*O537</f>
        <v>0</v>
      </c>
      <c r="T537" s="16">
        <f>M537*Q537</f>
        <v>18000</v>
      </c>
      <c r="U537" s="16"/>
      <c r="V537" s="16">
        <f>M537*U537</f>
        <v>0</v>
      </c>
      <c r="W537" s="16">
        <f>T537-V537</f>
        <v>18000</v>
      </c>
      <c r="X537" s="18">
        <f>IF(T537&gt;0, W537/T537, 0)</f>
        <v>1</v>
      </c>
      <c r="Y537" s="9" t="s">
        <v>41</v>
      </c>
      <c r="Z537" s="11" t="s">
        <v>42</v>
      </c>
      <c r="AA537" s="11" t="s">
        <v>43</v>
      </c>
      <c r="AB537" s="11" t="s">
        <v>44</v>
      </c>
      <c r="AC537" s="9" t="s">
        <v>44</v>
      </c>
    </row>
    <row r="538" spans="1:29">
      <c r="A538" s="10">
        <v>531</v>
      </c>
      <c r="B538" s="10" t="s">
        <v>821</v>
      </c>
      <c r="C538" s="10" t="s">
        <v>803</v>
      </c>
      <c r="D538" s="10" t="s">
        <v>655</v>
      </c>
      <c r="E538" s="10" t="s">
        <v>34</v>
      </c>
      <c r="F538" s="10" t="s">
        <v>35</v>
      </c>
      <c r="G538" s="8" t="s">
        <v>36</v>
      </c>
      <c r="H538" s="8" t="s">
        <v>37</v>
      </c>
      <c r="I538" s="8" t="s">
        <v>38</v>
      </c>
      <c r="J538" s="10">
        <v>170</v>
      </c>
      <c r="K538" s="10" t="s">
        <v>145</v>
      </c>
      <c r="L538" s="10" t="s">
        <v>40</v>
      </c>
      <c r="M538" s="12">
        <v>1</v>
      </c>
      <c r="N538" s="15">
        <v>8000.0</v>
      </c>
      <c r="O538" s="15"/>
      <c r="P538" s="17">
        <f>IF(N538&gt;0, O538/N538, 0)</f>
        <v>0</v>
      </c>
      <c r="Q538" s="15">
        <f>N538-O538</f>
        <v>8000</v>
      </c>
      <c r="R538" s="15">
        <f>M538*N538</f>
        <v>8000</v>
      </c>
      <c r="S538" s="15">
        <f>M538*O538</f>
        <v>0</v>
      </c>
      <c r="T538" s="15">
        <f>M538*Q538</f>
        <v>8000</v>
      </c>
      <c r="U538" s="15"/>
      <c r="V538" s="15">
        <f>M538*U538</f>
        <v>0</v>
      </c>
      <c r="W538" s="15">
        <f>T538-V538</f>
        <v>8000</v>
      </c>
      <c r="X538" s="17">
        <f>IF(T538&gt;0, W538/T538, 0)</f>
        <v>1</v>
      </c>
      <c r="Y538" s="8" t="s">
        <v>41</v>
      </c>
      <c r="Z538" s="10" t="s">
        <v>42</v>
      </c>
      <c r="AA538" s="10" t="s">
        <v>43</v>
      </c>
      <c r="AB538" s="10" t="s">
        <v>44</v>
      </c>
      <c r="AC538" s="8" t="s">
        <v>44</v>
      </c>
    </row>
    <row r="539" spans="1:29">
      <c r="A539" s="11">
        <v>532</v>
      </c>
      <c r="B539" s="11" t="s">
        <v>822</v>
      </c>
      <c r="C539" s="11" t="s">
        <v>803</v>
      </c>
      <c r="D539" s="11" t="s">
        <v>655</v>
      </c>
      <c r="E539" s="11" t="s">
        <v>34</v>
      </c>
      <c r="F539" s="11" t="s">
        <v>35</v>
      </c>
      <c r="G539" s="9" t="s">
        <v>36</v>
      </c>
      <c r="H539" s="9" t="s">
        <v>53</v>
      </c>
      <c r="I539" s="9" t="s">
        <v>53</v>
      </c>
      <c r="J539" s="11">
        <v>158</v>
      </c>
      <c r="K539" s="11" t="s">
        <v>124</v>
      </c>
      <c r="L539" s="11" t="s">
        <v>40</v>
      </c>
      <c r="M539" s="13">
        <v>1</v>
      </c>
      <c r="N539" s="16">
        <v>8500.0</v>
      </c>
      <c r="O539" s="16"/>
      <c r="P539" s="18">
        <f>IF(N539&gt;0, O539/N539, 0)</f>
        <v>0</v>
      </c>
      <c r="Q539" s="16">
        <f>N539-O539</f>
        <v>8500</v>
      </c>
      <c r="R539" s="16">
        <f>M539*N539</f>
        <v>8500</v>
      </c>
      <c r="S539" s="16">
        <f>M539*O539</f>
        <v>0</v>
      </c>
      <c r="T539" s="16">
        <f>M539*Q539</f>
        <v>8500</v>
      </c>
      <c r="U539" s="16"/>
      <c r="V539" s="16">
        <f>M539*U539</f>
        <v>0</v>
      </c>
      <c r="W539" s="16">
        <f>T539-V539</f>
        <v>8500</v>
      </c>
      <c r="X539" s="18">
        <f>IF(T539&gt;0, W539/T539, 0)</f>
        <v>1</v>
      </c>
      <c r="Y539" s="9" t="s">
        <v>41</v>
      </c>
      <c r="Z539" s="11" t="s">
        <v>42</v>
      </c>
      <c r="AA539" s="11" t="s">
        <v>43</v>
      </c>
      <c r="AB539" s="11" t="s">
        <v>44</v>
      </c>
      <c r="AC539" s="9" t="s">
        <v>44</v>
      </c>
    </row>
    <row r="540" spans="1:29">
      <c r="A540" s="10">
        <v>533</v>
      </c>
      <c r="B540" s="10" t="s">
        <v>823</v>
      </c>
      <c r="C540" s="10" t="s">
        <v>803</v>
      </c>
      <c r="D540" s="10" t="s">
        <v>655</v>
      </c>
      <c r="E540" s="10" t="s">
        <v>34</v>
      </c>
      <c r="F540" s="10" t="s">
        <v>35</v>
      </c>
      <c r="G540" s="8" t="s">
        <v>36</v>
      </c>
      <c r="H540" s="8" t="s">
        <v>58</v>
      </c>
      <c r="I540" s="8" t="s">
        <v>58</v>
      </c>
      <c r="J540" s="10">
        <v>158</v>
      </c>
      <c r="K540" s="10" t="s">
        <v>130</v>
      </c>
      <c r="L540" s="10" t="s">
        <v>40</v>
      </c>
      <c r="M540" s="12">
        <v>1</v>
      </c>
      <c r="N540" s="15">
        <v>7500.0</v>
      </c>
      <c r="O540" s="15"/>
      <c r="P540" s="17">
        <f>IF(N540&gt;0, O540/N540, 0)</f>
        <v>0</v>
      </c>
      <c r="Q540" s="15">
        <f>N540-O540</f>
        <v>7500</v>
      </c>
      <c r="R540" s="15">
        <f>M540*N540</f>
        <v>7500</v>
      </c>
      <c r="S540" s="15">
        <f>M540*O540</f>
        <v>0</v>
      </c>
      <c r="T540" s="15">
        <f>M540*Q540</f>
        <v>7500</v>
      </c>
      <c r="U540" s="15"/>
      <c r="V540" s="15">
        <f>M540*U540</f>
        <v>0</v>
      </c>
      <c r="W540" s="15">
        <f>T540-V540</f>
        <v>7500</v>
      </c>
      <c r="X540" s="17">
        <f>IF(T540&gt;0, W540/T540, 0)</f>
        <v>1</v>
      </c>
      <c r="Y540" s="8" t="s">
        <v>41</v>
      </c>
      <c r="Z540" s="10" t="s">
        <v>42</v>
      </c>
      <c r="AA540" s="10" t="s">
        <v>43</v>
      </c>
      <c r="AB540" s="10" t="s">
        <v>44</v>
      </c>
      <c r="AC540" s="8" t="s">
        <v>44</v>
      </c>
    </row>
    <row r="541" spans="1:29">
      <c r="A541" s="11">
        <v>534</v>
      </c>
      <c r="B541" s="11" t="s">
        <v>824</v>
      </c>
      <c r="C541" s="11" t="s">
        <v>803</v>
      </c>
      <c r="D541" s="11" t="s">
        <v>655</v>
      </c>
      <c r="E541" s="11" t="s">
        <v>34</v>
      </c>
      <c r="F541" s="11" t="s">
        <v>35</v>
      </c>
      <c r="G541" s="9" t="s">
        <v>52</v>
      </c>
      <c r="H541" s="9" t="s">
        <v>53</v>
      </c>
      <c r="I541" s="9" t="s">
        <v>53</v>
      </c>
      <c r="J541" s="11">
        <v>158</v>
      </c>
      <c r="K541" s="11" t="s">
        <v>127</v>
      </c>
      <c r="L541" s="11" t="s">
        <v>55</v>
      </c>
      <c r="M541" s="13">
        <v>1</v>
      </c>
      <c r="N541" s="16">
        <v>8000.0</v>
      </c>
      <c r="O541" s="16"/>
      <c r="P541" s="18">
        <f>IF(N541&gt;0, O541/N541, 0)</f>
        <v>0</v>
      </c>
      <c r="Q541" s="16">
        <f>N541-O541</f>
        <v>8000</v>
      </c>
      <c r="R541" s="16">
        <f>M541*N541</f>
        <v>8000</v>
      </c>
      <c r="S541" s="16">
        <f>M541*O541</f>
        <v>0</v>
      </c>
      <c r="T541" s="16">
        <f>M541*Q541</f>
        <v>8000</v>
      </c>
      <c r="U541" s="16"/>
      <c r="V541" s="16">
        <f>M541*U541</f>
        <v>0</v>
      </c>
      <c r="W541" s="16">
        <f>T541-V541</f>
        <v>8000</v>
      </c>
      <c r="X541" s="18">
        <f>IF(T541&gt;0, W541/T541, 0)</f>
        <v>1</v>
      </c>
      <c r="Y541" s="9" t="s">
        <v>41</v>
      </c>
      <c r="Z541" s="11" t="s">
        <v>42</v>
      </c>
      <c r="AA541" s="11" t="s">
        <v>43</v>
      </c>
      <c r="AB541" s="11" t="s">
        <v>44</v>
      </c>
      <c r="AC541" s="9" t="s">
        <v>44</v>
      </c>
    </row>
    <row r="542" spans="1:29">
      <c r="A542" s="10">
        <v>535</v>
      </c>
      <c r="B542" s="10" t="s">
        <v>825</v>
      </c>
      <c r="C542" s="10" t="s">
        <v>803</v>
      </c>
      <c r="D542" s="10" t="s">
        <v>655</v>
      </c>
      <c r="E542" s="10" t="s">
        <v>34</v>
      </c>
      <c r="F542" s="10" t="s">
        <v>35</v>
      </c>
      <c r="G542" s="8" t="s">
        <v>52</v>
      </c>
      <c r="H542" s="8" t="s">
        <v>53</v>
      </c>
      <c r="I542" s="8" t="s">
        <v>53</v>
      </c>
      <c r="J542" s="10">
        <v>170</v>
      </c>
      <c r="K542" s="10" t="s">
        <v>54</v>
      </c>
      <c r="L542" s="10" t="s">
        <v>55</v>
      </c>
      <c r="M542" s="12">
        <v>1</v>
      </c>
      <c r="N542" s="15">
        <v>8000.0</v>
      </c>
      <c r="O542" s="15"/>
      <c r="P542" s="17">
        <f>IF(N542&gt;0, O542/N542, 0)</f>
        <v>0</v>
      </c>
      <c r="Q542" s="15">
        <f>N542-O542</f>
        <v>8000</v>
      </c>
      <c r="R542" s="15">
        <f>M542*N542</f>
        <v>8000</v>
      </c>
      <c r="S542" s="15">
        <f>M542*O542</f>
        <v>0</v>
      </c>
      <c r="T542" s="15">
        <f>M542*Q542</f>
        <v>8000</v>
      </c>
      <c r="U542" s="15"/>
      <c r="V542" s="15">
        <f>M542*U542</f>
        <v>0</v>
      </c>
      <c r="W542" s="15">
        <f>T542-V542</f>
        <v>8000</v>
      </c>
      <c r="X542" s="17">
        <f>IF(T542&gt;0, W542/T542, 0)</f>
        <v>1</v>
      </c>
      <c r="Y542" s="8" t="s">
        <v>41</v>
      </c>
      <c r="Z542" s="10" t="s">
        <v>42</v>
      </c>
      <c r="AA542" s="10" t="s">
        <v>43</v>
      </c>
      <c r="AB542" s="10" t="s">
        <v>44</v>
      </c>
      <c r="AC542" s="8" t="s">
        <v>44</v>
      </c>
    </row>
    <row r="543" spans="1:29">
      <c r="A543" s="11">
        <v>536</v>
      </c>
      <c r="B543" s="11" t="s">
        <v>826</v>
      </c>
      <c r="C543" s="11" t="s">
        <v>803</v>
      </c>
      <c r="D543" s="11" t="s">
        <v>655</v>
      </c>
      <c r="E543" s="11" t="s">
        <v>34</v>
      </c>
      <c r="F543" s="11" t="s">
        <v>35</v>
      </c>
      <c r="G543" s="9" t="s">
        <v>52</v>
      </c>
      <c r="H543" s="9" t="s">
        <v>37</v>
      </c>
      <c r="I543" s="9" t="s">
        <v>38</v>
      </c>
      <c r="J543" s="11">
        <v>170</v>
      </c>
      <c r="K543" s="11" t="s">
        <v>645</v>
      </c>
      <c r="L543" s="11" t="s">
        <v>55</v>
      </c>
      <c r="M543" s="13">
        <v>1</v>
      </c>
      <c r="N543" s="16">
        <v>7000.0</v>
      </c>
      <c r="O543" s="16"/>
      <c r="P543" s="18">
        <f>IF(N543&gt;0, O543/N543, 0)</f>
        <v>0</v>
      </c>
      <c r="Q543" s="16">
        <f>N543-O543</f>
        <v>7000</v>
      </c>
      <c r="R543" s="16">
        <f>M543*N543</f>
        <v>7000</v>
      </c>
      <c r="S543" s="16">
        <f>M543*O543</f>
        <v>0</v>
      </c>
      <c r="T543" s="16">
        <f>M543*Q543</f>
        <v>7000</v>
      </c>
      <c r="U543" s="16"/>
      <c r="V543" s="16">
        <f>M543*U543</f>
        <v>0</v>
      </c>
      <c r="W543" s="16">
        <f>T543-V543</f>
        <v>7000</v>
      </c>
      <c r="X543" s="18">
        <f>IF(T543&gt;0, W543/T543, 0)</f>
        <v>1</v>
      </c>
      <c r="Y543" s="9" t="s">
        <v>41</v>
      </c>
      <c r="Z543" s="11" t="s">
        <v>42</v>
      </c>
      <c r="AA543" s="11" t="s">
        <v>43</v>
      </c>
      <c r="AB543" s="11" t="s">
        <v>44</v>
      </c>
      <c r="AC543" s="9" t="s">
        <v>44</v>
      </c>
    </row>
    <row r="544" spans="1:29">
      <c r="A544" s="10">
        <v>537</v>
      </c>
      <c r="B544" s="10" t="s">
        <v>827</v>
      </c>
      <c r="C544" s="10" t="s">
        <v>803</v>
      </c>
      <c r="D544" s="10" t="s">
        <v>655</v>
      </c>
      <c r="E544" s="10" t="s">
        <v>34</v>
      </c>
      <c r="F544" s="10" t="s">
        <v>35</v>
      </c>
      <c r="G544" s="8" t="s">
        <v>52</v>
      </c>
      <c r="H544" s="8" t="s">
        <v>37</v>
      </c>
      <c r="I544" s="8" t="s">
        <v>38</v>
      </c>
      <c r="J544" s="10">
        <v>152</v>
      </c>
      <c r="K544" s="10" t="s">
        <v>154</v>
      </c>
      <c r="L544" s="10" t="s">
        <v>55</v>
      </c>
      <c r="M544" s="12">
        <v>1</v>
      </c>
      <c r="N544" s="15">
        <v>7000.0</v>
      </c>
      <c r="O544" s="15"/>
      <c r="P544" s="17">
        <f>IF(N544&gt;0, O544/N544, 0)</f>
        <v>0</v>
      </c>
      <c r="Q544" s="15">
        <f>N544-O544</f>
        <v>7000</v>
      </c>
      <c r="R544" s="15">
        <f>M544*N544</f>
        <v>7000</v>
      </c>
      <c r="S544" s="15">
        <f>M544*O544</f>
        <v>0</v>
      </c>
      <c r="T544" s="15">
        <f>M544*Q544</f>
        <v>7000</v>
      </c>
      <c r="U544" s="15"/>
      <c r="V544" s="15">
        <f>M544*U544</f>
        <v>0</v>
      </c>
      <c r="W544" s="15">
        <f>T544-V544</f>
        <v>7000</v>
      </c>
      <c r="X544" s="17">
        <f>IF(T544&gt;0, W544/T544, 0)</f>
        <v>1</v>
      </c>
      <c r="Y544" s="8" t="s">
        <v>41</v>
      </c>
      <c r="Z544" s="10" t="s">
        <v>42</v>
      </c>
      <c r="AA544" s="10" t="s">
        <v>43</v>
      </c>
      <c r="AB544" s="10" t="s">
        <v>44</v>
      </c>
      <c r="AC544" s="8" t="s">
        <v>44</v>
      </c>
    </row>
    <row r="545" spans="1:29">
      <c r="A545" s="11">
        <v>538</v>
      </c>
      <c r="B545" s="11" t="s">
        <v>828</v>
      </c>
      <c r="C545" s="11" t="s">
        <v>803</v>
      </c>
      <c r="D545" s="11" t="s">
        <v>655</v>
      </c>
      <c r="E545" s="11" t="s">
        <v>70</v>
      </c>
      <c r="F545" s="11" t="s">
        <v>35</v>
      </c>
      <c r="G545" s="9" t="s">
        <v>52</v>
      </c>
      <c r="H545" s="9" t="s">
        <v>58</v>
      </c>
      <c r="I545" s="9" t="s">
        <v>58</v>
      </c>
      <c r="J545" s="11">
        <v>134</v>
      </c>
      <c r="K545" s="11" t="s">
        <v>284</v>
      </c>
      <c r="L545" s="11" t="s">
        <v>40</v>
      </c>
      <c r="M545" s="13">
        <v>1</v>
      </c>
      <c r="N545" s="16">
        <v>8000.0</v>
      </c>
      <c r="O545" s="16"/>
      <c r="P545" s="18">
        <f>IF(N545&gt;0, O545/N545, 0)</f>
        <v>0</v>
      </c>
      <c r="Q545" s="16">
        <f>N545-O545</f>
        <v>8000</v>
      </c>
      <c r="R545" s="16">
        <f>M545*N545</f>
        <v>8000</v>
      </c>
      <c r="S545" s="16">
        <f>M545*O545</f>
        <v>0</v>
      </c>
      <c r="T545" s="16">
        <f>M545*Q545</f>
        <v>8000</v>
      </c>
      <c r="U545" s="16"/>
      <c r="V545" s="16">
        <f>M545*U545</f>
        <v>0</v>
      </c>
      <c r="W545" s="16">
        <f>T545-V545</f>
        <v>8000</v>
      </c>
      <c r="X545" s="18">
        <f>IF(T545&gt;0, W545/T545, 0)</f>
        <v>1</v>
      </c>
      <c r="Y545" s="9" t="s">
        <v>41</v>
      </c>
      <c r="Z545" s="11" t="s">
        <v>42</v>
      </c>
      <c r="AA545" s="11" t="s">
        <v>73</v>
      </c>
      <c r="AB545" s="11" t="s">
        <v>44</v>
      </c>
      <c r="AC545" s="9" t="s">
        <v>44</v>
      </c>
    </row>
    <row r="546" spans="1:29">
      <c r="A546" s="10">
        <v>539</v>
      </c>
      <c r="B546" s="10" t="s">
        <v>829</v>
      </c>
      <c r="C546" s="10" t="s">
        <v>803</v>
      </c>
      <c r="D546" s="10" t="s">
        <v>655</v>
      </c>
      <c r="E546" s="10" t="s">
        <v>34</v>
      </c>
      <c r="F546" s="10" t="s">
        <v>35</v>
      </c>
      <c r="G546" s="8" t="s">
        <v>52</v>
      </c>
      <c r="H546" s="8" t="s">
        <v>37</v>
      </c>
      <c r="I546" s="8" t="s">
        <v>75</v>
      </c>
      <c r="J546" s="10">
        <v>140</v>
      </c>
      <c r="K546" s="10" t="s">
        <v>573</v>
      </c>
      <c r="L546" s="10" t="s">
        <v>55</v>
      </c>
      <c r="M546" s="12">
        <v>1</v>
      </c>
      <c r="N546" s="15">
        <v>8000.0</v>
      </c>
      <c r="O546" s="15"/>
      <c r="P546" s="17">
        <f>IF(N546&gt;0, O546/N546, 0)</f>
        <v>0</v>
      </c>
      <c r="Q546" s="15">
        <f>N546-O546</f>
        <v>8000</v>
      </c>
      <c r="R546" s="15">
        <f>M546*N546</f>
        <v>8000</v>
      </c>
      <c r="S546" s="15">
        <f>M546*O546</f>
        <v>0</v>
      </c>
      <c r="T546" s="15">
        <f>M546*Q546</f>
        <v>8000</v>
      </c>
      <c r="U546" s="15"/>
      <c r="V546" s="15">
        <f>M546*U546</f>
        <v>0</v>
      </c>
      <c r="W546" s="15">
        <f>T546-V546</f>
        <v>8000</v>
      </c>
      <c r="X546" s="17">
        <f>IF(T546&gt;0, W546/T546, 0)</f>
        <v>1</v>
      </c>
      <c r="Y546" s="8" t="s">
        <v>41</v>
      </c>
      <c r="Z546" s="10" t="s">
        <v>42</v>
      </c>
      <c r="AA546" s="10" t="s">
        <v>43</v>
      </c>
      <c r="AB546" s="10" t="s">
        <v>44</v>
      </c>
      <c r="AC546" s="8" t="s">
        <v>44</v>
      </c>
    </row>
    <row r="547" spans="1:29">
      <c r="A547" s="11">
        <v>540</v>
      </c>
      <c r="B547" s="11" t="s">
        <v>830</v>
      </c>
      <c r="C547" s="11" t="s">
        <v>803</v>
      </c>
      <c r="D547" s="11" t="s">
        <v>655</v>
      </c>
      <c r="E547" s="11" t="s">
        <v>34</v>
      </c>
      <c r="F547" s="11" t="s">
        <v>35</v>
      </c>
      <c r="G547" s="9" t="s">
        <v>52</v>
      </c>
      <c r="H547" s="9" t="s">
        <v>37</v>
      </c>
      <c r="I547" s="9" t="s">
        <v>38</v>
      </c>
      <c r="J547" s="11">
        <v>140</v>
      </c>
      <c r="K547" s="11" t="s">
        <v>226</v>
      </c>
      <c r="L547" s="11" t="s">
        <v>55</v>
      </c>
      <c r="M547" s="13">
        <v>1</v>
      </c>
      <c r="N547" s="16">
        <v>7000.0</v>
      </c>
      <c r="O547" s="16"/>
      <c r="P547" s="18">
        <f>IF(N547&gt;0, O547/N547, 0)</f>
        <v>0</v>
      </c>
      <c r="Q547" s="16">
        <f>N547-O547</f>
        <v>7000</v>
      </c>
      <c r="R547" s="16">
        <f>M547*N547</f>
        <v>7000</v>
      </c>
      <c r="S547" s="16">
        <f>M547*O547</f>
        <v>0</v>
      </c>
      <c r="T547" s="16">
        <f>M547*Q547</f>
        <v>7000</v>
      </c>
      <c r="U547" s="16"/>
      <c r="V547" s="16">
        <f>M547*U547</f>
        <v>0</v>
      </c>
      <c r="W547" s="16">
        <f>T547-V547</f>
        <v>7000</v>
      </c>
      <c r="X547" s="18">
        <f>IF(T547&gt;0, W547/T547, 0)</f>
        <v>1</v>
      </c>
      <c r="Y547" s="9" t="s">
        <v>41</v>
      </c>
      <c r="Z547" s="11" t="s">
        <v>42</v>
      </c>
      <c r="AA547" s="11" t="s">
        <v>43</v>
      </c>
      <c r="AB547" s="11" t="s">
        <v>44</v>
      </c>
      <c r="AC547" s="9" t="s">
        <v>44</v>
      </c>
    </row>
    <row r="548" spans="1:29">
      <c r="A548" s="10">
        <v>541</v>
      </c>
      <c r="B548" s="10" t="s">
        <v>831</v>
      </c>
      <c r="C548" s="10" t="s">
        <v>832</v>
      </c>
      <c r="D548" s="10" t="s">
        <v>655</v>
      </c>
      <c r="E548" s="10" t="s">
        <v>70</v>
      </c>
      <c r="F548" s="10" t="s">
        <v>35</v>
      </c>
      <c r="G548" s="8" t="s">
        <v>52</v>
      </c>
      <c r="H548" s="8" t="s">
        <v>58</v>
      </c>
      <c r="I548" s="8" t="s">
        <v>58</v>
      </c>
      <c r="J548" s="10">
        <v>140</v>
      </c>
      <c r="K548" s="10" t="s">
        <v>600</v>
      </c>
      <c r="L548" s="10" t="s">
        <v>40</v>
      </c>
      <c r="M548" s="12">
        <v>1</v>
      </c>
      <c r="N548" s="15">
        <v>8000.0</v>
      </c>
      <c r="O548" s="15">
        <v>800.0</v>
      </c>
      <c r="P548" s="17">
        <f>IF(N548&gt;0, O548/N548, 0)</f>
        <v>0.1</v>
      </c>
      <c r="Q548" s="15">
        <f>N548-O548</f>
        <v>7200</v>
      </c>
      <c r="R548" s="15">
        <f>M548*N548</f>
        <v>8000</v>
      </c>
      <c r="S548" s="15">
        <f>M548*O548</f>
        <v>800</v>
      </c>
      <c r="T548" s="15">
        <f>M548*Q548</f>
        <v>7200</v>
      </c>
      <c r="U548" s="15"/>
      <c r="V548" s="15">
        <f>M548*U548</f>
        <v>0</v>
      </c>
      <c r="W548" s="15">
        <f>T548-V548</f>
        <v>7200</v>
      </c>
      <c r="X548" s="17">
        <f>IF(T548&gt;0, W548/T548, 0)</f>
        <v>1</v>
      </c>
      <c r="Y548" s="8" t="s">
        <v>41</v>
      </c>
      <c r="Z548" s="10" t="s">
        <v>42</v>
      </c>
      <c r="AA548" s="10" t="s">
        <v>73</v>
      </c>
      <c r="AB548" s="10" t="s">
        <v>44</v>
      </c>
      <c r="AC548" s="8" t="s">
        <v>44</v>
      </c>
    </row>
    <row r="549" spans="1:29">
      <c r="A549" s="11">
        <v>542</v>
      </c>
      <c r="B549" s="11" t="s">
        <v>833</v>
      </c>
      <c r="C549" s="11" t="s">
        <v>832</v>
      </c>
      <c r="D549" s="11" t="s">
        <v>655</v>
      </c>
      <c r="E549" s="11" t="s">
        <v>34</v>
      </c>
      <c r="F549" s="11" t="s">
        <v>35</v>
      </c>
      <c r="G549" s="9" t="s">
        <v>52</v>
      </c>
      <c r="H549" s="9" t="s">
        <v>53</v>
      </c>
      <c r="I549" s="9" t="s">
        <v>53</v>
      </c>
      <c r="J549" s="11">
        <v>140</v>
      </c>
      <c r="K549" s="11" t="s">
        <v>282</v>
      </c>
      <c r="L549" s="11" t="s">
        <v>55</v>
      </c>
      <c r="M549" s="13">
        <v>1</v>
      </c>
      <c r="N549" s="16">
        <v>8000.0</v>
      </c>
      <c r="O549" s="16">
        <v>800.0</v>
      </c>
      <c r="P549" s="18">
        <f>IF(N549&gt;0, O549/N549, 0)</f>
        <v>0.1</v>
      </c>
      <c r="Q549" s="16">
        <f>N549-O549</f>
        <v>7200</v>
      </c>
      <c r="R549" s="16">
        <f>M549*N549</f>
        <v>8000</v>
      </c>
      <c r="S549" s="16">
        <f>M549*O549</f>
        <v>800</v>
      </c>
      <c r="T549" s="16">
        <f>M549*Q549</f>
        <v>7200</v>
      </c>
      <c r="U549" s="16"/>
      <c r="V549" s="16">
        <f>M549*U549</f>
        <v>0</v>
      </c>
      <c r="W549" s="16">
        <f>T549-V549</f>
        <v>7200</v>
      </c>
      <c r="X549" s="18">
        <f>IF(T549&gt;0, W549/T549, 0)</f>
        <v>1</v>
      </c>
      <c r="Y549" s="9" t="s">
        <v>41</v>
      </c>
      <c r="Z549" s="11" t="s">
        <v>42</v>
      </c>
      <c r="AA549" s="11" t="s">
        <v>43</v>
      </c>
      <c r="AB549" s="11" t="s">
        <v>44</v>
      </c>
      <c r="AC549" s="9" t="s">
        <v>44</v>
      </c>
    </row>
    <row r="550" spans="1:29">
      <c r="A550" s="10">
        <v>543</v>
      </c>
      <c r="B550" s="10" t="s">
        <v>834</v>
      </c>
      <c r="C550" s="10" t="s">
        <v>832</v>
      </c>
      <c r="D550" s="10" t="s">
        <v>655</v>
      </c>
      <c r="E550" s="10" t="s">
        <v>34</v>
      </c>
      <c r="F550" s="10" t="s">
        <v>35</v>
      </c>
      <c r="G550" s="8" t="s">
        <v>52</v>
      </c>
      <c r="H550" s="8" t="s">
        <v>53</v>
      </c>
      <c r="I550" s="8" t="s">
        <v>53</v>
      </c>
      <c r="J550" s="10">
        <v>146</v>
      </c>
      <c r="K550" s="10" t="s">
        <v>257</v>
      </c>
      <c r="L550" s="10" t="s">
        <v>55</v>
      </c>
      <c r="M550" s="12">
        <v>1</v>
      </c>
      <c r="N550" s="15">
        <v>8000.0</v>
      </c>
      <c r="O550" s="15">
        <v>800.0</v>
      </c>
      <c r="P550" s="17">
        <f>IF(N550&gt;0, O550/N550, 0)</f>
        <v>0.1</v>
      </c>
      <c r="Q550" s="15">
        <f>N550-O550</f>
        <v>7200</v>
      </c>
      <c r="R550" s="15">
        <f>M550*N550</f>
        <v>8000</v>
      </c>
      <c r="S550" s="15">
        <f>M550*O550</f>
        <v>800</v>
      </c>
      <c r="T550" s="15">
        <f>M550*Q550</f>
        <v>7200</v>
      </c>
      <c r="U550" s="15"/>
      <c r="V550" s="15">
        <f>M550*U550</f>
        <v>0</v>
      </c>
      <c r="W550" s="15">
        <f>T550-V550</f>
        <v>7200</v>
      </c>
      <c r="X550" s="17">
        <f>IF(T550&gt;0, W550/T550, 0)</f>
        <v>1</v>
      </c>
      <c r="Y550" s="8" t="s">
        <v>41</v>
      </c>
      <c r="Z550" s="10" t="s">
        <v>42</v>
      </c>
      <c r="AA550" s="10" t="s">
        <v>43</v>
      </c>
      <c r="AB550" s="10" t="s">
        <v>44</v>
      </c>
      <c r="AC550" s="8" t="s">
        <v>44</v>
      </c>
    </row>
    <row r="551" spans="1:29">
      <c r="A551" s="11">
        <v>544</v>
      </c>
      <c r="B551" s="11" t="s">
        <v>835</v>
      </c>
      <c r="C551" s="11" t="s">
        <v>832</v>
      </c>
      <c r="D551" s="11" t="s">
        <v>655</v>
      </c>
      <c r="E551" s="11" t="s">
        <v>70</v>
      </c>
      <c r="F551" s="11" t="s">
        <v>35</v>
      </c>
      <c r="G551" s="9" t="s">
        <v>36</v>
      </c>
      <c r="H551" s="9" t="s">
        <v>71</v>
      </c>
      <c r="I551" s="9" t="s">
        <v>71</v>
      </c>
      <c r="J551" s="11">
        <v>158</v>
      </c>
      <c r="K551" s="11" t="s">
        <v>263</v>
      </c>
      <c r="L551" s="11" t="s">
        <v>40</v>
      </c>
      <c r="M551" s="13">
        <v>2</v>
      </c>
      <c r="N551" s="16">
        <v>18000.0</v>
      </c>
      <c r="O551" s="16"/>
      <c r="P551" s="18">
        <f>IF(N551&gt;0, O551/N551, 0)</f>
        <v>0</v>
      </c>
      <c r="Q551" s="16">
        <f>N551-O551</f>
        <v>18000</v>
      </c>
      <c r="R551" s="16">
        <f>M551*N551</f>
        <v>36000</v>
      </c>
      <c r="S551" s="16">
        <f>M551*O551</f>
        <v>0</v>
      </c>
      <c r="T551" s="16">
        <f>M551*Q551</f>
        <v>36000</v>
      </c>
      <c r="U551" s="16"/>
      <c r="V551" s="16">
        <f>M551*U551</f>
        <v>0</v>
      </c>
      <c r="W551" s="16">
        <f>T551-V551</f>
        <v>36000</v>
      </c>
      <c r="X551" s="18">
        <f>IF(T551&gt;0, W551/T551, 0)</f>
        <v>1</v>
      </c>
      <c r="Y551" s="9" t="s">
        <v>41</v>
      </c>
      <c r="Z551" s="11" t="s">
        <v>42</v>
      </c>
      <c r="AA551" s="11" t="s">
        <v>73</v>
      </c>
      <c r="AB551" s="11" t="s">
        <v>44</v>
      </c>
      <c r="AC551" s="9" t="s">
        <v>44</v>
      </c>
    </row>
    <row r="552" spans="1:29">
      <c r="A552" s="10">
        <v>545</v>
      </c>
      <c r="B552" s="10" t="s">
        <v>836</v>
      </c>
      <c r="C552" s="10" t="s">
        <v>832</v>
      </c>
      <c r="D552" s="10" t="s">
        <v>655</v>
      </c>
      <c r="E552" s="10" t="s">
        <v>34</v>
      </c>
      <c r="F552" s="10" t="s">
        <v>35</v>
      </c>
      <c r="G552" s="8" t="s">
        <v>36</v>
      </c>
      <c r="H552" s="8" t="s">
        <v>53</v>
      </c>
      <c r="I552" s="8" t="s">
        <v>53</v>
      </c>
      <c r="J552" s="10">
        <v>158</v>
      </c>
      <c r="K552" s="10" t="s">
        <v>124</v>
      </c>
      <c r="L552" s="10" t="s">
        <v>40</v>
      </c>
      <c r="M552" s="12">
        <v>1</v>
      </c>
      <c r="N552" s="15">
        <v>8500.0</v>
      </c>
      <c r="O552" s="15"/>
      <c r="P552" s="17">
        <f>IF(N552&gt;0, O552/N552, 0)</f>
        <v>0</v>
      </c>
      <c r="Q552" s="15">
        <f>N552-O552</f>
        <v>8500</v>
      </c>
      <c r="R552" s="15">
        <f>M552*N552</f>
        <v>8500</v>
      </c>
      <c r="S552" s="15">
        <f>M552*O552</f>
        <v>0</v>
      </c>
      <c r="T552" s="15">
        <f>M552*Q552</f>
        <v>8500</v>
      </c>
      <c r="U552" s="15"/>
      <c r="V552" s="15">
        <f>M552*U552</f>
        <v>0</v>
      </c>
      <c r="W552" s="15">
        <f>T552-V552</f>
        <v>8500</v>
      </c>
      <c r="X552" s="17">
        <f>IF(T552&gt;0, W552/T552, 0)</f>
        <v>1</v>
      </c>
      <c r="Y552" s="8" t="s">
        <v>41</v>
      </c>
      <c r="Z552" s="10" t="s">
        <v>42</v>
      </c>
      <c r="AA552" s="10" t="s">
        <v>43</v>
      </c>
      <c r="AB552" s="10" t="s">
        <v>44</v>
      </c>
      <c r="AC552" s="8" t="s">
        <v>44</v>
      </c>
    </row>
    <row r="553" spans="1:29">
      <c r="A553" s="11">
        <v>546</v>
      </c>
      <c r="B553" s="11" t="s">
        <v>837</v>
      </c>
      <c r="C553" s="11" t="s">
        <v>832</v>
      </c>
      <c r="D553" s="11" t="s">
        <v>655</v>
      </c>
      <c r="E553" s="11" t="s">
        <v>34</v>
      </c>
      <c r="F553" s="11" t="s">
        <v>35</v>
      </c>
      <c r="G553" s="9" t="s">
        <v>36</v>
      </c>
      <c r="H553" s="9" t="s">
        <v>37</v>
      </c>
      <c r="I553" s="9" t="s">
        <v>38</v>
      </c>
      <c r="J553" s="11">
        <v>164</v>
      </c>
      <c r="K553" s="11" t="s">
        <v>79</v>
      </c>
      <c r="L553" s="11" t="s">
        <v>40</v>
      </c>
      <c r="M553" s="13">
        <v>2</v>
      </c>
      <c r="N553" s="16">
        <v>8000.0</v>
      </c>
      <c r="O553" s="16"/>
      <c r="P553" s="18">
        <f>IF(N553&gt;0, O553/N553, 0)</f>
        <v>0</v>
      </c>
      <c r="Q553" s="16">
        <f>N553-O553</f>
        <v>8000</v>
      </c>
      <c r="R553" s="16">
        <f>M553*N553</f>
        <v>16000</v>
      </c>
      <c r="S553" s="16">
        <f>M553*O553</f>
        <v>0</v>
      </c>
      <c r="T553" s="16">
        <f>M553*Q553</f>
        <v>16000</v>
      </c>
      <c r="U553" s="16"/>
      <c r="V553" s="16">
        <f>M553*U553</f>
        <v>0</v>
      </c>
      <c r="W553" s="16">
        <f>T553-V553</f>
        <v>16000</v>
      </c>
      <c r="X553" s="18">
        <f>IF(T553&gt;0, W553/T553, 0)</f>
        <v>1</v>
      </c>
      <c r="Y553" s="9" t="s">
        <v>41</v>
      </c>
      <c r="Z553" s="11" t="s">
        <v>42</v>
      </c>
      <c r="AA553" s="11" t="s">
        <v>43</v>
      </c>
      <c r="AB553" s="11" t="s">
        <v>44</v>
      </c>
      <c r="AC553" s="9" t="s">
        <v>44</v>
      </c>
    </row>
    <row r="554" spans="1:29">
      <c r="A554" s="10">
        <v>547</v>
      </c>
      <c r="B554" s="10" t="s">
        <v>838</v>
      </c>
      <c r="C554" s="10" t="s">
        <v>832</v>
      </c>
      <c r="D554" s="10" t="s">
        <v>655</v>
      </c>
      <c r="E554" s="10" t="s">
        <v>34</v>
      </c>
      <c r="F554" s="10" t="s">
        <v>35</v>
      </c>
      <c r="G554" s="8" t="s">
        <v>36</v>
      </c>
      <c r="H554" s="8" t="s">
        <v>47</v>
      </c>
      <c r="I554" s="8" t="s">
        <v>48</v>
      </c>
      <c r="J554" s="10">
        <v>158</v>
      </c>
      <c r="K554" s="10" t="s">
        <v>49</v>
      </c>
      <c r="L554" s="10" t="s">
        <v>40</v>
      </c>
      <c r="M554" s="12">
        <v>1</v>
      </c>
      <c r="N554" s="15">
        <v>18000.0</v>
      </c>
      <c r="O554" s="15"/>
      <c r="P554" s="17">
        <f>IF(N554&gt;0, O554/N554, 0)</f>
        <v>0</v>
      </c>
      <c r="Q554" s="15">
        <f>N554-O554</f>
        <v>18000</v>
      </c>
      <c r="R554" s="15">
        <f>M554*N554</f>
        <v>18000</v>
      </c>
      <c r="S554" s="15">
        <f>M554*O554</f>
        <v>0</v>
      </c>
      <c r="T554" s="15">
        <f>M554*Q554</f>
        <v>18000</v>
      </c>
      <c r="U554" s="15"/>
      <c r="V554" s="15">
        <f>M554*U554</f>
        <v>0</v>
      </c>
      <c r="W554" s="15">
        <f>T554-V554</f>
        <v>18000</v>
      </c>
      <c r="X554" s="17">
        <f>IF(T554&gt;0, W554/T554, 0)</f>
        <v>1</v>
      </c>
      <c r="Y554" s="8" t="s">
        <v>41</v>
      </c>
      <c r="Z554" s="10" t="s">
        <v>42</v>
      </c>
      <c r="AA554" s="10" t="s">
        <v>43</v>
      </c>
      <c r="AB554" s="10" t="s">
        <v>44</v>
      </c>
      <c r="AC554" s="8" t="s">
        <v>44</v>
      </c>
    </row>
    <row r="555" spans="1:29">
      <c r="A555" s="11">
        <v>548</v>
      </c>
      <c r="B555" s="11" t="s">
        <v>839</v>
      </c>
      <c r="C555" s="11" t="s">
        <v>832</v>
      </c>
      <c r="D555" s="11" t="s">
        <v>655</v>
      </c>
      <c r="E555" s="11" t="s">
        <v>34</v>
      </c>
      <c r="F555" s="11" t="s">
        <v>35</v>
      </c>
      <c r="G555" s="9" t="s">
        <v>52</v>
      </c>
      <c r="H555" s="9" t="s">
        <v>53</v>
      </c>
      <c r="I555" s="9" t="s">
        <v>53</v>
      </c>
      <c r="J555" s="11">
        <v>170</v>
      </c>
      <c r="K555" s="11" t="s">
        <v>54</v>
      </c>
      <c r="L555" s="11" t="s">
        <v>55</v>
      </c>
      <c r="M555" s="13">
        <v>1</v>
      </c>
      <c r="N555" s="16">
        <v>8000.0</v>
      </c>
      <c r="O555" s="16"/>
      <c r="P555" s="18">
        <f>IF(N555&gt;0, O555/N555, 0)</f>
        <v>0</v>
      </c>
      <c r="Q555" s="16">
        <f>N555-O555</f>
        <v>8000</v>
      </c>
      <c r="R555" s="16">
        <f>M555*N555</f>
        <v>8000</v>
      </c>
      <c r="S555" s="16">
        <f>M555*O555</f>
        <v>0</v>
      </c>
      <c r="T555" s="16">
        <f>M555*Q555</f>
        <v>8000</v>
      </c>
      <c r="U555" s="16"/>
      <c r="V555" s="16">
        <f>M555*U555</f>
        <v>0</v>
      </c>
      <c r="W555" s="16">
        <f>T555-V555</f>
        <v>8000</v>
      </c>
      <c r="X555" s="18">
        <f>IF(T555&gt;0, W555/T555, 0)</f>
        <v>1</v>
      </c>
      <c r="Y555" s="9" t="s">
        <v>41</v>
      </c>
      <c r="Z555" s="11" t="s">
        <v>42</v>
      </c>
      <c r="AA555" s="11" t="s">
        <v>43</v>
      </c>
      <c r="AB555" s="11" t="s">
        <v>44</v>
      </c>
      <c r="AC555" s="9" t="s">
        <v>44</v>
      </c>
    </row>
    <row r="556" spans="1:29">
      <c r="A556" s="10">
        <v>549</v>
      </c>
      <c r="B556" s="10" t="s">
        <v>840</v>
      </c>
      <c r="C556" s="10" t="s">
        <v>832</v>
      </c>
      <c r="D556" s="10" t="s">
        <v>655</v>
      </c>
      <c r="E556" s="10" t="s">
        <v>34</v>
      </c>
      <c r="F556" s="10" t="s">
        <v>35</v>
      </c>
      <c r="G556" s="8" t="s">
        <v>52</v>
      </c>
      <c r="H556" s="8" t="s">
        <v>58</v>
      </c>
      <c r="I556" s="8" t="s">
        <v>58</v>
      </c>
      <c r="J556" s="10">
        <v>158</v>
      </c>
      <c r="K556" s="10" t="s">
        <v>795</v>
      </c>
      <c r="L556" s="10" t="s">
        <v>40</v>
      </c>
      <c r="M556" s="12">
        <v>1</v>
      </c>
      <c r="N556" s="15">
        <v>7000.0</v>
      </c>
      <c r="O556" s="15"/>
      <c r="P556" s="17">
        <f>IF(N556&gt;0, O556/N556, 0)</f>
        <v>0</v>
      </c>
      <c r="Q556" s="15">
        <f>N556-O556</f>
        <v>7000</v>
      </c>
      <c r="R556" s="15">
        <f>M556*N556</f>
        <v>7000</v>
      </c>
      <c r="S556" s="15">
        <f>M556*O556</f>
        <v>0</v>
      </c>
      <c r="T556" s="15">
        <f>M556*Q556</f>
        <v>7000</v>
      </c>
      <c r="U556" s="15"/>
      <c r="V556" s="15">
        <f>M556*U556</f>
        <v>0</v>
      </c>
      <c r="W556" s="15">
        <f>T556-V556</f>
        <v>7000</v>
      </c>
      <c r="X556" s="17">
        <f>IF(T556&gt;0, W556/T556, 0)</f>
        <v>1</v>
      </c>
      <c r="Y556" s="8" t="s">
        <v>41</v>
      </c>
      <c r="Z556" s="10" t="s">
        <v>42</v>
      </c>
      <c r="AA556" s="10" t="s">
        <v>43</v>
      </c>
      <c r="AB556" s="10" t="s">
        <v>44</v>
      </c>
      <c r="AC556" s="8" t="s">
        <v>44</v>
      </c>
    </row>
    <row r="557" spans="1:29">
      <c r="A557" s="11">
        <v>550</v>
      </c>
      <c r="B557" s="11" t="s">
        <v>841</v>
      </c>
      <c r="C557" s="11" t="s">
        <v>832</v>
      </c>
      <c r="D557" s="11" t="s">
        <v>655</v>
      </c>
      <c r="E557" s="11" t="s">
        <v>34</v>
      </c>
      <c r="F557" s="11" t="s">
        <v>35</v>
      </c>
      <c r="G557" s="9" t="s">
        <v>52</v>
      </c>
      <c r="H557" s="9" t="s">
        <v>37</v>
      </c>
      <c r="I557" s="9" t="s">
        <v>75</v>
      </c>
      <c r="J557" s="11">
        <v>164</v>
      </c>
      <c r="K557" s="11" t="s">
        <v>190</v>
      </c>
      <c r="L557" s="11" t="s">
        <v>55</v>
      </c>
      <c r="M557" s="13">
        <v>1</v>
      </c>
      <c r="N557" s="16">
        <v>8000.0</v>
      </c>
      <c r="O557" s="16"/>
      <c r="P557" s="18">
        <f>IF(N557&gt;0, O557/N557, 0)</f>
        <v>0</v>
      </c>
      <c r="Q557" s="16">
        <f>N557-O557</f>
        <v>8000</v>
      </c>
      <c r="R557" s="16">
        <f>M557*N557</f>
        <v>8000</v>
      </c>
      <c r="S557" s="16">
        <f>M557*O557</f>
        <v>0</v>
      </c>
      <c r="T557" s="16">
        <f>M557*Q557</f>
        <v>8000</v>
      </c>
      <c r="U557" s="16"/>
      <c r="V557" s="16">
        <f>M557*U557</f>
        <v>0</v>
      </c>
      <c r="W557" s="16">
        <f>T557-V557</f>
        <v>8000</v>
      </c>
      <c r="X557" s="18">
        <f>IF(T557&gt;0, W557/T557, 0)</f>
        <v>1</v>
      </c>
      <c r="Y557" s="9" t="s">
        <v>41</v>
      </c>
      <c r="Z557" s="11" t="s">
        <v>42</v>
      </c>
      <c r="AA557" s="11" t="s">
        <v>43</v>
      </c>
      <c r="AB557" s="11" t="s">
        <v>44</v>
      </c>
      <c r="AC557" s="9" t="s">
        <v>44</v>
      </c>
    </row>
    <row r="558" spans="1:29">
      <c r="A558" s="10">
        <v>551</v>
      </c>
      <c r="B558" s="10" t="s">
        <v>842</v>
      </c>
      <c r="C558" s="10" t="s">
        <v>832</v>
      </c>
      <c r="D558" s="10" t="s">
        <v>655</v>
      </c>
      <c r="E558" s="10" t="s">
        <v>34</v>
      </c>
      <c r="F558" s="10" t="s">
        <v>35</v>
      </c>
      <c r="G558" s="8" t="s">
        <v>52</v>
      </c>
      <c r="H558" s="8" t="s">
        <v>37</v>
      </c>
      <c r="I558" s="8" t="s">
        <v>38</v>
      </c>
      <c r="J558" s="10">
        <v>170</v>
      </c>
      <c r="K558" s="10" t="s">
        <v>645</v>
      </c>
      <c r="L558" s="10" t="s">
        <v>55</v>
      </c>
      <c r="M558" s="12">
        <v>2</v>
      </c>
      <c r="N558" s="15">
        <v>7000.0</v>
      </c>
      <c r="O558" s="15"/>
      <c r="P558" s="17">
        <f>IF(N558&gt;0, O558/N558, 0)</f>
        <v>0</v>
      </c>
      <c r="Q558" s="15">
        <f>N558-O558</f>
        <v>7000</v>
      </c>
      <c r="R558" s="15">
        <f>M558*N558</f>
        <v>14000</v>
      </c>
      <c r="S558" s="15">
        <f>M558*O558</f>
        <v>0</v>
      </c>
      <c r="T558" s="15">
        <f>M558*Q558</f>
        <v>14000</v>
      </c>
      <c r="U558" s="15"/>
      <c r="V558" s="15">
        <f>M558*U558</f>
        <v>0</v>
      </c>
      <c r="W558" s="15">
        <f>T558-V558</f>
        <v>14000</v>
      </c>
      <c r="X558" s="17">
        <f>IF(T558&gt;0, W558/T558, 0)</f>
        <v>1</v>
      </c>
      <c r="Y558" s="8" t="s">
        <v>41</v>
      </c>
      <c r="Z558" s="10" t="s">
        <v>42</v>
      </c>
      <c r="AA558" s="10" t="s">
        <v>43</v>
      </c>
      <c r="AB558" s="10" t="s">
        <v>44</v>
      </c>
      <c r="AC558" s="8" t="s">
        <v>44</v>
      </c>
    </row>
    <row r="559" spans="1:29">
      <c r="A559" s="11">
        <v>552</v>
      </c>
      <c r="B559" s="11" t="s">
        <v>843</v>
      </c>
      <c r="C559" s="11" t="s">
        <v>832</v>
      </c>
      <c r="D559" s="11" t="s">
        <v>655</v>
      </c>
      <c r="E559" s="11" t="s">
        <v>34</v>
      </c>
      <c r="F559" s="11" t="s">
        <v>35</v>
      </c>
      <c r="G559" s="9" t="s">
        <v>52</v>
      </c>
      <c r="H559" s="9" t="s">
        <v>47</v>
      </c>
      <c r="I559" s="9" t="s">
        <v>48</v>
      </c>
      <c r="J559" s="11">
        <v>158</v>
      </c>
      <c r="K559" s="11" t="s">
        <v>444</v>
      </c>
      <c r="L559" s="11" t="s">
        <v>40</v>
      </c>
      <c r="M559" s="13">
        <v>1</v>
      </c>
      <c r="N559" s="16">
        <v>18000.0</v>
      </c>
      <c r="O559" s="16"/>
      <c r="P559" s="18">
        <f>IF(N559&gt;0, O559/N559, 0)</f>
        <v>0</v>
      </c>
      <c r="Q559" s="16">
        <f>N559-O559</f>
        <v>18000</v>
      </c>
      <c r="R559" s="16">
        <f>M559*N559</f>
        <v>18000</v>
      </c>
      <c r="S559" s="16">
        <f>M559*O559</f>
        <v>0</v>
      </c>
      <c r="T559" s="16">
        <f>M559*Q559</f>
        <v>18000</v>
      </c>
      <c r="U559" s="16"/>
      <c r="V559" s="16">
        <f>M559*U559</f>
        <v>0</v>
      </c>
      <c r="W559" s="16">
        <f>T559-V559</f>
        <v>18000</v>
      </c>
      <c r="X559" s="18">
        <f>IF(T559&gt;0, W559/T559, 0)</f>
        <v>1</v>
      </c>
      <c r="Y559" s="9" t="s">
        <v>41</v>
      </c>
      <c r="Z559" s="11" t="s">
        <v>42</v>
      </c>
      <c r="AA559" s="11" t="s">
        <v>43</v>
      </c>
      <c r="AB559" s="11" t="s">
        <v>44</v>
      </c>
      <c r="AC559" s="9" t="s">
        <v>44</v>
      </c>
    </row>
    <row r="560" spans="1:29">
      <c r="A560" s="10">
        <v>553</v>
      </c>
      <c r="B560" s="10" t="s">
        <v>844</v>
      </c>
      <c r="C560" s="10" t="s">
        <v>832</v>
      </c>
      <c r="D560" s="10" t="s">
        <v>655</v>
      </c>
      <c r="E560" s="10" t="s">
        <v>34</v>
      </c>
      <c r="F560" s="10" t="s">
        <v>35</v>
      </c>
      <c r="G560" s="8" t="s">
        <v>36</v>
      </c>
      <c r="H560" s="8" t="s">
        <v>47</v>
      </c>
      <c r="I560" s="8" t="s">
        <v>48</v>
      </c>
      <c r="J560" s="10">
        <v>164</v>
      </c>
      <c r="K560" s="10" t="s">
        <v>321</v>
      </c>
      <c r="L560" s="10" t="s">
        <v>40</v>
      </c>
      <c r="M560" s="12">
        <v>1</v>
      </c>
      <c r="N560" s="15">
        <v>18000.0</v>
      </c>
      <c r="O560" s="15"/>
      <c r="P560" s="17">
        <f>IF(N560&gt;0, O560/N560, 0)</f>
        <v>0</v>
      </c>
      <c r="Q560" s="15">
        <f>N560-O560</f>
        <v>18000</v>
      </c>
      <c r="R560" s="15">
        <f>M560*N560</f>
        <v>18000</v>
      </c>
      <c r="S560" s="15">
        <f>M560*O560</f>
        <v>0</v>
      </c>
      <c r="T560" s="15">
        <f>M560*Q560</f>
        <v>18000</v>
      </c>
      <c r="U560" s="15"/>
      <c r="V560" s="15">
        <f>M560*U560</f>
        <v>0</v>
      </c>
      <c r="W560" s="15">
        <f>T560-V560</f>
        <v>18000</v>
      </c>
      <c r="X560" s="17">
        <f>IF(T560&gt;0, W560/T560, 0)</f>
        <v>1</v>
      </c>
      <c r="Y560" s="8" t="s">
        <v>41</v>
      </c>
      <c r="Z560" s="10" t="s">
        <v>42</v>
      </c>
      <c r="AA560" s="10" t="s">
        <v>43</v>
      </c>
      <c r="AB560" s="10" t="s">
        <v>44</v>
      </c>
      <c r="AC560" s="8" t="s">
        <v>44</v>
      </c>
    </row>
    <row r="561" spans="1:29">
      <c r="A561" s="11">
        <v>554</v>
      </c>
      <c r="B561" s="11" t="s">
        <v>845</v>
      </c>
      <c r="C561" s="11" t="s">
        <v>832</v>
      </c>
      <c r="D561" s="11" t="s">
        <v>655</v>
      </c>
      <c r="E561" s="11" t="s">
        <v>34</v>
      </c>
      <c r="F561" s="11" t="s">
        <v>35</v>
      </c>
      <c r="G561" s="9" t="s">
        <v>36</v>
      </c>
      <c r="H561" s="9" t="s">
        <v>47</v>
      </c>
      <c r="I561" s="9" t="s">
        <v>48</v>
      </c>
      <c r="J561" s="11">
        <v>176</v>
      </c>
      <c r="K561" s="11" t="s">
        <v>427</v>
      </c>
      <c r="L561" s="11" t="s">
        <v>40</v>
      </c>
      <c r="M561" s="13">
        <v>1</v>
      </c>
      <c r="N561" s="16">
        <v>18000.0</v>
      </c>
      <c r="O561" s="16"/>
      <c r="P561" s="18">
        <f>IF(N561&gt;0, O561/N561, 0)</f>
        <v>0</v>
      </c>
      <c r="Q561" s="16">
        <f>N561-O561</f>
        <v>18000</v>
      </c>
      <c r="R561" s="16">
        <f>M561*N561</f>
        <v>18000</v>
      </c>
      <c r="S561" s="16">
        <f>M561*O561</f>
        <v>0</v>
      </c>
      <c r="T561" s="16">
        <f>M561*Q561</f>
        <v>18000</v>
      </c>
      <c r="U561" s="16"/>
      <c r="V561" s="16">
        <f>M561*U561</f>
        <v>0</v>
      </c>
      <c r="W561" s="16">
        <f>T561-V561</f>
        <v>18000</v>
      </c>
      <c r="X561" s="18">
        <f>IF(T561&gt;0, W561/T561, 0)</f>
        <v>1</v>
      </c>
      <c r="Y561" s="9" t="s">
        <v>41</v>
      </c>
      <c r="Z561" s="11" t="s">
        <v>42</v>
      </c>
      <c r="AA561" s="11" t="s">
        <v>43</v>
      </c>
      <c r="AB561" s="11" t="s">
        <v>44</v>
      </c>
      <c r="AC561" s="9" t="s">
        <v>44</v>
      </c>
    </row>
    <row r="562" spans="1:29">
      <c r="A562" s="10">
        <v>555</v>
      </c>
      <c r="B562" s="10" t="s">
        <v>846</v>
      </c>
      <c r="C562" s="10" t="s">
        <v>847</v>
      </c>
      <c r="D562" s="10" t="s">
        <v>655</v>
      </c>
      <c r="E562" s="10" t="s">
        <v>34</v>
      </c>
      <c r="F562" s="10" t="s">
        <v>35</v>
      </c>
      <c r="G562" s="8" t="s">
        <v>36</v>
      </c>
      <c r="H562" s="8" t="s">
        <v>65</v>
      </c>
      <c r="I562" s="8" t="s">
        <v>151</v>
      </c>
      <c r="J562" s="10">
        <v>182</v>
      </c>
      <c r="K562" s="10" t="s">
        <v>742</v>
      </c>
      <c r="L562" s="10" t="s">
        <v>40</v>
      </c>
      <c r="M562" s="12">
        <v>2</v>
      </c>
      <c r="N562" s="15">
        <v>9500.0</v>
      </c>
      <c r="O562" s="15"/>
      <c r="P562" s="17">
        <f>IF(N562&gt;0, O562/N562, 0)</f>
        <v>0</v>
      </c>
      <c r="Q562" s="15">
        <f>N562-O562</f>
        <v>9500</v>
      </c>
      <c r="R562" s="15">
        <f>M562*N562</f>
        <v>19000</v>
      </c>
      <c r="S562" s="15">
        <f>M562*O562</f>
        <v>0</v>
      </c>
      <c r="T562" s="15">
        <f>M562*Q562</f>
        <v>19000</v>
      </c>
      <c r="U562" s="15"/>
      <c r="V562" s="15">
        <f>M562*U562</f>
        <v>0</v>
      </c>
      <c r="W562" s="15">
        <f>T562-V562</f>
        <v>19000</v>
      </c>
      <c r="X562" s="17">
        <f>IF(T562&gt;0, W562/T562, 0)</f>
        <v>1</v>
      </c>
      <c r="Y562" s="8" t="s">
        <v>41</v>
      </c>
      <c r="Z562" s="10" t="s">
        <v>42</v>
      </c>
      <c r="AA562" s="10" t="s">
        <v>43</v>
      </c>
      <c r="AB562" s="10" t="s">
        <v>44</v>
      </c>
      <c r="AC562" s="8" t="s">
        <v>44</v>
      </c>
    </row>
    <row r="563" spans="1:29">
      <c r="A563" s="11">
        <v>556</v>
      </c>
      <c r="B563" s="11" t="s">
        <v>848</v>
      </c>
      <c r="C563" s="11" t="s">
        <v>847</v>
      </c>
      <c r="D563" s="11" t="s">
        <v>655</v>
      </c>
      <c r="E563" s="11" t="s">
        <v>34</v>
      </c>
      <c r="F563" s="11" t="s">
        <v>35</v>
      </c>
      <c r="G563" s="9" t="s">
        <v>36</v>
      </c>
      <c r="H563" s="9" t="s">
        <v>71</v>
      </c>
      <c r="I563" s="9" t="s">
        <v>71</v>
      </c>
      <c r="J563" s="11">
        <v>182</v>
      </c>
      <c r="K563" s="11" t="s">
        <v>425</v>
      </c>
      <c r="L563" s="11" t="s">
        <v>40</v>
      </c>
      <c r="M563" s="13">
        <v>1</v>
      </c>
      <c r="N563" s="16">
        <v>16500.0</v>
      </c>
      <c r="O563" s="16"/>
      <c r="P563" s="18">
        <f>IF(N563&gt;0, O563/N563, 0)</f>
        <v>0</v>
      </c>
      <c r="Q563" s="16">
        <f>N563-O563</f>
        <v>16500</v>
      </c>
      <c r="R563" s="16">
        <f>M563*N563</f>
        <v>16500</v>
      </c>
      <c r="S563" s="16">
        <f>M563*O563</f>
        <v>0</v>
      </c>
      <c r="T563" s="16">
        <f>M563*Q563</f>
        <v>16500</v>
      </c>
      <c r="U563" s="16"/>
      <c r="V563" s="16">
        <f>M563*U563</f>
        <v>0</v>
      </c>
      <c r="W563" s="16">
        <f>T563-V563</f>
        <v>16500</v>
      </c>
      <c r="X563" s="18">
        <f>IF(T563&gt;0, W563/T563, 0)</f>
        <v>1</v>
      </c>
      <c r="Y563" s="9" t="s">
        <v>41</v>
      </c>
      <c r="Z563" s="11" t="s">
        <v>42</v>
      </c>
      <c r="AA563" s="11" t="s">
        <v>43</v>
      </c>
      <c r="AB563" s="11" t="s">
        <v>44</v>
      </c>
      <c r="AC563" s="9" t="s">
        <v>44</v>
      </c>
    </row>
    <row r="564" spans="1:29">
      <c r="A564" s="10">
        <v>557</v>
      </c>
      <c r="B564" s="10" t="s">
        <v>849</v>
      </c>
      <c r="C564" s="10" t="s">
        <v>847</v>
      </c>
      <c r="D564" s="10" t="s">
        <v>655</v>
      </c>
      <c r="E564" s="10" t="s">
        <v>34</v>
      </c>
      <c r="F564" s="10" t="s">
        <v>35</v>
      </c>
      <c r="G564" s="8" t="s">
        <v>36</v>
      </c>
      <c r="H564" s="8" t="s">
        <v>37</v>
      </c>
      <c r="I564" s="8" t="s">
        <v>38</v>
      </c>
      <c r="J564" s="10">
        <v>182</v>
      </c>
      <c r="K564" s="10" t="s">
        <v>338</v>
      </c>
      <c r="L564" s="10" t="s">
        <v>40</v>
      </c>
      <c r="M564" s="12">
        <v>2</v>
      </c>
      <c r="N564" s="15">
        <v>8000.0</v>
      </c>
      <c r="O564" s="15"/>
      <c r="P564" s="17">
        <f>IF(N564&gt;0, O564/N564, 0)</f>
        <v>0</v>
      </c>
      <c r="Q564" s="15">
        <f>N564-O564</f>
        <v>8000</v>
      </c>
      <c r="R564" s="15">
        <f>M564*N564</f>
        <v>16000</v>
      </c>
      <c r="S564" s="15">
        <f>M564*O564</f>
        <v>0</v>
      </c>
      <c r="T564" s="15">
        <f>M564*Q564</f>
        <v>16000</v>
      </c>
      <c r="U564" s="15"/>
      <c r="V564" s="15">
        <f>M564*U564</f>
        <v>0</v>
      </c>
      <c r="W564" s="15">
        <f>T564-V564</f>
        <v>16000</v>
      </c>
      <c r="X564" s="17">
        <f>IF(T564&gt;0, W564/T564, 0)</f>
        <v>1</v>
      </c>
      <c r="Y564" s="8" t="s">
        <v>41</v>
      </c>
      <c r="Z564" s="10" t="s">
        <v>42</v>
      </c>
      <c r="AA564" s="10" t="s">
        <v>43</v>
      </c>
      <c r="AB564" s="10" t="s">
        <v>44</v>
      </c>
      <c r="AC564" s="8" t="s">
        <v>44</v>
      </c>
    </row>
    <row r="565" spans="1:29">
      <c r="A565" s="11">
        <v>558</v>
      </c>
      <c r="B565" s="11" t="s">
        <v>850</v>
      </c>
      <c r="C565" s="11" t="s">
        <v>847</v>
      </c>
      <c r="D565" s="11" t="s">
        <v>655</v>
      </c>
      <c r="E565" s="11" t="s">
        <v>34</v>
      </c>
      <c r="F565" s="11" t="s">
        <v>35</v>
      </c>
      <c r="G565" s="9" t="s">
        <v>36</v>
      </c>
      <c r="H565" s="9" t="s">
        <v>47</v>
      </c>
      <c r="I565" s="9" t="s">
        <v>48</v>
      </c>
      <c r="J565" s="11">
        <v>182</v>
      </c>
      <c r="K565" s="11" t="s">
        <v>811</v>
      </c>
      <c r="L565" s="11" t="s">
        <v>40</v>
      </c>
      <c r="M565" s="13">
        <v>1</v>
      </c>
      <c r="N565" s="16">
        <v>18000.0</v>
      </c>
      <c r="O565" s="16"/>
      <c r="P565" s="18">
        <f>IF(N565&gt;0, O565/N565, 0)</f>
        <v>0</v>
      </c>
      <c r="Q565" s="16">
        <f>N565-O565</f>
        <v>18000</v>
      </c>
      <c r="R565" s="16">
        <f>M565*N565</f>
        <v>18000</v>
      </c>
      <c r="S565" s="16">
        <f>M565*O565</f>
        <v>0</v>
      </c>
      <c r="T565" s="16">
        <f>M565*Q565</f>
        <v>18000</v>
      </c>
      <c r="U565" s="16"/>
      <c r="V565" s="16">
        <f>M565*U565</f>
        <v>0</v>
      </c>
      <c r="W565" s="16">
        <f>T565-V565</f>
        <v>18000</v>
      </c>
      <c r="X565" s="18">
        <f>IF(T565&gt;0, W565/T565, 0)</f>
        <v>1</v>
      </c>
      <c r="Y565" s="9" t="s">
        <v>41</v>
      </c>
      <c r="Z565" s="11" t="s">
        <v>42</v>
      </c>
      <c r="AA565" s="11" t="s">
        <v>43</v>
      </c>
      <c r="AB565" s="11" t="s">
        <v>44</v>
      </c>
      <c r="AC565" s="9" t="s">
        <v>44</v>
      </c>
    </row>
    <row r="566" spans="1:29">
      <c r="A566" s="10">
        <v>559</v>
      </c>
      <c r="B566" s="10" t="s">
        <v>851</v>
      </c>
      <c r="C566" s="10" t="s">
        <v>847</v>
      </c>
      <c r="D566" s="10" t="s">
        <v>655</v>
      </c>
      <c r="E566" s="10" t="s">
        <v>70</v>
      </c>
      <c r="F566" s="10" t="s">
        <v>35</v>
      </c>
      <c r="G566" s="8" t="s">
        <v>36</v>
      </c>
      <c r="H566" s="8" t="s">
        <v>58</v>
      </c>
      <c r="I566" s="8" t="s">
        <v>58</v>
      </c>
      <c r="J566" s="10">
        <v>146</v>
      </c>
      <c r="K566" s="10" t="s">
        <v>852</v>
      </c>
      <c r="L566" s="10" t="s">
        <v>40</v>
      </c>
      <c r="M566" s="12">
        <v>1</v>
      </c>
      <c r="N566" s="15">
        <v>9000.0</v>
      </c>
      <c r="O566" s="15"/>
      <c r="P566" s="17">
        <f>IF(N566&gt;0, O566/N566, 0)</f>
        <v>0</v>
      </c>
      <c r="Q566" s="15">
        <f>N566-O566</f>
        <v>9000</v>
      </c>
      <c r="R566" s="15">
        <f>M566*N566</f>
        <v>9000</v>
      </c>
      <c r="S566" s="15">
        <f>M566*O566</f>
        <v>0</v>
      </c>
      <c r="T566" s="15">
        <f>M566*Q566</f>
        <v>9000</v>
      </c>
      <c r="U566" s="15"/>
      <c r="V566" s="15">
        <f>M566*U566</f>
        <v>0</v>
      </c>
      <c r="W566" s="15">
        <f>T566-V566</f>
        <v>9000</v>
      </c>
      <c r="X566" s="17">
        <f>IF(T566&gt;0, W566/T566, 0)</f>
        <v>1</v>
      </c>
      <c r="Y566" s="8" t="s">
        <v>41</v>
      </c>
      <c r="Z566" s="10" t="s">
        <v>42</v>
      </c>
      <c r="AA566" s="10" t="s">
        <v>73</v>
      </c>
      <c r="AB566" s="10" t="s">
        <v>44</v>
      </c>
      <c r="AC566" s="8" t="s">
        <v>44</v>
      </c>
    </row>
    <row r="567" spans="1:29">
      <c r="A567" s="11">
        <v>560</v>
      </c>
      <c r="B567" s="11" t="s">
        <v>853</v>
      </c>
      <c r="C567" s="11" t="s">
        <v>847</v>
      </c>
      <c r="D567" s="11" t="s">
        <v>655</v>
      </c>
      <c r="E567" s="11" t="s">
        <v>70</v>
      </c>
      <c r="F567" s="11" t="s">
        <v>35</v>
      </c>
      <c r="G567" s="9" t="s">
        <v>36</v>
      </c>
      <c r="H567" s="9" t="s">
        <v>53</v>
      </c>
      <c r="I567" s="9" t="s">
        <v>53</v>
      </c>
      <c r="J567" s="11">
        <v>146</v>
      </c>
      <c r="K567" s="11" t="s">
        <v>327</v>
      </c>
      <c r="L567" s="11" t="s">
        <v>40</v>
      </c>
      <c r="M567" s="13">
        <v>1</v>
      </c>
      <c r="N567" s="16">
        <v>10000.0</v>
      </c>
      <c r="O567" s="16"/>
      <c r="P567" s="18">
        <f>IF(N567&gt;0, O567/N567, 0)</f>
        <v>0</v>
      </c>
      <c r="Q567" s="16">
        <f>N567-O567</f>
        <v>10000</v>
      </c>
      <c r="R567" s="16">
        <f>M567*N567</f>
        <v>10000</v>
      </c>
      <c r="S567" s="16">
        <f>M567*O567</f>
        <v>0</v>
      </c>
      <c r="T567" s="16">
        <f>M567*Q567</f>
        <v>10000</v>
      </c>
      <c r="U567" s="16"/>
      <c r="V567" s="16">
        <f>M567*U567</f>
        <v>0</v>
      </c>
      <c r="W567" s="16">
        <f>T567-V567</f>
        <v>10000</v>
      </c>
      <c r="X567" s="18">
        <f>IF(T567&gt;0, W567/T567, 0)</f>
        <v>1</v>
      </c>
      <c r="Y567" s="9" t="s">
        <v>41</v>
      </c>
      <c r="Z567" s="11" t="s">
        <v>42</v>
      </c>
      <c r="AA567" s="11" t="s">
        <v>73</v>
      </c>
      <c r="AB567" s="11" t="s">
        <v>44</v>
      </c>
      <c r="AC567" s="9" t="s">
        <v>44</v>
      </c>
    </row>
    <row r="568" spans="1:29">
      <c r="A568" s="10">
        <v>561</v>
      </c>
      <c r="B568" s="10" t="s">
        <v>854</v>
      </c>
      <c r="C568" s="10" t="s">
        <v>847</v>
      </c>
      <c r="D568" s="10" t="s">
        <v>655</v>
      </c>
      <c r="E568" s="10" t="s">
        <v>34</v>
      </c>
      <c r="F568" s="10" t="s">
        <v>35</v>
      </c>
      <c r="G568" s="8" t="s">
        <v>36</v>
      </c>
      <c r="H568" s="8" t="s">
        <v>53</v>
      </c>
      <c r="I568" s="8" t="s">
        <v>53</v>
      </c>
      <c r="J568" s="10">
        <v>164</v>
      </c>
      <c r="K568" s="10" t="s">
        <v>63</v>
      </c>
      <c r="L568" s="10" t="s">
        <v>40</v>
      </c>
      <c r="M568" s="12">
        <v>1</v>
      </c>
      <c r="N568" s="15">
        <v>8500.0</v>
      </c>
      <c r="O568" s="15"/>
      <c r="P568" s="17">
        <f>IF(N568&gt;0, O568/N568, 0)</f>
        <v>0</v>
      </c>
      <c r="Q568" s="15">
        <f>N568-O568</f>
        <v>8500</v>
      </c>
      <c r="R568" s="15">
        <f>M568*N568</f>
        <v>8500</v>
      </c>
      <c r="S568" s="15">
        <f>M568*O568</f>
        <v>0</v>
      </c>
      <c r="T568" s="15">
        <f>M568*Q568</f>
        <v>8500</v>
      </c>
      <c r="U568" s="15"/>
      <c r="V568" s="15">
        <f>M568*U568</f>
        <v>0</v>
      </c>
      <c r="W568" s="15">
        <f>T568-V568</f>
        <v>8500</v>
      </c>
      <c r="X568" s="17">
        <f>IF(T568&gt;0, W568/T568, 0)</f>
        <v>1</v>
      </c>
      <c r="Y568" s="8" t="s">
        <v>41</v>
      </c>
      <c r="Z568" s="10" t="s">
        <v>42</v>
      </c>
      <c r="AA568" s="10" t="s">
        <v>43</v>
      </c>
      <c r="AB568" s="10" t="s">
        <v>44</v>
      </c>
      <c r="AC568" s="8" t="s">
        <v>44</v>
      </c>
    </row>
    <row r="569" spans="1:29">
      <c r="A569" s="11">
        <v>562</v>
      </c>
      <c r="B569" s="11" t="s">
        <v>855</v>
      </c>
      <c r="C569" s="11" t="s">
        <v>847</v>
      </c>
      <c r="D569" s="11" t="s">
        <v>655</v>
      </c>
      <c r="E569" s="11" t="s">
        <v>34</v>
      </c>
      <c r="F569" s="11" t="s">
        <v>35</v>
      </c>
      <c r="G569" s="9" t="s">
        <v>52</v>
      </c>
      <c r="H569" s="9" t="s">
        <v>47</v>
      </c>
      <c r="I569" s="9" t="s">
        <v>48</v>
      </c>
      <c r="J569" s="11">
        <v>128</v>
      </c>
      <c r="K569" s="11" t="s">
        <v>186</v>
      </c>
      <c r="L569" s="11" t="s">
        <v>40</v>
      </c>
      <c r="M569" s="13">
        <v>1</v>
      </c>
      <c r="N569" s="16">
        <v>18000.0</v>
      </c>
      <c r="O569" s="16"/>
      <c r="P569" s="18">
        <f>IF(N569&gt;0, O569/N569, 0)</f>
        <v>0</v>
      </c>
      <c r="Q569" s="16">
        <f>N569-O569</f>
        <v>18000</v>
      </c>
      <c r="R569" s="16">
        <f>M569*N569</f>
        <v>18000</v>
      </c>
      <c r="S569" s="16">
        <f>M569*O569</f>
        <v>0</v>
      </c>
      <c r="T569" s="16">
        <f>M569*Q569</f>
        <v>18000</v>
      </c>
      <c r="U569" s="16"/>
      <c r="V569" s="16">
        <f>M569*U569</f>
        <v>0</v>
      </c>
      <c r="W569" s="16">
        <f>T569-V569</f>
        <v>18000</v>
      </c>
      <c r="X569" s="18">
        <f>IF(T569&gt;0, W569/T569, 0)</f>
        <v>1</v>
      </c>
      <c r="Y569" s="9" t="s">
        <v>41</v>
      </c>
      <c r="Z569" s="11" t="s">
        <v>42</v>
      </c>
      <c r="AA569" s="11" t="s">
        <v>43</v>
      </c>
      <c r="AB569" s="11" t="s">
        <v>44</v>
      </c>
      <c r="AC569" s="9" t="s">
        <v>44</v>
      </c>
    </row>
    <row r="570" spans="1:29">
      <c r="A570" s="10">
        <v>563</v>
      </c>
      <c r="B570" s="10" t="s">
        <v>856</v>
      </c>
      <c r="C570" s="10" t="s">
        <v>847</v>
      </c>
      <c r="D570" s="10" t="s">
        <v>655</v>
      </c>
      <c r="E570" s="10" t="s">
        <v>34</v>
      </c>
      <c r="F570" s="10" t="s">
        <v>35</v>
      </c>
      <c r="G570" s="8" t="s">
        <v>52</v>
      </c>
      <c r="H570" s="8" t="s">
        <v>47</v>
      </c>
      <c r="I570" s="8" t="s">
        <v>48</v>
      </c>
      <c r="J570" s="10">
        <v>116</v>
      </c>
      <c r="K570" s="10" t="s">
        <v>597</v>
      </c>
      <c r="L570" s="10" t="s">
        <v>40</v>
      </c>
      <c r="M570" s="12">
        <v>1</v>
      </c>
      <c r="N570" s="15">
        <v>18000.0</v>
      </c>
      <c r="O570" s="15"/>
      <c r="P570" s="17">
        <f>IF(N570&gt;0, O570/N570, 0)</f>
        <v>0</v>
      </c>
      <c r="Q570" s="15">
        <f>N570-O570</f>
        <v>18000</v>
      </c>
      <c r="R570" s="15">
        <f>M570*N570</f>
        <v>18000</v>
      </c>
      <c r="S570" s="15">
        <f>M570*O570</f>
        <v>0</v>
      </c>
      <c r="T570" s="15">
        <f>M570*Q570</f>
        <v>18000</v>
      </c>
      <c r="U570" s="15"/>
      <c r="V570" s="15">
        <f>M570*U570</f>
        <v>0</v>
      </c>
      <c r="W570" s="15">
        <f>T570-V570</f>
        <v>18000</v>
      </c>
      <c r="X570" s="17">
        <f>IF(T570&gt;0, W570/T570, 0)</f>
        <v>1</v>
      </c>
      <c r="Y570" s="8" t="s">
        <v>41</v>
      </c>
      <c r="Z570" s="10" t="s">
        <v>42</v>
      </c>
      <c r="AA570" s="10" t="s">
        <v>43</v>
      </c>
      <c r="AB570" s="10" t="s">
        <v>44</v>
      </c>
      <c r="AC570" s="8" t="s">
        <v>44</v>
      </c>
    </row>
    <row r="571" spans="1:29">
      <c r="A571" s="11">
        <v>564</v>
      </c>
      <c r="B571" s="11" t="s">
        <v>857</v>
      </c>
      <c r="C571" s="11" t="s">
        <v>847</v>
      </c>
      <c r="D571" s="11" t="s">
        <v>655</v>
      </c>
      <c r="E571" s="11" t="s">
        <v>34</v>
      </c>
      <c r="F571" s="11" t="s">
        <v>35</v>
      </c>
      <c r="G571" s="9" t="s">
        <v>52</v>
      </c>
      <c r="H571" s="9" t="s">
        <v>37</v>
      </c>
      <c r="I571" s="9" t="s">
        <v>38</v>
      </c>
      <c r="J571" s="11">
        <v>122</v>
      </c>
      <c r="K571" s="11" t="s">
        <v>107</v>
      </c>
      <c r="L571" s="11" t="s">
        <v>55</v>
      </c>
      <c r="M571" s="13">
        <v>1</v>
      </c>
      <c r="N571" s="16">
        <v>7000.0</v>
      </c>
      <c r="O571" s="16"/>
      <c r="P571" s="18">
        <f>IF(N571&gt;0, O571/N571, 0)</f>
        <v>0</v>
      </c>
      <c r="Q571" s="16">
        <f>N571-O571</f>
        <v>7000</v>
      </c>
      <c r="R571" s="16">
        <f>M571*N571</f>
        <v>7000</v>
      </c>
      <c r="S571" s="16">
        <f>M571*O571</f>
        <v>0</v>
      </c>
      <c r="T571" s="16">
        <f>M571*Q571</f>
        <v>7000</v>
      </c>
      <c r="U571" s="16"/>
      <c r="V571" s="16">
        <f>M571*U571</f>
        <v>0</v>
      </c>
      <c r="W571" s="16">
        <f>T571-V571</f>
        <v>7000</v>
      </c>
      <c r="X571" s="18">
        <f>IF(T571&gt;0, W571/T571, 0)</f>
        <v>1</v>
      </c>
      <c r="Y571" s="9" t="s">
        <v>41</v>
      </c>
      <c r="Z571" s="11" t="s">
        <v>42</v>
      </c>
      <c r="AA571" s="11" t="s">
        <v>43</v>
      </c>
      <c r="AB571" s="11" t="s">
        <v>44</v>
      </c>
      <c r="AC571" s="9" t="s">
        <v>44</v>
      </c>
    </row>
    <row r="572" spans="1:29">
      <c r="A572" s="10">
        <v>565</v>
      </c>
      <c r="B572" s="10" t="s">
        <v>858</v>
      </c>
      <c r="C572" s="10" t="s">
        <v>847</v>
      </c>
      <c r="D572" s="10" t="s">
        <v>655</v>
      </c>
      <c r="E572" s="10" t="s">
        <v>70</v>
      </c>
      <c r="F572" s="10" t="s">
        <v>35</v>
      </c>
      <c r="G572" s="8" t="s">
        <v>36</v>
      </c>
      <c r="H572" s="8" t="s">
        <v>65</v>
      </c>
      <c r="I572" s="8" t="s">
        <v>151</v>
      </c>
      <c r="J572" s="10">
        <v>170</v>
      </c>
      <c r="K572" s="10" t="s">
        <v>152</v>
      </c>
      <c r="L572" s="10" t="s">
        <v>40</v>
      </c>
      <c r="M572" s="12">
        <v>1</v>
      </c>
      <c r="N572" s="15">
        <v>11000.0</v>
      </c>
      <c r="O572" s="15"/>
      <c r="P572" s="17">
        <f>IF(N572&gt;0, O572/N572, 0)</f>
        <v>0</v>
      </c>
      <c r="Q572" s="15">
        <f>N572-O572</f>
        <v>11000</v>
      </c>
      <c r="R572" s="15">
        <f>M572*N572</f>
        <v>11000</v>
      </c>
      <c r="S572" s="15">
        <f>M572*O572</f>
        <v>0</v>
      </c>
      <c r="T572" s="15">
        <f>M572*Q572</f>
        <v>11000</v>
      </c>
      <c r="U572" s="15"/>
      <c r="V572" s="15">
        <f>M572*U572</f>
        <v>0</v>
      </c>
      <c r="W572" s="15">
        <f>T572-V572</f>
        <v>11000</v>
      </c>
      <c r="X572" s="17">
        <f>IF(T572&gt;0, W572/T572, 0)</f>
        <v>1</v>
      </c>
      <c r="Y572" s="8" t="s">
        <v>41</v>
      </c>
      <c r="Z572" s="10" t="s">
        <v>42</v>
      </c>
      <c r="AA572" s="10" t="s">
        <v>73</v>
      </c>
      <c r="AB572" s="10" t="s">
        <v>44</v>
      </c>
      <c r="AC572" s="8" t="s">
        <v>44</v>
      </c>
    </row>
    <row r="573" spans="1:29">
      <c r="A573" s="11">
        <v>566</v>
      </c>
      <c r="B573" s="11" t="s">
        <v>859</v>
      </c>
      <c r="C573" s="11" t="s">
        <v>847</v>
      </c>
      <c r="D573" s="11" t="s">
        <v>655</v>
      </c>
      <c r="E573" s="11" t="s">
        <v>34</v>
      </c>
      <c r="F573" s="11" t="s">
        <v>35</v>
      </c>
      <c r="G573" s="9" t="s">
        <v>52</v>
      </c>
      <c r="H573" s="9" t="s">
        <v>37</v>
      </c>
      <c r="I573" s="9" t="s">
        <v>38</v>
      </c>
      <c r="J573" s="11">
        <v>122</v>
      </c>
      <c r="K573" s="11" t="s">
        <v>107</v>
      </c>
      <c r="L573" s="11" t="s">
        <v>55</v>
      </c>
      <c r="M573" s="13">
        <v>1</v>
      </c>
      <c r="N573" s="16">
        <v>7000.0</v>
      </c>
      <c r="O573" s="16"/>
      <c r="P573" s="18">
        <f>IF(N573&gt;0, O573/N573, 0)</f>
        <v>0</v>
      </c>
      <c r="Q573" s="16">
        <f>N573-O573</f>
        <v>7000</v>
      </c>
      <c r="R573" s="16">
        <f>M573*N573</f>
        <v>7000</v>
      </c>
      <c r="S573" s="16">
        <f>M573*O573</f>
        <v>0</v>
      </c>
      <c r="T573" s="16">
        <f>M573*Q573</f>
        <v>7000</v>
      </c>
      <c r="U573" s="16"/>
      <c r="V573" s="16">
        <f>M573*U573</f>
        <v>0</v>
      </c>
      <c r="W573" s="16">
        <f>T573-V573</f>
        <v>7000</v>
      </c>
      <c r="X573" s="18">
        <f>IF(T573&gt;0, W573/T573, 0)</f>
        <v>1</v>
      </c>
      <c r="Y573" s="9" t="s">
        <v>41</v>
      </c>
      <c r="Z573" s="11" t="s">
        <v>42</v>
      </c>
      <c r="AA573" s="11" t="s">
        <v>43</v>
      </c>
      <c r="AB573" s="11" t="s">
        <v>44</v>
      </c>
      <c r="AC573" s="9" t="s">
        <v>44</v>
      </c>
    </row>
    <row r="574" spans="1:29">
      <c r="A574" s="10">
        <v>567</v>
      </c>
      <c r="B574" s="10" t="s">
        <v>860</v>
      </c>
      <c r="C574" s="10" t="s">
        <v>847</v>
      </c>
      <c r="D574" s="10" t="s">
        <v>655</v>
      </c>
      <c r="E574" s="10" t="s">
        <v>34</v>
      </c>
      <c r="F574" s="10" t="s">
        <v>35</v>
      </c>
      <c r="G574" s="8" t="s">
        <v>52</v>
      </c>
      <c r="H574" s="8" t="s">
        <v>37</v>
      </c>
      <c r="I574" s="8" t="s">
        <v>75</v>
      </c>
      <c r="J574" s="10">
        <v>122</v>
      </c>
      <c r="K574" s="10" t="s">
        <v>104</v>
      </c>
      <c r="L574" s="10" t="s">
        <v>55</v>
      </c>
      <c r="M574" s="12">
        <v>1</v>
      </c>
      <c r="N574" s="15">
        <v>8000.0</v>
      </c>
      <c r="O574" s="15"/>
      <c r="P574" s="17">
        <f>IF(N574&gt;0, O574/N574, 0)</f>
        <v>0</v>
      </c>
      <c r="Q574" s="15">
        <f>N574-O574</f>
        <v>8000</v>
      </c>
      <c r="R574" s="15">
        <f>M574*N574</f>
        <v>8000</v>
      </c>
      <c r="S574" s="15">
        <f>M574*O574</f>
        <v>0</v>
      </c>
      <c r="T574" s="15">
        <f>M574*Q574</f>
        <v>8000</v>
      </c>
      <c r="U574" s="15"/>
      <c r="V574" s="15">
        <f>M574*U574</f>
        <v>0</v>
      </c>
      <c r="W574" s="15">
        <f>T574-V574</f>
        <v>8000</v>
      </c>
      <c r="X574" s="17">
        <f>IF(T574&gt;0, W574/T574, 0)</f>
        <v>1</v>
      </c>
      <c r="Y574" s="8" t="s">
        <v>41</v>
      </c>
      <c r="Z574" s="10" t="s">
        <v>42</v>
      </c>
      <c r="AA574" s="10" t="s">
        <v>43</v>
      </c>
      <c r="AB574" s="10" t="s">
        <v>44</v>
      </c>
      <c r="AC574" s="8" t="s">
        <v>44</v>
      </c>
    </row>
    <row r="575" spans="1:29">
      <c r="A575" s="11">
        <v>568</v>
      </c>
      <c r="B575" s="11" t="s">
        <v>861</v>
      </c>
      <c r="C575" s="11" t="s">
        <v>847</v>
      </c>
      <c r="D575" s="11" t="s">
        <v>655</v>
      </c>
      <c r="E575" s="11" t="s">
        <v>34</v>
      </c>
      <c r="F575" s="11" t="s">
        <v>35</v>
      </c>
      <c r="G575" s="9" t="s">
        <v>52</v>
      </c>
      <c r="H575" s="9" t="s">
        <v>53</v>
      </c>
      <c r="I575" s="9" t="s">
        <v>53</v>
      </c>
      <c r="J575" s="11">
        <v>128</v>
      </c>
      <c r="K575" s="11" t="s">
        <v>393</v>
      </c>
      <c r="L575" s="11" t="s">
        <v>55</v>
      </c>
      <c r="M575" s="13">
        <v>1</v>
      </c>
      <c r="N575" s="16">
        <v>8000.0</v>
      </c>
      <c r="O575" s="16"/>
      <c r="P575" s="18">
        <f>IF(N575&gt;0, O575/N575, 0)</f>
        <v>0</v>
      </c>
      <c r="Q575" s="16">
        <f>N575-O575</f>
        <v>8000</v>
      </c>
      <c r="R575" s="16">
        <f>M575*N575</f>
        <v>8000</v>
      </c>
      <c r="S575" s="16">
        <f>M575*O575</f>
        <v>0</v>
      </c>
      <c r="T575" s="16">
        <f>M575*Q575</f>
        <v>8000</v>
      </c>
      <c r="U575" s="16"/>
      <c r="V575" s="16">
        <f>M575*U575</f>
        <v>0</v>
      </c>
      <c r="W575" s="16">
        <f>T575-V575</f>
        <v>8000</v>
      </c>
      <c r="X575" s="18">
        <f>IF(T575&gt;0, W575/T575, 0)</f>
        <v>1</v>
      </c>
      <c r="Y575" s="9" t="s">
        <v>41</v>
      </c>
      <c r="Z575" s="11" t="s">
        <v>42</v>
      </c>
      <c r="AA575" s="11" t="s">
        <v>43</v>
      </c>
      <c r="AB575" s="11" t="s">
        <v>44</v>
      </c>
      <c r="AC575" s="9" t="s">
        <v>44</v>
      </c>
    </row>
    <row r="576" spans="1:29">
      <c r="A576" s="10">
        <v>569</v>
      </c>
      <c r="B576" s="10" t="s">
        <v>862</v>
      </c>
      <c r="C576" s="10" t="s">
        <v>847</v>
      </c>
      <c r="D576" s="10" t="s">
        <v>655</v>
      </c>
      <c r="E576" s="10" t="s">
        <v>34</v>
      </c>
      <c r="F576" s="10" t="s">
        <v>35</v>
      </c>
      <c r="G576" s="8" t="s">
        <v>52</v>
      </c>
      <c r="H576" s="8" t="s">
        <v>37</v>
      </c>
      <c r="I576" s="8" t="s">
        <v>38</v>
      </c>
      <c r="J576" s="10">
        <v>134</v>
      </c>
      <c r="K576" s="10" t="s">
        <v>180</v>
      </c>
      <c r="L576" s="10" t="s">
        <v>55</v>
      </c>
      <c r="M576" s="12">
        <v>1</v>
      </c>
      <c r="N576" s="15">
        <v>7000.0</v>
      </c>
      <c r="O576" s="15"/>
      <c r="P576" s="17">
        <f>IF(N576&gt;0, O576/N576, 0)</f>
        <v>0</v>
      </c>
      <c r="Q576" s="15">
        <f>N576-O576</f>
        <v>7000</v>
      </c>
      <c r="R576" s="15">
        <f>M576*N576</f>
        <v>7000</v>
      </c>
      <c r="S576" s="15">
        <f>M576*O576</f>
        <v>0</v>
      </c>
      <c r="T576" s="15">
        <f>M576*Q576</f>
        <v>7000</v>
      </c>
      <c r="U576" s="15"/>
      <c r="V576" s="15">
        <f>M576*U576</f>
        <v>0</v>
      </c>
      <c r="W576" s="15">
        <f>T576-V576</f>
        <v>7000</v>
      </c>
      <c r="X576" s="17">
        <f>IF(T576&gt;0, W576/T576, 0)</f>
        <v>1</v>
      </c>
      <c r="Y576" s="8" t="s">
        <v>41</v>
      </c>
      <c r="Z576" s="10" t="s">
        <v>42</v>
      </c>
      <c r="AA576" s="10" t="s">
        <v>43</v>
      </c>
      <c r="AB576" s="10" t="s">
        <v>44</v>
      </c>
      <c r="AC576" s="8" t="s">
        <v>44</v>
      </c>
    </row>
    <row r="577" spans="1:29">
      <c r="A577" s="11">
        <v>570</v>
      </c>
      <c r="B577" s="11" t="s">
        <v>863</v>
      </c>
      <c r="C577" s="11" t="s">
        <v>847</v>
      </c>
      <c r="D577" s="11" t="s">
        <v>655</v>
      </c>
      <c r="E577" s="11" t="s">
        <v>34</v>
      </c>
      <c r="F577" s="11" t="s">
        <v>35</v>
      </c>
      <c r="G577" s="9" t="s">
        <v>52</v>
      </c>
      <c r="H577" s="9" t="s">
        <v>37</v>
      </c>
      <c r="I577" s="9" t="s">
        <v>75</v>
      </c>
      <c r="J577" s="11">
        <v>128</v>
      </c>
      <c r="K577" s="11" t="s">
        <v>188</v>
      </c>
      <c r="L577" s="11" t="s">
        <v>55</v>
      </c>
      <c r="M577" s="13">
        <v>1</v>
      </c>
      <c r="N577" s="16">
        <v>8000.0</v>
      </c>
      <c r="O577" s="16"/>
      <c r="P577" s="18">
        <f>IF(N577&gt;0, O577/N577, 0)</f>
        <v>0</v>
      </c>
      <c r="Q577" s="16">
        <f>N577-O577</f>
        <v>8000</v>
      </c>
      <c r="R577" s="16">
        <f>M577*N577</f>
        <v>8000</v>
      </c>
      <c r="S577" s="16">
        <f>M577*O577</f>
        <v>0</v>
      </c>
      <c r="T577" s="16">
        <f>M577*Q577</f>
        <v>8000</v>
      </c>
      <c r="U577" s="16"/>
      <c r="V577" s="16">
        <f>M577*U577</f>
        <v>0</v>
      </c>
      <c r="W577" s="16">
        <f>T577-V577</f>
        <v>8000</v>
      </c>
      <c r="X577" s="18">
        <f>IF(T577&gt;0, W577/T577, 0)</f>
        <v>1</v>
      </c>
      <c r="Y577" s="9" t="s">
        <v>41</v>
      </c>
      <c r="Z577" s="11" t="s">
        <v>42</v>
      </c>
      <c r="AA577" s="11" t="s">
        <v>43</v>
      </c>
      <c r="AB577" s="11" t="s">
        <v>44</v>
      </c>
      <c r="AC577" s="9" t="s">
        <v>44</v>
      </c>
    </row>
    <row r="578" spans="1:29">
      <c r="A578" s="10">
        <v>571</v>
      </c>
      <c r="B578" s="10" t="s">
        <v>864</v>
      </c>
      <c r="C578" s="10" t="s">
        <v>847</v>
      </c>
      <c r="D578" s="10" t="s">
        <v>655</v>
      </c>
      <c r="E578" s="10" t="s">
        <v>70</v>
      </c>
      <c r="F578" s="10" t="s">
        <v>35</v>
      </c>
      <c r="G578" s="8" t="s">
        <v>52</v>
      </c>
      <c r="H578" s="8" t="s">
        <v>58</v>
      </c>
      <c r="I578" s="8" t="s">
        <v>58</v>
      </c>
      <c r="J578" s="10">
        <v>134</v>
      </c>
      <c r="K578" s="10" t="s">
        <v>284</v>
      </c>
      <c r="L578" s="10" t="s">
        <v>40</v>
      </c>
      <c r="M578" s="12">
        <v>1</v>
      </c>
      <c r="N578" s="15">
        <v>9000.0</v>
      </c>
      <c r="O578" s="15"/>
      <c r="P578" s="17">
        <f>IF(N578&gt;0, O578/N578, 0)</f>
        <v>0</v>
      </c>
      <c r="Q578" s="15">
        <f>N578-O578</f>
        <v>9000</v>
      </c>
      <c r="R578" s="15">
        <f>M578*N578</f>
        <v>9000</v>
      </c>
      <c r="S578" s="15">
        <f>M578*O578</f>
        <v>0</v>
      </c>
      <c r="T578" s="15">
        <f>M578*Q578</f>
        <v>9000</v>
      </c>
      <c r="U578" s="15"/>
      <c r="V578" s="15">
        <f>M578*U578</f>
        <v>0</v>
      </c>
      <c r="W578" s="15">
        <f>T578-V578</f>
        <v>9000</v>
      </c>
      <c r="X578" s="17">
        <f>IF(T578&gt;0, W578/T578, 0)</f>
        <v>1</v>
      </c>
      <c r="Y578" s="8" t="s">
        <v>41</v>
      </c>
      <c r="Z578" s="10" t="s">
        <v>42</v>
      </c>
      <c r="AA578" s="10" t="s">
        <v>73</v>
      </c>
      <c r="AB578" s="10" t="s">
        <v>44</v>
      </c>
      <c r="AC578" s="8" t="s">
        <v>44</v>
      </c>
    </row>
    <row r="579" spans="1:29">
      <c r="A579" s="11">
        <v>572</v>
      </c>
      <c r="B579" s="11" t="s">
        <v>865</v>
      </c>
      <c r="C579" s="11" t="s">
        <v>847</v>
      </c>
      <c r="D579" s="11" t="s">
        <v>655</v>
      </c>
      <c r="E579" s="11" t="s">
        <v>70</v>
      </c>
      <c r="F579" s="11" t="s">
        <v>35</v>
      </c>
      <c r="G579" s="9" t="s">
        <v>52</v>
      </c>
      <c r="H579" s="9" t="s">
        <v>65</v>
      </c>
      <c r="I579" s="9" t="s">
        <v>151</v>
      </c>
      <c r="J579" s="11">
        <v>152</v>
      </c>
      <c r="K579" s="11" t="s">
        <v>254</v>
      </c>
      <c r="L579" s="11" t="s">
        <v>40</v>
      </c>
      <c r="M579" s="13">
        <v>1</v>
      </c>
      <c r="N579" s="16">
        <v>10000.0</v>
      </c>
      <c r="O579" s="16"/>
      <c r="P579" s="18">
        <f>IF(N579&gt;0, O579/N579, 0)</f>
        <v>0</v>
      </c>
      <c r="Q579" s="16">
        <f>N579-O579</f>
        <v>10000</v>
      </c>
      <c r="R579" s="16">
        <f>M579*N579</f>
        <v>10000</v>
      </c>
      <c r="S579" s="16">
        <f>M579*O579</f>
        <v>0</v>
      </c>
      <c r="T579" s="16">
        <f>M579*Q579</f>
        <v>10000</v>
      </c>
      <c r="U579" s="16"/>
      <c r="V579" s="16">
        <f>M579*U579</f>
        <v>0</v>
      </c>
      <c r="W579" s="16">
        <f>T579-V579</f>
        <v>10000</v>
      </c>
      <c r="X579" s="18">
        <f>IF(T579&gt;0, W579/T579, 0)</f>
        <v>1</v>
      </c>
      <c r="Y579" s="9" t="s">
        <v>41</v>
      </c>
      <c r="Z579" s="11" t="s">
        <v>42</v>
      </c>
      <c r="AA579" s="11" t="s">
        <v>73</v>
      </c>
      <c r="AB579" s="11" t="s">
        <v>44</v>
      </c>
      <c r="AC579" s="9" t="s">
        <v>44</v>
      </c>
    </row>
    <row r="580" spans="1:29">
      <c r="A580" s="10">
        <v>573</v>
      </c>
      <c r="B580" s="10" t="s">
        <v>866</v>
      </c>
      <c r="C580" s="10" t="s">
        <v>847</v>
      </c>
      <c r="D580" s="10" t="s">
        <v>655</v>
      </c>
      <c r="E580" s="10" t="s">
        <v>34</v>
      </c>
      <c r="F580" s="10" t="s">
        <v>35</v>
      </c>
      <c r="G580" s="8" t="s">
        <v>52</v>
      </c>
      <c r="H580" s="8" t="s">
        <v>58</v>
      </c>
      <c r="I580" s="8" t="s">
        <v>58</v>
      </c>
      <c r="J580" s="10">
        <v>152</v>
      </c>
      <c r="K580" s="10" t="s">
        <v>314</v>
      </c>
      <c r="L580" s="10" t="s">
        <v>40</v>
      </c>
      <c r="M580" s="12">
        <v>1</v>
      </c>
      <c r="N580" s="15">
        <v>7000.0</v>
      </c>
      <c r="O580" s="15"/>
      <c r="P580" s="17">
        <f>IF(N580&gt;0, O580/N580, 0)</f>
        <v>0</v>
      </c>
      <c r="Q580" s="15">
        <f>N580-O580</f>
        <v>7000</v>
      </c>
      <c r="R580" s="15">
        <f>M580*N580</f>
        <v>7000</v>
      </c>
      <c r="S580" s="15">
        <f>M580*O580</f>
        <v>0</v>
      </c>
      <c r="T580" s="15">
        <f>M580*Q580</f>
        <v>7000</v>
      </c>
      <c r="U580" s="15"/>
      <c r="V580" s="15">
        <f>M580*U580</f>
        <v>0</v>
      </c>
      <c r="W580" s="15">
        <f>T580-V580</f>
        <v>7000</v>
      </c>
      <c r="X580" s="17">
        <f>IF(T580&gt;0, W580/T580, 0)</f>
        <v>1</v>
      </c>
      <c r="Y580" s="8" t="s">
        <v>41</v>
      </c>
      <c r="Z580" s="10" t="s">
        <v>42</v>
      </c>
      <c r="AA580" s="10" t="s">
        <v>43</v>
      </c>
      <c r="AB580" s="10" t="s">
        <v>44</v>
      </c>
      <c r="AC580" s="8" t="s">
        <v>44</v>
      </c>
    </row>
    <row r="581" spans="1:29">
      <c r="A581" s="11">
        <v>574</v>
      </c>
      <c r="B581" s="11" t="s">
        <v>867</v>
      </c>
      <c r="C581" s="11" t="s">
        <v>847</v>
      </c>
      <c r="D581" s="11" t="s">
        <v>655</v>
      </c>
      <c r="E581" s="11" t="s">
        <v>34</v>
      </c>
      <c r="F581" s="11" t="s">
        <v>35</v>
      </c>
      <c r="G581" s="9" t="s">
        <v>52</v>
      </c>
      <c r="H581" s="9" t="s">
        <v>53</v>
      </c>
      <c r="I581" s="9" t="s">
        <v>53</v>
      </c>
      <c r="J581" s="11">
        <v>152</v>
      </c>
      <c r="K581" s="11" t="s">
        <v>405</v>
      </c>
      <c r="L581" s="11" t="s">
        <v>55</v>
      </c>
      <c r="M581" s="13">
        <v>1</v>
      </c>
      <c r="N581" s="16">
        <v>8000.0</v>
      </c>
      <c r="O581" s="16"/>
      <c r="P581" s="18">
        <f>IF(N581&gt;0, O581/N581, 0)</f>
        <v>0</v>
      </c>
      <c r="Q581" s="16">
        <f>N581-O581</f>
        <v>8000</v>
      </c>
      <c r="R581" s="16">
        <f>M581*N581</f>
        <v>8000</v>
      </c>
      <c r="S581" s="16">
        <f>M581*O581</f>
        <v>0</v>
      </c>
      <c r="T581" s="16">
        <f>M581*Q581</f>
        <v>8000</v>
      </c>
      <c r="U581" s="16"/>
      <c r="V581" s="16">
        <f>M581*U581</f>
        <v>0</v>
      </c>
      <c r="W581" s="16">
        <f>T581-V581</f>
        <v>8000</v>
      </c>
      <c r="X581" s="18">
        <f>IF(T581&gt;0, W581/T581, 0)</f>
        <v>1</v>
      </c>
      <c r="Y581" s="9" t="s">
        <v>41</v>
      </c>
      <c r="Z581" s="11" t="s">
        <v>42</v>
      </c>
      <c r="AA581" s="11" t="s">
        <v>43</v>
      </c>
      <c r="AB581" s="11" t="s">
        <v>44</v>
      </c>
      <c r="AC581" s="9" t="s">
        <v>44</v>
      </c>
    </row>
    <row r="582" spans="1:29">
      <c r="A582" s="10">
        <v>575</v>
      </c>
      <c r="B582" s="10" t="s">
        <v>868</v>
      </c>
      <c r="C582" s="10" t="s">
        <v>847</v>
      </c>
      <c r="D582" s="10" t="s">
        <v>655</v>
      </c>
      <c r="E582" s="10" t="s">
        <v>34</v>
      </c>
      <c r="F582" s="10" t="s">
        <v>35</v>
      </c>
      <c r="G582" s="8" t="s">
        <v>52</v>
      </c>
      <c r="H582" s="8" t="s">
        <v>37</v>
      </c>
      <c r="I582" s="8" t="s">
        <v>75</v>
      </c>
      <c r="J582" s="10">
        <v>152</v>
      </c>
      <c r="K582" s="10" t="s">
        <v>608</v>
      </c>
      <c r="L582" s="10" t="s">
        <v>55</v>
      </c>
      <c r="M582" s="12">
        <v>1</v>
      </c>
      <c r="N582" s="15">
        <v>8000.0</v>
      </c>
      <c r="O582" s="15"/>
      <c r="P582" s="17">
        <f>IF(N582&gt;0, O582/N582, 0)</f>
        <v>0</v>
      </c>
      <c r="Q582" s="15">
        <f>N582-O582</f>
        <v>8000</v>
      </c>
      <c r="R582" s="15">
        <f>M582*N582</f>
        <v>8000</v>
      </c>
      <c r="S582" s="15">
        <f>M582*O582</f>
        <v>0</v>
      </c>
      <c r="T582" s="15">
        <f>M582*Q582</f>
        <v>8000</v>
      </c>
      <c r="U582" s="15"/>
      <c r="V582" s="15">
        <f>M582*U582</f>
        <v>0</v>
      </c>
      <c r="W582" s="15">
        <f>T582-V582</f>
        <v>8000</v>
      </c>
      <c r="X582" s="17">
        <f>IF(T582&gt;0, W582/T582, 0)</f>
        <v>1</v>
      </c>
      <c r="Y582" s="8" t="s">
        <v>41</v>
      </c>
      <c r="Z582" s="10" t="s">
        <v>42</v>
      </c>
      <c r="AA582" s="10" t="s">
        <v>43</v>
      </c>
      <c r="AB582" s="10" t="s">
        <v>44</v>
      </c>
      <c r="AC582" s="8" t="s">
        <v>44</v>
      </c>
    </row>
    <row r="583" spans="1:29">
      <c r="A583" s="11">
        <v>576</v>
      </c>
      <c r="B583" s="11" t="s">
        <v>869</v>
      </c>
      <c r="C583" s="11" t="s">
        <v>847</v>
      </c>
      <c r="D583" s="11" t="s">
        <v>655</v>
      </c>
      <c r="E583" s="11" t="s">
        <v>34</v>
      </c>
      <c r="F583" s="11" t="s">
        <v>35</v>
      </c>
      <c r="G583" s="9" t="s">
        <v>52</v>
      </c>
      <c r="H583" s="9" t="s">
        <v>37</v>
      </c>
      <c r="I583" s="9" t="s">
        <v>38</v>
      </c>
      <c r="J583" s="11">
        <v>152</v>
      </c>
      <c r="K583" s="11" t="s">
        <v>154</v>
      </c>
      <c r="L583" s="11" t="s">
        <v>55</v>
      </c>
      <c r="M583" s="13">
        <v>1</v>
      </c>
      <c r="N583" s="16">
        <v>7000.0</v>
      </c>
      <c r="O583" s="16"/>
      <c r="P583" s="18">
        <f>IF(N583&gt;0, O583/N583, 0)</f>
        <v>0</v>
      </c>
      <c r="Q583" s="16">
        <f>N583-O583</f>
        <v>7000</v>
      </c>
      <c r="R583" s="16">
        <f>M583*N583</f>
        <v>7000</v>
      </c>
      <c r="S583" s="16">
        <f>M583*O583</f>
        <v>0</v>
      </c>
      <c r="T583" s="16">
        <f>M583*Q583</f>
        <v>7000</v>
      </c>
      <c r="U583" s="16"/>
      <c r="V583" s="16">
        <f>M583*U583</f>
        <v>0</v>
      </c>
      <c r="W583" s="16">
        <f>T583-V583</f>
        <v>7000</v>
      </c>
      <c r="X583" s="18">
        <f>IF(T583&gt;0, W583/T583, 0)</f>
        <v>1</v>
      </c>
      <c r="Y583" s="9" t="s">
        <v>41</v>
      </c>
      <c r="Z583" s="11" t="s">
        <v>42</v>
      </c>
      <c r="AA583" s="11" t="s">
        <v>43</v>
      </c>
      <c r="AB583" s="11" t="s">
        <v>44</v>
      </c>
      <c r="AC583" s="9" t="s">
        <v>44</v>
      </c>
    </row>
    <row r="584" spans="1:29">
      <c r="A584" s="10">
        <v>577</v>
      </c>
      <c r="B584" s="10" t="s">
        <v>870</v>
      </c>
      <c r="C584" s="10" t="s">
        <v>847</v>
      </c>
      <c r="D584" s="10" t="s">
        <v>655</v>
      </c>
      <c r="E584" s="10" t="s">
        <v>34</v>
      </c>
      <c r="F584" s="10" t="s">
        <v>35</v>
      </c>
      <c r="G584" s="8" t="s">
        <v>52</v>
      </c>
      <c r="H584" s="8" t="s">
        <v>71</v>
      </c>
      <c r="I584" s="8" t="s">
        <v>71</v>
      </c>
      <c r="J584" s="10">
        <v>152</v>
      </c>
      <c r="K584" s="10" t="s">
        <v>353</v>
      </c>
      <c r="L584" s="10" t="s">
        <v>40</v>
      </c>
      <c r="M584" s="12">
        <v>1</v>
      </c>
      <c r="N584" s="15">
        <v>16000.0</v>
      </c>
      <c r="O584" s="15"/>
      <c r="P584" s="17">
        <f>IF(N584&gt;0, O584/N584, 0)</f>
        <v>0</v>
      </c>
      <c r="Q584" s="15">
        <f>N584-O584</f>
        <v>16000</v>
      </c>
      <c r="R584" s="15">
        <f>M584*N584</f>
        <v>16000</v>
      </c>
      <c r="S584" s="15">
        <f>M584*O584</f>
        <v>0</v>
      </c>
      <c r="T584" s="15">
        <f>M584*Q584</f>
        <v>16000</v>
      </c>
      <c r="U584" s="15"/>
      <c r="V584" s="15">
        <f>M584*U584</f>
        <v>0</v>
      </c>
      <c r="W584" s="15">
        <f>T584-V584</f>
        <v>16000</v>
      </c>
      <c r="X584" s="17">
        <f>IF(T584&gt;0, W584/T584, 0)</f>
        <v>1</v>
      </c>
      <c r="Y584" s="8" t="s">
        <v>41</v>
      </c>
      <c r="Z584" s="10" t="s">
        <v>42</v>
      </c>
      <c r="AA584" s="10" t="s">
        <v>43</v>
      </c>
      <c r="AB584" s="10" t="s">
        <v>44</v>
      </c>
      <c r="AC584" s="8" t="s">
        <v>44</v>
      </c>
    </row>
    <row r="585" spans="1:29">
      <c r="A585" s="11">
        <v>578</v>
      </c>
      <c r="B585" s="11" t="s">
        <v>871</v>
      </c>
      <c r="C585" s="11" t="s">
        <v>847</v>
      </c>
      <c r="D585" s="11" t="s">
        <v>655</v>
      </c>
      <c r="E585" s="11" t="s">
        <v>34</v>
      </c>
      <c r="F585" s="11" t="s">
        <v>35</v>
      </c>
      <c r="G585" s="9" t="s">
        <v>36</v>
      </c>
      <c r="H585" s="9" t="s">
        <v>58</v>
      </c>
      <c r="I585" s="9" t="s">
        <v>58</v>
      </c>
      <c r="J585" s="11">
        <v>164</v>
      </c>
      <c r="K585" s="11" t="s">
        <v>59</v>
      </c>
      <c r="L585" s="11" t="s">
        <v>40</v>
      </c>
      <c r="M585" s="13">
        <v>1</v>
      </c>
      <c r="N585" s="16">
        <v>7500.0</v>
      </c>
      <c r="O585" s="16"/>
      <c r="P585" s="18">
        <f>IF(N585&gt;0, O585/N585, 0)</f>
        <v>0</v>
      </c>
      <c r="Q585" s="16">
        <f>N585-O585</f>
        <v>7500</v>
      </c>
      <c r="R585" s="16">
        <f>M585*N585</f>
        <v>7500</v>
      </c>
      <c r="S585" s="16">
        <f>M585*O585</f>
        <v>0</v>
      </c>
      <c r="T585" s="16">
        <f>M585*Q585</f>
        <v>7500</v>
      </c>
      <c r="U585" s="16"/>
      <c r="V585" s="16">
        <f>M585*U585</f>
        <v>0</v>
      </c>
      <c r="W585" s="16">
        <f>T585-V585</f>
        <v>7500</v>
      </c>
      <c r="X585" s="18">
        <f>IF(T585&gt;0, W585/T585, 0)</f>
        <v>1</v>
      </c>
      <c r="Y585" s="9" t="s">
        <v>41</v>
      </c>
      <c r="Z585" s="11" t="s">
        <v>42</v>
      </c>
      <c r="AA585" s="11" t="s">
        <v>43</v>
      </c>
      <c r="AB585" s="11" t="s">
        <v>44</v>
      </c>
      <c r="AC585" s="9" t="s">
        <v>44</v>
      </c>
    </row>
    <row r="586" spans="1:29">
      <c r="A586" s="10">
        <v>579</v>
      </c>
      <c r="B586" s="10" t="s">
        <v>872</v>
      </c>
      <c r="C586" s="10" t="s">
        <v>847</v>
      </c>
      <c r="D586" s="10" t="s">
        <v>655</v>
      </c>
      <c r="E586" s="10" t="s">
        <v>70</v>
      </c>
      <c r="F586" s="10" t="s">
        <v>35</v>
      </c>
      <c r="G586" s="8" t="s">
        <v>36</v>
      </c>
      <c r="H586" s="8" t="s">
        <v>65</v>
      </c>
      <c r="I586" s="8" t="s">
        <v>151</v>
      </c>
      <c r="J586" s="10">
        <v>164</v>
      </c>
      <c r="K586" s="10" t="s">
        <v>368</v>
      </c>
      <c r="L586" s="10" t="s">
        <v>40</v>
      </c>
      <c r="M586" s="12">
        <v>1</v>
      </c>
      <c r="N586" s="15">
        <v>11000.0</v>
      </c>
      <c r="O586" s="15"/>
      <c r="P586" s="17">
        <f>IF(N586&gt;0, O586/N586, 0)</f>
        <v>0</v>
      </c>
      <c r="Q586" s="15">
        <f>N586-O586</f>
        <v>11000</v>
      </c>
      <c r="R586" s="15">
        <f>M586*N586</f>
        <v>11000</v>
      </c>
      <c r="S586" s="15">
        <f>M586*O586</f>
        <v>0</v>
      </c>
      <c r="T586" s="15">
        <f>M586*Q586</f>
        <v>11000</v>
      </c>
      <c r="U586" s="15"/>
      <c r="V586" s="15">
        <f>M586*U586</f>
        <v>0</v>
      </c>
      <c r="W586" s="15">
        <f>T586-V586</f>
        <v>11000</v>
      </c>
      <c r="X586" s="17">
        <f>IF(T586&gt;0, W586/T586, 0)</f>
        <v>1</v>
      </c>
      <c r="Y586" s="8" t="s">
        <v>41</v>
      </c>
      <c r="Z586" s="10" t="s">
        <v>42</v>
      </c>
      <c r="AA586" s="10" t="s">
        <v>73</v>
      </c>
      <c r="AB586" s="10" t="s">
        <v>44</v>
      </c>
      <c r="AC586" s="8" t="s">
        <v>44</v>
      </c>
    </row>
    <row r="587" spans="1:29">
      <c r="A587" s="11">
        <v>580</v>
      </c>
      <c r="B587" s="11" t="s">
        <v>873</v>
      </c>
      <c r="C587" s="11" t="s">
        <v>847</v>
      </c>
      <c r="D587" s="11" t="s">
        <v>655</v>
      </c>
      <c r="E587" s="11" t="s">
        <v>70</v>
      </c>
      <c r="F587" s="11" t="s">
        <v>35</v>
      </c>
      <c r="G587" s="9" t="s">
        <v>36</v>
      </c>
      <c r="H587" s="9" t="s">
        <v>37</v>
      </c>
      <c r="I587" s="9" t="s">
        <v>38</v>
      </c>
      <c r="J587" s="11">
        <v>164</v>
      </c>
      <c r="K587" s="11" t="s">
        <v>79</v>
      </c>
      <c r="L587" s="11" t="s">
        <v>40</v>
      </c>
      <c r="M587" s="13">
        <v>1</v>
      </c>
      <c r="N587" s="16">
        <v>10000.0</v>
      </c>
      <c r="O587" s="16"/>
      <c r="P587" s="18">
        <f>IF(N587&gt;0, O587/N587, 0)</f>
        <v>0</v>
      </c>
      <c r="Q587" s="16">
        <f>N587-O587</f>
        <v>10000</v>
      </c>
      <c r="R587" s="16">
        <f>M587*N587</f>
        <v>10000</v>
      </c>
      <c r="S587" s="16">
        <f>M587*O587</f>
        <v>0</v>
      </c>
      <c r="T587" s="16">
        <f>M587*Q587</f>
        <v>10000</v>
      </c>
      <c r="U587" s="16"/>
      <c r="V587" s="16">
        <f>M587*U587</f>
        <v>0</v>
      </c>
      <c r="W587" s="16">
        <f>T587-V587</f>
        <v>10000</v>
      </c>
      <c r="X587" s="18">
        <f>IF(T587&gt;0, W587/T587, 0)</f>
        <v>1</v>
      </c>
      <c r="Y587" s="9" t="s">
        <v>41</v>
      </c>
      <c r="Z587" s="11" t="s">
        <v>42</v>
      </c>
      <c r="AA587" s="11" t="s">
        <v>73</v>
      </c>
      <c r="AB587" s="11" t="s">
        <v>44</v>
      </c>
      <c r="AC587" s="9" t="s">
        <v>44</v>
      </c>
    </row>
    <row r="588" spans="1:29">
      <c r="A588" s="10">
        <v>581</v>
      </c>
      <c r="B588" s="10" t="s">
        <v>874</v>
      </c>
      <c r="C588" s="10" t="s">
        <v>847</v>
      </c>
      <c r="D588" s="10" t="s">
        <v>655</v>
      </c>
      <c r="E588" s="10" t="s">
        <v>34</v>
      </c>
      <c r="F588" s="10" t="s">
        <v>35</v>
      </c>
      <c r="G588" s="8" t="s">
        <v>52</v>
      </c>
      <c r="H588" s="8" t="s">
        <v>53</v>
      </c>
      <c r="I588" s="8" t="s">
        <v>53</v>
      </c>
      <c r="J588" s="10">
        <v>146</v>
      </c>
      <c r="K588" s="10" t="s">
        <v>257</v>
      </c>
      <c r="L588" s="10" t="s">
        <v>55</v>
      </c>
      <c r="M588" s="12">
        <v>1</v>
      </c>
      <c r="N588" s="15">
        <v>8000.0</v>
      </c>
      <c r="O588" s="15"/>
      <c r="P588" s="17">
        <f>IF(N588&gt;0, O588/N588, 0)</f>
        <v>0</v>
      </c>
      <c r="Q588" s="15">
        <f>N588-O588</f>
        <v>8000</v>
      </c>
      <c r="R588" s="15">
        <f>M588*N588</f>
        <v>8000</v>
      </c>
      <c r="S588" s="15">
        <f>M588*O588</f>
        <v>0</v>
      </c>
      <c r="T588" s="15">
        <f>M588*Q588</f>
        <v>8000</v>
      </c>
      <c r="U588" s="15"/>
      <c r="V588" s="15">
        <f>M588*U588</f>
        <v>0</v>
      </c>
      <c r="W588" s="15">
        <f>T588-V588</f>
        <v>8000</v>
      </c>
      <c r="X588" s="17">
        <f>IF(T588&gt;0, W588/T588, 0)</f>
        <v>1</v>
      </c>
      <c r="Y588" s="8" t="s">
        <v>41</v>
      </c>
      <c r="Z588" s="10" t="s">
        <v>42</v>
      </c>
      <c r="AA588" s="10" t="s">
        <v>43</v>
      </c>
      <c r="AB588" s="10" t="s">
        <v>44</v>
      </c>
      <c r="AC588" s="8" t="s">
        <v>44</v>
      </c>
    </row>
    <row r="589" spans="1:29">
      <c r="A589" s="11">
        <v>582</v>
      </c>
      <c r="B589" s="11" t="s">
        <v>875</v>
      </c>
      <c r="C589" s="11" t="s">
        <v>847</v>
      </c>
      <c r="D589" s="11" t="s">
        <v>655</v>
      </c>
      <c r="E589" s="11" t="s">
        <v>34</v>
      </c>
      <c r="F589" s="11" t="s">
        <v>35</v>
      </c>
      <c r="G589" s="9" t="s">
        <v>36</v>
      </c>
      <c r="H589" s="9" t="s">
        <v>53</v>
      </c>
      <c r="I589" s="9" t="s">
        <v>53</v>
      </c>
      <c r="J589" s="11">
        <v>164</v>
      </c>
      <c r="K589" s="11" t="s">
        <v>63</v>
      </c>
      <c r="L589" s="11" t="s">
        <v>40</v>
      </c>
      <c r="M589" s="13">
        <v>1</v>
      </c>
      <c r="N589" s="16">
        <v>8500.0</v>
      </c>
      <c r="O589" s="16"/>
      <c r="P589" s="18">
        <f>IF(N589&gt;0, O589/N589, 0)</f>
        <v>0</v>
      </c>
      <c r="Q589" s="16">
        <f>N589-O589</f>
        <v>8500</v>
      </c>
      <c r="R589" s="16">
        <f>M589*N589</f>
        <v>8500</v>
      </c>
      <c r="S589" s="16">
        <f>M589*O589</f>
        <v>0</v>
      </c>
      <c r="T589" s="16">
        <f>M589*Q589</f>
        <v>8500</v>
      </c>
      <c r="U589" s="16"/>
      <c r="V589" s="16">
        <f>M589*U589</f>
        <v>0</v>
      </c>
      <c r="W589" s="16">
        <f>T589-V589</f>
        <v>8500</v>
      </c>
      <c r="X589" s="18">
        <f>IF(T589&gt;0, W589/T589, 0)</f>
        <v>1</v>
      </c>
      <c r="Y589" s="9" t="s">
        <v>41</v>
      </c>
      <c r="Z589" s="11" t="s">
        <v>42</v>
      </c>
      <c r="AA589" s="11" t="s">
        <v>43</v>
      </c>
      <c r="AB589" s="11" t="s">
        <v>44</v>
      </c>
      <c r="AC589" s="9" t="s">
        <v>44</v>
      </c>
    </row>
    <row r="590" spans="1:29">
      <c r="A590" s="10">
        <v>583</v>
      </c>
      <c r="B590" s="10" t="s">
        <v>876</v>
      </c>
      <c r="C590" s="10" t="s">
        <v>847</v>
      </c>
      <c r="D590" s="10" t="s">
        <v>655</v>
      </c>
      <c r="E590" s="10" t="s">
        <v>34</v>
      </c>
      <c r="F590" s="10" t="s">
        <v>35</v>
      </c>
      <c r="G590" s="8" t="s">
        <v>36</v>
      </c>
      <c r="H590" s="8" t="s">
        <v>58</v>
      </c>
      <c r="I590" s="8" t="s">
        <v>58</v>
      </c>
      <c r="J590" s="10">
        <v>164</v>
      </c>
      <c r="K590" s="10" t="s">
        <v>59</v>
      </c>
      <c r="L590" s="10" t="s">
        <v>40</v>
      </c>
      <c r="M590" s="12">
        <v>1</v>
      </c>
      <c r="N590" s="15">
        <v>7500.0</v>
      </c>
      <c r="O590" s="15"/>
      <c r="P590" s="17">
        <f>IF(N590&gt;0, O590/N590, 0)</f>
        <v>0</v>
      </c>
      <c r="Q590" s="15">
        <f>N590-O590</f>
        <v>7500</v>
      </c>
      <c r="R590" s="15">
        <f>M590*N590</f>
        <v>7500</v>
      </c>
      <c r="S590" s="15">
        <f>M590*O590</f>
        <v>0</v>
      </c>
      <c r="T590" s="15">
        <f>M590*Q590</f>
        <v>7500</v>
      </c>
      <c r="U590" s="15"/>
      <c r="V590" s="15">
        <f>M590*U590</f>
        <v>0</v>
      </c>
      <c r="W590" s="15">
        <f>T590-V590</f>
        <v>7500</v>
      </c>
      <c r="X590" s="17">
        <f>IF(T590&gt;0, W590/T590, 0)</f>
        <v>1</v>
      </c>
      <c r="Y590" s="8" t="s">
        <v>41</v>
      </c>
      <c r="Z590" s="10" t="s">
        <v>42</v>
      </c>
      <c r="AA590" s="10" t="s">
        <v>43</v>
      </c>
      <c r="AB590" s="10" t="s">
        <v>44</v>
      </c>
      <c r="AC590" s="8" t="s">
        <v>44</v>
      </c>
    </row>
    <row r="591" spans="1:29">
      <c r="A591" s="11">
        <v>584</v>
      </c>
      <c r="B591" s="11" t="s">
        <v>877</v>
      </c>
      <c r="C591" s="11" t="s">
        <v>847</v>
      </c>
      <c r="D591" s="11" t="s">
        <v>655</v>
      </c>
      <c r="E591" s="11" t="s">
        <v>34</v>
      </c>
      <c r="F591" s="11" t="s">
        <v>35</v>
      </c>
      <c r="G591" s="9" t="s">
        <v>52</v>
      </c>
      <c r="H591" s="9" t="s">
        <v>37</v>
      </c>
      <c r="I591" s="9" t="s">
        <v>38</v>
      </c>
      <c r="J591" s="11">
        <v>140</v>
      </c>
      <c r="K591" s="11" t="s">
        <v>226</v>
      </c>
      <c r="L591" s="11" t="s">
        <v>55</v>
      </c>
      <c r="M591" s="13">
        <v>1</v>
      </c>
      <c r="N591" s="16">
        <v>7000.0</v>
      </c>
      <c r="O591" s="16"/>
      <c r="P591" s="18">
        <f>IF(N591&gt;0, O591/N591, 0)</f>
        <v>0</v>
      </c>
      <c r="Q591" s="16">
        <f>N591-O591</f>
        <v>7000</v>
      </c>
      <c r="R591" s="16">
        <f>M591*N591</f>
        <v>7000</v>
      </c>
      <c r="S591" s="16">
        <f>M591*O591</f>
        <v>0</v>
      </c>
      <c r="T591" s="16">
        <f>M591*Q591</f>
        <v>7000</v>
      </c>
      <c r="U591" s="16"/>
      <c r="V591" s="16">
        <f>M591*U591</f>
        <v>0</v>
      </c>
      <c r="W591" s="16">
        <f>T591-V591</f>
        <v>7000</v>
      </c>
      <c r="X591" s="18">
        <f>IF(T591&gt;0, W591/T591, 0)</f>
        <v>1</v>
      </c>
      <c r="Y591" s="9" t="s">
        <v>41</v>
      </c>
      <c r="Z591" s="11" t="s">
        <v>42</v>
      </c>
      <c r="AA591" s="11" t="s">
        <v>43</v>
      </c>
      <c r="AB591" s="11" t="s">
        <v>44</v>
      </c>
      <c r="AC591" s="9" t="s">
        <v>44</v>
      </c>
    </row>
    <row r="592" spans="1:29">
      <c r="A592" s="10">
        <v>585</v>
      </c>
      <c r="B592" s="10" t="s">
        <v>878</v>
      </c>
      <c r="C592" s="10" t="s">
        <v>847</v>
      </c>
      <c r="D592" s="10" t="s">
        <v>655</v>
      </c>
      <c r="E592" s="10" t="s">
        <v>34</v>
      </c>
      <c r="F592" s="10" t="s">
        <v>35</v>
      </c>
      <c r="G592" s="8" t="s">
        <v>52</v>
      </c>
      <c r="H592" s="8" t="s">
        <v>37</v>
      </c>
      <c r="I592" s="8" t="s">
        <v>75</v>
      </c>
      <c r="J592" s="10">
        <v>140</v>
      </c>
      <c r="K592" s="10" t="s">
        <v>573</v>
      </c>
      <c r="L592" s="10" t="s">
        <v>55</v>
      </c>
      <c r="M592" s="12">
        <v>1</v>
      </c>
      <c r="N592" s="15">
        <v>8000.0</v>
      </c>
      <c r="O592" s="15"/>
      <c r="P592" s="17">
        <f>IF(N592&gt;0, O592/N592, 0)</f>
        <v>0</v>
      </c>
      <c r="Q592" s="15">
        <f>N592-O592</f>
        <v>8000</v>
      </c>
      <c r="R592" s="15">
        <f>M592*N592</f>
        <v>8000</v>
      </c>
      <c r="S592" s="15">
        <f>M592*O592</f>
        <v>0</v>
      </c>
      <c r="T592" s="15">
        <f>M592*Q592</f>
        <v>8000</v>
      </c>
      <c r="U592" s="15"/>
      <c r="V592" s="15">
        <f>M592*U592</f>
        <v>0</v>
      </c>
      <c r="W592" s="15">
        <f>T592-V592</f>
        <v>8000</v>
      </c>
      <c r="X592" s="17">
        <f>IF(T592&gt;0, W592/T592, 0)</f>
        <v>1</v>
      </c>
      <c r="Y592" s="8" t="s">
        <v>41</v>
      </c>
      <c r="Z592" s="10" t="s">
        <v>42</v>
      </c>
      <c r="AA592" s="10" t="s">
        <v>43</v>
      </c>
      <c r="AB592" s="10" t="s">
        <v>44</v>
      </c>
      <c r="AC592" s="8" t="s">
        <v>44</v>
      </c>
    </row>
    <row r="593" spans="1:29">
      <c r="A593" s="11">
        <v>586</v>
      </c>
      <c r="B593" s="11" t="s">
        <v>879</v>
      </c>
      <c r="C593" s="11" t="s">
        <v>847</v>
      </c>
      <c r="D593" s="11" t="s">
        <v>655</v>
      </c>
      <c r="E593" s="11" t="s">
        <v>34</v>
      </c>
      <c r="F593" s="11" t="s">
        <v>35</v>
      </c>
      <c r="G593" s="9" t="s">
        <v>52</v>
      </c>
      <c r="H593" s="9" t="s">
        <v>37</v>
      </c>
      <c r="I593" s="9" t="s">
        <v>75</v>
      </c>
      <c r="J593" s="11">
        <v>134</v>
      </c>
      <c r="K593" s="11" t="s">
        <v>149</v>
      </c>
      <c r="L593" s="11" t="s">
        <v>55</v>
      </c>
      <c r="M593" s="13">
        <v>1</v>
      </c>
      <c r="N593" s="16">
        <v>8000.0</v>
      </c>
      <c r="O593" s="16"/>
      <c r="P593" s="18">
        <f>IF(N593&gt;0, O593/N593, 0)</f>
        <v>0</v>
      </c>
      <c r="Q593" s="16">
        <f>N593-O593</f>
        <v>8000</v>
      </c>
      <c r="R593" s="16">
        <f>M593*N593</f>
        <v>8000</v>
      </c>
      <c r="S593" s="16">
        <f>M593*O593</f>
        <v>0</v>
      </c>
      <c r="T593" s="16">
        <f>M593*Q593</f>
        <v>8000</v>
      </c>
      <c r="U593" s="16"/>
      <c r="V593" s="16">
        <f>M593*U593</f>
        <v>0</v>
      </c>
      <c r="W593" s="16">
        <f>T593-V593</f>
        <v>8000</v>
      </c>
      <c r="X593" s="18">
        <f>IF(T593&gt;0, W593/T593, 0)</f>
        <v>1</v>
      </c>
      <c r="Y593" s="9" t="s">
        <v>41</v>
      </c>
      <c r="Z593" s="11" t="s">
        <v>42</v>
      </c>
      <c r="AA593" s="11" t="s">
        <v>43</v>
      </c>
      <c r="AB593" s="11" t="s">
        <v>44</v>
      </c>
      <c r="AC593" s="9" t="s">
        <v>44</v>
      </c>
    </row>
    <row r="594" spans="1:29">
      <c r="A594" s="10">
        <v>587</v>
      </c>
      <c r="B594" s="10" t="s">
        <v>880</v>
      </c>
      <c r="C594" s="10" t="s">
        <v>847</v>
      </c>
      <c r="D594" s="10" t="s">
        <v>655</v>
      </c>
      <c r="E594" s="10" t="s">
        <v>34</v>
      </c>
      <c r="F594" s="10" t="s">
        <v>35</v>
      </c>
      <c r="G594" s="8" t="s">
        <v>52</v>
      </c>
      <c r="H594" s="8" t="s">
        <v>53</v>
      </c>
      <c r="I594" s="8" t="s">
        <v>53</v>
      </c>
      <c r="J594" s="10">
        <v>134</v>
      </c>
      <c r="K594" s="10" t="s">
        <v>178</v>
      </c>
      <c r="L594" s="10" t="s">
        <v>55</v>
      </c>
      <c r="M594" s="12">
        <v>1</v>
      </c>
      <c r="N594" s="15">
        <v>8000.0</v>
      </c>
      <c r="O594" s="15"/>
      <c r="P594" s="17">
        <f>IF(N594&gt;0, O594/N594, 0)</f>
        <v>0</v>
      </c>
      <c r="Q594" s="15">
        <f>N594-O594</f>
        <v>8000</v>
      </c>
      <c r="R594" s="15">
        <f>M594*N594</f>
        <v>8000</v>
      </c>
      <c r="S594" s="15">
        <f>M594*O594</f>
        <v>0</v>
      </c>
      <c r="T594" s="15">
        <f>M594*Q594</f>
        <v>8000</v>
      </c>
      <c r="U594" s="15"/>
      <c r="V594" s="15">
        <f>M594*U594</f>
        <v>0</v>
      </c>
      <c r="W594" s="15">
        <f>T594-V594</f>
        <v>8000</v>
      </c>
      <c r="X594" s="17">
        <f>IF(T594&gt;0, W594/T594, 0)</f>
        <v>1</v>
      </c>
      <c r="Y594" s="8" t="s">
        <v>41</v>
      </c>
      <c r="Z594" s="10" t="s">
        <v>42</v>
      </c>
      <c r="AA594" s="10" t="s">
        <v>43</v>
      </c>
      <c r="AB594" s="10" t="s">
        <v>44</v>
      </c>
      <c r="AC594" s="8" t="s">
        <v>44</v>
      </c>
    </row>
    <row r="595" spans="1:29">
      <c r="A595" s="11">
        <v>588</v>
      </c>
      <c r="B595" s="11" t="s">
        <v>881</v>
      </c>
      <c r="C595" s="11" t="s">
        <v>847</v>
      </c>
      <c r="D595" s="11" t="s">
        <v>655</v>
      </c>
      <c r="E595" s="11" t="s">
        <v>34</v>
      </c>
      <c r="F595" s="11" t="s">
        <v>35</v>
      </c>
      <c r="G595" s="9" t="s">
        <v>52</v>
      </c>
      <c r="H595" s="9" t="s">
        <v>71</v>
      </c>
      <c r="I595" s="9" t="s">
        <v>71</v>
      </c>
      <c r="J595" s="11">
        <v>134</v>
      </c>
      <c r="K595" s="11" t="s">
        <v>212</v>
      </c>
      <c r="L595" s="11" t="s">
        <v>40</v>
      </c>
      <c r="M595" s="13">
        <v>1</v>
      </c>
      <c r="N595" s="16">
        <v>16000.0</v>
      </c>
      <c r="O595" s="16"/>
      <c r="P595" s="18">
        <f>IF(N595&gt;0, O595/N595, 0)</f>
        <v>0</v>
      </c>
      <c r="Q595" s="16">
        <f>N595-O595</f>
        <v>16000</v>
      </c>
      <c r="R595" s="16">
        <f>M595*N595</f>
        <v>16000</v>
      </c>
      <c r="S595" s="16">
        <f>M595*O595</f>
        <v>0</v>
      </c>
      <c r="T595" s="16">
        <f>M595*Q595</f>
        <v>16000</v>
      </c>
      <c r="U595" s="16"/>
      <c r="V595" s="16">
        <f>M595*U595</f>
        <v>0</v>
      </c>
      <c r="W595" s="16">
        <f>T595-V595</f>
        <v>16000</v>
      </c>
      <c r="X595" s="18">
        <f>IF(T595&gt;0, W595/T595, 0)</f>
        <v>1</v>
      </c>
      <c r="Y595" s="9" t="s">
        <v>41</v>
      </c>
      <c r="Z595" s="11" t="s">
        <v>42</v>
      </c>
      <c r="AA595" s="11" t="s">
        <v>43</v>
      </c>
      <c r="AB595" s="11" t="s">
        <v>44</v>
      </c>
      <c r="AC595" s="9" t="s">
        <v>44</v>
      </c>
    </row>
    <row r="596" spans="1:29">
      <c r="A596" s="10">
        <v>589</v>
      </c>
      <c r="B596" s="10" t="s">
        <v>882</v>
      </c>
      <c r="C596" s="10" t="s">
        <v>847</v>
      </c>
      <c r="D596" s="10" t="s">
        <v>655</v>
      </c>
      <c r="E596" s="10" t="s">
        <v>34</v>
      </c>
      <c r="F596" s="10" t="s">
        <v>35</v>
      </c>
      <c r="G596" s="8" t="s">
        <v>36</v>
      </c>
      <c r="H596" s="8" t="s">
        <v>53</v>
      </c>
      <c r="I596" s="8" t="s">
        <v>53</v>
      </c>
      <c r="J596" s="10">
        <v>182</v>
      </c>
      <c r="K596" s="10" t="s">
        <v>324</v>
      </c>
      <c r="L596" s="10" t="s">
        <v>40</v>
      </c>
      <c r="M596" s="12">
        <v>1</v>
      </c>
      <c r="N596" s="15">
        <v>8500.0</v>
      </c>
      <c r="O596" s="15"/>
      <c r="P596" s="17">
        <f>IF(N596&gt;0, O596/N596, 0)</f>
        <v>0</v>
      </c>
      <c r="Q596" s="15">
        <f>N596-O596</f>
        <v>8500</v>
      </c>
      <c r="R596" s="15">
        <f>M596*N596</f>
        <v>8500</v>
      </c>
      <c r="S596" s="15">
        <f>M596*O596</f>
        <v>0</v>
      </c>
      <c r="T596" s="15">
        <f>M596*Q596</f>
        <v>8500</v>
      </c>
      <c r="U596" s="15"/>
      <c r="V596" s="15">
        <f>M596*U596</f>
        <v>0</v>
      </c>
      <c r="W596" s="15">
        <f>T596-V596</f>
        <v>8500</v>
      </c>
      <c r="X596" s="17">
        <f>IF(T596&gt;0, W596/T596, 0)</f>
        <v>1</v>
      </c>
      <c r="Y596" s="8" t="s">
        <v>41</v>
      </c>
      <c r="Z596" s="10" t="s">
        <v>42</v>
      </c>
      <c r="AA596" s="10" t="s">
        <v>43</v>
      </c>
      <c r="AB596" s="10" t="s">
        <v>44</v>
      </c>
      <c r="AC596" s="8" t="s">
        <v>44</v>
      </c>
    </row>
    <row r="597" spans="1:29">
      <c r="A597" s="11">
        <v>590</v>
      </c>
      <c r="B597" s="11" t="s">
        <v>883</v>
      </c>
      <c r="C597" s="11" t="s">
        <v>847</v>
      </c>
      <c r="D597" s="11" t="s">
        <v>655</v>
      </c>
      <c r="E597" s="11" t="s">
        <v>34</v>
      </c>
      <c r="F597" s="11" t="s">
        <v>35</v>
      </c>
      <c r="G597" s="9" t="s">
        <v>36</v>
      </c>
      <c r="H597" s="9" t="s">
        <v>37</v>
      </c>
      <c r="I597" s="9" t="s">
        <v>38</v>
      </c>
      <c r="J597" s="11">
        <v>170</v>
      </c>
      <c r="K597" s="11" t="s">
        <v>145</v>
      </c>
      <c r="L597" s="11" t="s">
        <v>40</v>
      </c>
      <c r="M597" s="13">
        <v>1</v>
      </c>
      <c r="N597" s="16">
        <v>8000.0</v>
      </c>
      <c r="O597" s="16"/>
      <c r="P597" s="18">
        <f>IF(N597&gt;0, O597/N597, 0)</f>
        <v>0</v>
      </c>
      <c r="Q597" s="16">
        <f>N597-O597</f>
        <v>8000</v>
      </c>
      <c r="R597" s="16">
        <f>M597*N597</f>
        <v>8000</v>
      </c>
      <c r="S597" s="16">
        <f>M597*O597</f>
        <v>0</v>
      </c>
      <c r="T597" s="16">
        <f>M597*Q597</f>
        <v>8000</v>
      </c>
      <c r="U597" s="16"/>
      <c r="V597" s="16">
        <f>M597*U597</f>
        <v>0</v>
      </c>
      <c r="W597" s="16">
        <f>T597-V597</f>
        <v>8000</v>
      </c>
      <c r="X597" s="18">
        <f>IF(T597&gt;0, W597/T597, 0)</f>
        <v>1</v>
      </c>
      <c r="Y597" s="9" t="s">
        <v>41</v>
      </c>
      <c r="Z597" s="11" t="s">
        <v>42</v>
      </c>
      <c r="AA597" s="11" t="s">
        <v>43</v>
      </c>
      <c r="AB597" s="11" t="s">
        <v>44</v>
      </c>
      <c r="AC597" s="9" t="s">
        <v>44</v>
      </c>
    </row>
    <row r="598" spans="1:29">
      <c r="A598" s="10">
        <v>591</v>
      </c>
      <c r="B598" s="10" t="s">
        <v>884</v>
      </c>
      <c r="C598" s="10" t="s">
        <v>847</v>
      </c>
      <c r="D598" s="10" t="s">
        <v>655</v>
      </c>
      <c r="E598" s="10" t="s">
        <v>34</v>
      </c>
      <c r="F598" s="10" t="s">
        <v>35</v>
      </c>
      <c r="G598" s="8" t="s">
        <v>52</v>
      </c>
      <c r="H598" s="8" t="s">
        <v>71</v>
      </c>
      <c r="I598" s="8" t="s">
        <v>71</v>
      </c>
      <c r="J598" s="10">
        <v>146</v>
      </c>
      <c r="K598" s="10" t="s">
        <v>385</v>
      </c>
      <c r="L598" s="10" t="s">
        <v>40</v>
      </c>
      <c r="M598" s="12">
        <v>1</v>
      </c>
      <c r="N598" s="15">
        <v>16000.0</v>
      </c>
      <c r="O598" s="15"/>
      <c r="P598" s="17">
        <f>IF(N598&gt;0, O598/N598, 0)</f>
        <v>0</v>
      </c>
      <c r="Q598" s="15">
        <f>N598-O598</f>
        <v>16000</v>
      </c>
      <c r="R598" s="15">
        <f>M598*N598</f>
        <v>16000</v>
      </c>
      <c r="S598" s="15">
        <f>M598*O598</f>
        <v>0</v>
      </c>
      <c r="T598" s="15">
        <f>M598*Q598</f>
        <v>16000</v>
      </c>
      <c r="U598" s="15"/>
      <c r="V598" s="15">
        <f>M598*U598</f>
        <v>0</v>
      </c>
      <c r="W598" s="15">
        <f>T598-V598</f>
        <v>16000</v>
      </c>
      <c r="X598" s="17">
        <f>IF(T598&gt;0, W598/T598, 0)</f>
        <v>1</v>
      </c>
      <c r="Y598" s="8" t="s">
        <v>41</v>
      </c>
      <c r="Z598" s="10" t="s">
        <v>42</v>
      </c>
      <c r="AA598" s="10" t="s">
        <v>43</v>
      </c>
      <c r="AB598" s="10" t="s">
        <v>44</v>
      </c>
      <c r="AC598" s="8" t="s">
        <v>44</v>
      </c>
    </row>
    <row r="599" spans="1:29">
      <c r="A599" s="11">
        <v>592</v>
      </c>
      <c r="B599" s="11" t="s">
        <v>885</v>
      </c>
      <c r="C599" s="11" t="s">
        <v>847</v>
      </c>
      <c r="D599" s="11" t="s">
        <v>655</v>
      </c>
      <c r="E599" s="11" t="s">
        <v>34</v>
      </c>
      <c r="F599" s="11" t="s">
        <v>35</v>
      </c>
      <c r="G599" s="9" t="s">
        <v>52</v>
      </c>
      <c r="H599" s="9" t="s">
        <v>37</v>
      </c>
      <c r="I599" s="9" t="s">
        <v>38</v>
      </c>
      <c r="J599" s="11">
        <v>134</v>
      </c>
      <c r="K599" s="11" t="s">
        <v>180</v>
      </c>
      <c r="L599" s="11" t="s">
        <v>55</v>
      </c>
      <c r="M599" s="13">
        <v>2</v>
      </c>
      <c r="N599" s="16">
        <v>7000.0</v>
      </c>
      <c r="O599" s="16"/>
      <c r="P599" s="18">
        <f>IF(N599&gt;0, O599/N599, 0)</f>
        <v>0</v>
      </c>
      <c r="Q599" s="16">
        <f>N599-O599</f>
        <v>7000</v>
      </c>
      <c r="R599" s="16">
        <f>M599*N599</f>
        <v>14000</v>
      </c>
      <c r="S599" s="16">
        <f>M599*O599</f>
        <v>0</v>
      </c>
      <c r="T599" s="16">
        <f>M599*Q599</f>
        <v>14000</v>
      </c>
      <c r="U599" s="16"/>
      <c r="V599" s="16">
        <f>M599*U599</f>
        <v>0</v>
      </c>
      <c r="W599" s="16">
        <f>T599-V599</f>
        <v>14000</v>
      </c>
      <c r="X599" s="18">
        <f>IF(T599&gt;0, W599/T599, 0)</f>
        <v>1</v>
      </c>
      <c r="Y599" s="9" t="s">
        <v>41</v>
      </c>
      <c r="Z599" s="11" t="s">
        <v>42</v>
      </c>
      <c r="AA599" s="11" t="s">
        <v>43</v>
      </c>
      <c r="AB599" s="11" t="s">
        <v>44</v>
      </c>
      <c r="AC599" s="9" t="s">
        <v>44</v>
      </c>
    </row>
    <row r="600" spans="1:29">
      <c r="A600" s="10">
        <v>593</v>
      </c>
      <c r="B600" s="10" t="s">
        <v>886</v>
      </c>
      <c r="C600" s="10" t="s">
        <v>847</v>
      </c>
      <c r="D600" s="10" t="s">
        <v>655</v>
      </c>
      <c r="E600" s="10" t="s">
        <v>34</v>
      </c>
      <c r="F600" s="10" t="s">
        <v>35</v>
      </c>
      <c r="G600" s="8" t="s">
        <v>36</v>
      </c>
      <c r="H600" s="8" t="s">
        <v>58</v>
      </c>
      <c r="I600" s="8" t="s">
        <v>58</v>
      </c>
      <c r="J600" s="10">
        <v>170</v>
      </c>
      <c r="K600" s="10" t="s">
        <v>215</v>
      </c>
      <c r="L600" s="10" t="s">
        <v>40</v>
      </c>
      <c r="M600" s="12">
        <v>1</v>
      </c>
      <c r="N600" s="15">
        <v>7500.0</v>
      </c>
      <c r="O600" s="15"/>
      <c r="P600" s="17">
        <f>IF(N600&gt;0, O600/N600, 0)</f>
        <v>0</v>
      </c>
      <c r="Q600" s="15">
        <f>N600-O600</f>
        <v>7500</v>
      </c>
      <c r="R600" s="15">
        <f>M600*N600</f>
        <v>7500</v>
      </c>
      <c r="S600" s="15">
        <f>M600*O600</f>
        <v>0</v>
      </c>
      <c r="T600" s="15">
        <f>M600*Q600</f>
        <v>7500</v>
      </c>
      <c r="U600" s="15"/>
      <c r="V600" s="15">
        <f>M600*U600</f>
        <v>0</v>
      </c>
      <c r="W600" s="15">
        <f>T600-V600</f>
        <v>7500</v>
      </c>
      <c r="X600" s="17">
        <f>IF(T600&gt;0, W600/T600, 0)</f>
        <v>1</v>
      </c>
      <c r="Y600" s="8" t="s">
        <v>41</v>
      </c>
      <c r="Z600" s="10" t="s">
        <v>42</v>
      </c>
      <c r="AA600" s="10" t="s">
        <v>43</v>
      </c>
      <c r="AB600" s="10" t="s">
        <v>44</v>
      </c>
      <c r="AC600" s="8" t="s">
        <v>44</v>
      </c>
    </row>
    <row r="601" spans="1:29">
      <c r="A601" s="11">
        <v>594</v>
      </c>
      <c r="B601" s="11" t="s">
        <v>887</v>
      </c>
      <c r="C601" s="11" t="s">
        <v>847</v>
      </c>
      <c r="D601" s="11" t="s">
        <v>655</v>
      </c>
      <c r="E601" s="11" t="s">
        <v>34</v>
      </c>
      <c r="F601" s="11" t="s">
        <v>35</v>
      </c>
      <c r="G601" s="9" t="s">
        <v>36</v>
      </c>
      <c r="H601" s="9" t="s">
        <v>37</v>
      </c>
      <c r="I601" s="9" t="s">
        <v>38</v>
      </c>
      <c r="J601" s="11">
        <v>182</v>
      </c>
      <c r="K601" s="11" t="s">
        <v>338</v>
      </c>
      <c r="L601" s="11" t="s">
        <v>40</v>
      </c>
      <c r="M601" s="13">
        <v>1</v>
      </c>
      <c r="N601" s="16">
        <v>8000.0</v>
      </c>
      <c r="O601" s="16"/>
      <c r="P601" s="18">
        <f>IF(N601&gt;0, O601/N601, 0)</f>
        <v>0</v>
      </c>
      <c r="Q601" s="16">
        <f>N601-O601</f>
        <v>8000</v>
      </c>
      <c r="R601" s="16">
        <f>M601*N601</f>
        <v>8000</v>
      </c>
      <c r="S601" s="16">
        <f>M601*O601</f>
        <v>0</v>
      </c>
      <c r="T601" s="16">
        <f>M601*Q601</f>
        <v>8000</v>
      </c>
      <c r="U601" s="16"/>
      <c r="V601" s="16">
        <f>M601*U601</f>
        <v>0</v>
      </c>
      <c r="W601" s="16">
        <f>T601-V601</f>
        <v>8000</v>
      </c>
      <c r="X601" s="18">
        <f>IF(T601&gt;0, W601/T601, 0)</f>
        <v>1</v>
      </c>
      <c r="Y601" s="9" t="s">
        <v>41</v>
      </c>
      <c r="Z601" s="11" t="s">
        <v>42</v>
      </c>
      <c r="AA601" s="11" t="s">
        <v>43</v>
      </c>
      <c r="AB601" s="11" t="s">
        <v>44</v>
      </c>
      <c r="AC601" s="9" t="s">
        <v>44</v>
      </c>
    </row>
    <row r="602" spans="1:29">
      <c r="A602" s="10">
        <v>595</v>
      </c>
      <c r="B602" s="10" t="s">
        <v>888</v>
      </c>
      <c r="C602" s="10" t="s">
        <v>847</v>
      </c>
      <c r="D602" s="10" t="s">
        <v>655</v>
      </c>
      <c r="E602" s="10" t="s">
        <v>34</v>
      </c>
      <c r="F602" s="10" t="s">
        <v>35</v>
      </c>
      <c r="G602" s="8" t="s">
        <v>36</v>
      </c>
      <c r="H602" s="8" t="s">
        <v>37</v>
      </c>
      <c r="I602" s="8" t="s">
        <v>38</v>
      </c>
      <c r="J602" s="10">
        <v>170</v>
      </c>
      <c r="K602" s="10" t="s">
        <v>145</v>
      </c>
      <c r="L602" s="10" t="s">
        <v>40</v>
      </c>
      <c r="M602" s="12">
        <v>1</v>
      </c>
      <c r="N602" s="15">
        <v>8000.0</v>
      </c>
      <c r="O602" s="15"/>
      <c r="P602" s="17">
        <f>IF(N602&gt;0, O602/N602, 0)</f>
        <v>0</v>
      </c>
      <c r="Q602" s="15">
        <f>N602-O602</f>
        <v>8000</v>
      </c>
      <c r="R602" s="15">
        <f>M602*N602</f>
        <v>8000</v>
      </c>
      <c r="S602" s="15">
        <f>M602*O602</f>
        <v>0</v>
      </c>
      <c r="T602" s="15">
        <f>M602*Q602</f>
        <v>8000</v>
      </c>
      <c r="U602" s="15"/>
      <c r="V602" s="15">
        <f>M602*U602</f>
        <v>0</v>
      </c>
      <c r="W602" s="15">
        <f>T602-V602</f>
        <v>8000</v>
      </c>
      <c r="X602" s="17">
        <f>IF(T602&gt;0, W602/T602, 0)</f>
        <v>1</v>
      </c>
      <c r="Y602" s="8" t="s">
        <v>41</v>
      </c>
      <c r="Z602" s="10" t="s">
        <v>42</v>
      </c>
      <c r="AA602" s="10" t="s">
        <v>43</v>
      </c>
      <c r="AB602" s="10" t="s">
        <v>44</v>
      </c>
      <c r="AC602" s="8" t="s">
        <v>44</v>
      </c>
    </row>
    <row r="603" spans="1:29">
      <c r="A603" s="11">
        <v>596</v>
      </c>
      <c r="B603" s="11" t="s">
        <v>889</v>
      </c>
      <c r="C603" s="11" t="s">
        <v>847</v>
      </c>
      <c r="D603" s="11" t="s">
        <v>655</v>
      </c>
      <c r="E603" s="11" t="s">
        <v>34</v>
      </c>
      <c r="F603" s="11" t="s">
        <v>35</v>
      </c>
      <c r="G603" s="9" t="s">
        <v>52</v>
      </c>
      <c r="H603" s="9" t="s">
        <v>47</v>
      </c>
      <c r="I603" s="9" t="s">
        <v>48</v>
      </c>
      <c r="J603" s="11">
        <v>146</v>
      </c>
      <c r="K603" s="11" t="s">
        <v>142</v>
      </c>
      <c r="L603" s="11" t="s">
        <v>40</v>
      </c>
      <c r="M603" s="13">
        <v>1</v>
      </c>
      <c r="N603" s="16">
        <v>18000.0</v>
      </c>
      <c r="O603" s="16"/>
      <c r="P603" s="18">
        <f>IF(N603&gt;0, O603/N603, 0)</f>
        <v>0</v>
      </c>
      <c r="Q603" s="16">
        <f>N603-O603</f>
        <v>18000</v>
      </c>
      <c r="R603" s="16">
        <f>M603*N603</f>
        <v>18000</v>
      </c>
      <c r="S603" s="16">
        <f>M603*O603</f>
        <v>0</v>
      </c>
      <c r="T603" s="16">
        <f>M603*Q603</f>
        <v>18000</v>
      </c>
      <c r="U603" s="16"/>
      <c r="V603" s="16">
        <f>M603*U603</f>
        <v>0</v>
      </c>
      <c r="W603" s="16">
        <f>T603-V603</f>
        <v>18000</v>
      </c>
      <c r="X603" s="18">
        <f>IF(T603&gt;0, W603/T603, 0)</f>
        <v>1</v>
      </c>
      <c r="Y603" s="9" t="s">
        <v>41</v>
      </c>
      <c r="Z603" s="11" t="s">
        <v>42</v>
      </c>
      <c r="AA603" s="11" t="s">
        <v>43</v>
      </c>
      <c r="AB603" s="11" t="s">
        <v>44</v>
      </c>
      <c r="AC603" s="9" t="s">
        <v>44</v>
      </c>
    </row>
    <row r="604" spans="1:29">
      <c r="A604" s="10">
        <v>597</v>
      </c>
      <c r="B604" s="10" t="s">
        <v>890</v>
      </c>
      <c r="C604" s="10" t="s">
        <v>847</v>
      </c>
      <c r="D604" s="10" t="s">
        <v>655</v>
      </c>
      <c r="E604" s="10" t="s">
        <v>34</v>
      </c>
      <c r="F604" s="10" t="s">
        <v>35</v>
      </c>
      <c r="G604" s="8" t="s">
        <v>36</v>
      </c>
      <c r="H604" s="8" t="s">
        <v>37</v>
      </c>
      <c r="I604" s="8" t="s">
        <v>75</v>
      </c>
      <c r="J604" s="10">
        <v>170</v>
      </c>
      <c r="K604" s="10" t="s">
        <v>651</v>
      </c>
      <c r="L604" s="10" t="s">
        <v>40</v>
      </c>
      <c r="M604" s="12">
        <v>1</v>
      </c>
      <c r="N604" s="15">
        <v>9000.0</v>
      </c>
      <c r="O604" s="15"/>
      <c r="P604" s="17">
        <f>IF(N604&gt;0, O604/N604, 0)</f>
        <v>0</v>
      </c>
      <c r="Q604" s="15">
        <f>N604-O604</f>
        <v>9000</v>
      </c>
      <c r="R604" s="15">
        <f>M604*N604</f>
        <v>9000</v>
      </c>
      <c r="S604" s="15">
        <f>M604*O604</f>
        <v>0</v>
      </c>
      <c r="T604" s="15">
        <f>M604*Q604</f>
        <v>9000</v>
      </c>
      <c r="U604" s="15"/>
      <c r="V604" s="15">
        <f>M604*U604</f>
        <v>0</v>
      </c>
      <c r="W604" s="15">
        <f>T604-V604</f>
        <v>9000</v>
      </c>
      <c r="X604" s="17">
        <f>IF(T604&gt;0, W604/T604, 0)</f>
        <v>1</v>
      </c>
      <c r="Y604" s="8" t="s">
        <v>41</v>
      </c>
      <c r="Z604" s="10" t="s">
        <v>42</v>
      </c>
      <c r="AA604" s="10" t="s">
        <v>43</v>
      </c>
      <c r="AB604" s="10" t="s">
        <v>44</v>
      </c>
      <c r="AC604" s="8" t="s">
        <v>44</v>
      </c>
    </row>
    <row r="605" spans="1:29">
      <c r="A605" s="11">
        <v>598</v>
      </c>
      <c r="B605" s="11" t="s">
        <v>891</v>
      </c>
      <c r="C605" s="11" t="s">
        <v>847</v>
      </c>
      <c r="D605" s="11" t="s">
        <v>655</v>
      </c>
      <c r="E605" s="11" t="s">
        <v>34</v>
      </c>
      <c r="F605" s="11" t="s">
        <v>35</v>
      </c>
      <c r="G605" s="9" t="s">
        <v>36</v>
      </c>
      <c r="H605" s="9" t="s">
        <v>37</v>
      </c>
      <c r="I605" s="9" t="s">
        <v>38</v>
      </c>
      <c r="J605" s="11">
        <v>170</v>
      </c>
      <c r="K605" s="11" t="s">
        <v>145</v>
      </c>
      <c r="L605" s="11" t="s">
        <v>40</v>
      </c>
      <c r="M605" s="13">
        <v>2</v>
      </c>
      <c r="N605" s="16">
        <v>8000.0</v>
      </c>
      <c r="O605" s="16"/>
      <c r="P605" s="18">
        <f>IF(N605&gt;0, O605/N605, 0)</f>
        <v>0</v>
      </c>
      <c r="Q605" s="16">
        <f>N605-O605</f>
        <v>8000</v>
      </c>
      <c r="R605" s="16">
        <f>M605*N605</f>
        <v>16000</v>
      </c>
      <c r="S605" s="16">
        <f>M605*O605</f>
        <v>0</v>
      </c>
      <c r="T605" s="16">
        <f>M605*Q605</f>
        <v>16000</v>
      </c>
      <c r="U605" s="16"/>
      <c r="V605" s="16">
        <f>M605*U605</f>
        <v>0</v>
      </c>
      <c r="W605" s="16">
        <f>T605-V605</f>
        <v>16000</v>
      </c>
      <c r="X605" s="18">
        <f>IF(T605&gt;0, W605/T605, 0)</f>
        <v>1</v>
      </c>
      <c r="Y605" s="9" t="s">
        <v>41</v>
      </c>
      <c r="Z605" s="11" t="s">
        <v>42</v>
      </c>
      <c r="AA605" s="11" t="s">
        <v>43</v>
      </c>
      <c r="AB605" s="11" t="s">
        <v>44</v>
      </c>
      <c r="AC605" s="9" t="s">
        <v>44</v>
      </c>
    </row>
    <row r="606" spans="1:29">
      <c r="A606" s="10">
        <v>599</v>
      </c>
      <c r="B606" s="10" t="s">
        <v>892</v>
      </c>
      <c r="C606" s="10" t="s">
        <v>847</v>
      </c>
      <c r="D606" s="10" t="s">
        <v>655</v>
      </c>
      <c r="E606" s="10" t="s">
        <v>34</v>
      </c>
      <c r="F606" s="10" t="s">
        <v>35</v>
      </c>
      <c r="G606" s="8" t="s">
        <v>36</v>
      </c>
      <c r="H606" s="8" t="s">
        <v>53</v>
      </c>
      <c r="I606" s="8" t="s">
        <v>53</v>
      </c>
      <c r="J606" s="10">
        <v>164</v>
      </c>
      <c r="K606" s="10" t="s">
        <v>63</v>
      </c>
      <c r="L606" s="10" t="s">
        <v>40</v>
      </c>
      <c r="M606" s="12">
        <v>1</v>
      </c>
      <c r="N606" s="15">
        <v>8500.0</v>
      </c>
      <c r="O606" s="15"/>
      <c r="P606" s="17">
        <f>IF(N606&gt;0, O606/N606, 0)</f>
        <v>0</v>
      </c>
      <c r="Q606" s="15">
        <f>N606-O606</f>
        <v>8500</v>
      </c>
      <c r="R606" s="15">
        <f>M606*N606</f>
        <v>8500</v>
      </c>
      <c r="S606" s="15">
        <f>M606*O606</f>
        <v>0</v>
      </c>
      <c r="T606" s="15">
        <f>M606*Q606</f>
        <v>8500</v>
      </c>
      <c r="U606" s="15"/>
      <c r="V606" s="15">
        <f>M606*U606</f>
        <v>0</v>
      </c>
      <c r="W606" s="15">
        <f>T606-V606</f>
        <v>8500</v>
      </c>
      <c r="X606" s="17">
        <f>IF(T606&gt;0, W606/T606, 0)</f>
        <v>1</v>
      </c>
      <c r="Y606" s="8" t="s">
        <v>41</v>
      </c>
      <c r="Z606" s="10" t="s">
        <v>42</v>
      </c>
      <c r="AA606" s="10" t="s">
        <v>43</v>
      </c>
      <c r="AB606" s="10" t="s">
        <v>44</v>
      </c>
      <c r="AC606" s="8" t="s">
        <v>44</v>
      </c>
    </row>
    <row r="607" spans="1:29">
      <c r="A607" s="11">
        <v>600</v>
      </c>
      <c r="B607" s="11" t="s">
        <v>893</v>
      </c>
      <c r="C607" s="11" t="s">
        <v>847</v>
      </c>
      <c r="D607" s="11" t="s">
        <v>655</v>
      </c>
      <c r="E607" s="11" t="s">
        <v>34</v>
      </c>
      <c r="F607" s="11" t="s">
        <v>35</v>
      </c>
      <c r="G607" s="9" t="s">
        <v>36</v>
      </c>
      <c r="H607" s="9" t="s">
        <v>53</v>
      </c>
      <c r="I607" s="9" t="s">
        <v>53</v>
      </c>
      <c r="J607" s="11">
        <v>158</v>
      </c>
      <c r="K607" s="11" t="s">
        <v>124</v>
      </c>
      <c r="L607" s="11" t="s">
        <v>40</v>
      </c>
      <c r="M607" s="13">
        <v>1</v>
      </c>
      <c r="N607" s="16">
        <v>8500.0</v>
      </c>
      <c r="O607" s="16"/>
      <c r="P607" s="18">
        <f>IF(N607&gt;0, O607/N607, 0)</f>
        <v>0</v>
      </c>
      <c r="Q607" s="16">
        <f>N607-O607</f>
        <v>8500</v>
      </c>
      <c r="R607" s="16">
        <f>M607*N607</f>
        <v>8500</v>
      </c>
      <c r="S607" s="16">
        <f>M607*O607</f>
        <v>0</v>
      </c>
      <c r="T607" s="16">
        <f>M607*Q607</f>
        <v>8500</v>
      </c>
      <c r="U607" s="16"/>
      <c r="V607" s="16">
        <f>M607*U607</f>
        <v>0</v>
      </c>
      <c r="W607" s="16">
        <f>T607-V607</f>
        <v>8500</v>
      </c>
      <c r="X607" s="18">
        <f>IF(T607&gt;0, W607/T607, 0)</f>
        <v>1</v>
      </c>
      <c r="Y607" s="9" t="s">
        <v>41</v>
      </c>
      <c r="Z607" s="11" t="s">
        <v>42</v>
      </c>
      <c r="AA607" s="11" t="s">
        <v>43</v>
      </c>
      <c r="AB607" s="11" t="s">
        <v>44</v>
      </c>
      <c r="AC607" s="9" t="s">
        <v>44</v>
      </c>
    </row>
    <row r="608" spans="1:29">
      <c r="A608" s="10">
        <v>601</v>
      </c>
      <c r="B608" s="10" t="s">
        <v>894</v>
      </c>
      <c r="C608" s="10" t="s">
        <v>847</v>
      </c>
      <c r="D608" s="10" t="s">
        <v>655</v>
      </c>
      <c r="E608" s="10" t="s">
        <v>34</v>
      </c>
      <c r="F608" s="10" t="s">
        <v>35</v>
      </c>
      <c r="G608" s="8" t="s">
        <v>52</v>
      </c>
      <c r="H608" s="8" t="s">
        <v>37</v>
      </c>
      <c r="I608" s="8" t="s">
        <v>38</v>
      </c>
      <c r="J608" s="10">
        <v>140</v>
      </c>
      <c r="K608" s="10" t="s">
        <v>226</v>
      </c>
      <c r="L608" s="10" t="s">
        <v>55</v>
      </c>
      <c r="M608" s="12">
        <v>2</v>
      </c>
      <c r="N608" s="15">
        <v>7000.0</v>
      </c>
      <c r="O608" s="15"/>
      <c r="P608" s="17">
        <f>IF(N608&gt;0, O608/N608, 0)</f>
        <v>0</v>
      </c>
      <c r="Q608" s="15">
        <f>N608-O608</f>
        <v>7000</v>
      </c>
      <c r="R608" s="15">
        <f>M608*N608</f>
        <v>14000</v>
      </c>
      <c r="S608" s="15">
        <f>M608*O608</f>
        <v>0</v>
      </c>
      <c r="T608" s="15">
        <f>M608*Q608</f>
        <v>14000</v>
      </c>
      <c r="U608" s="15"/>
      <c r="V608" s="15">
        <f>M608*U608</f>
        <v>0</v>
      </c>
      <c r="W608" s="15">
        <f>T608-V608</f>
        <v>14000</v>
      </c>
      <c r="X608" s="17">
        <f>IF(T608&gt;0, W608/T608, 0)</f>
        <v>1</v>
      </c>
      <c r="Y608" s="8" t="s">
        <v>41</v>
      </c>
      <c r="Z608" s="10" t="s">
        <v>42</v>
      </c>
      <c r="AA608" s="10" t="s">
        <v>43</v>
      </c>
      <c r="AB608" s="10" t="s">
        <v>44</v>
      </c>
      <c r="AC608" s="8" t="s">
        <v>44</v>
      </c>
    </row>
    <row r="609" spans="1:29">
      <c r="A609" s="11">
        <v>602</v>
      </c>
      <c r="B609" s="11" t="s">
        <v>895</v>
      </c>
      <c r="C609" s="11" t="s">
        <v>847</v>
      </c>
      <c r="D609" s="11" t="s">
        <v>655</v>
      </c>
      <c r="E609" s="11" t="s">
        <v>34</v>
      </c>
      <c r="F609" s="11" t="s">
        <v>35</v>
      </c>
      <c r="G609" s="9" t="s">
        <v>52</v>
      </c>
      <c r="H609" s="9" t="s">
        <v>53</v>
      </c>
      <c r="I609" s="9" t="s">
        <v>53</v>
      </c>
      <c r="J609" s="11">
        <v>164</v>
      </c>
      <c r="K609" s="11" t="s">
        <v>407</v>
      </c>
      <c r="L609" s="11" t="s">
        <v>55</v>
      </c>
      <c r="M609" s="13">
        <v>1</v>
      </c>
      <c r="N609" s="16">
        <v>8000.0</v>
      </c>
      <c r="O609" s="16"/>
      <c r="P609" s="18">
        <f>IF(N609&gt;0, O609/N609, 0)</f>
        <v>0</v>
      </c>
      <c r="Q609" s="16">
        <f>N609-O609</f>
        <v>8000</v>
      </c>
      <c r="R609" s="16">
        <f>M609*N609</f>
        <v>8000</v>
      </c>
      <c r="S609" s="16">
        <f>M609*O609</f>
        <v>0</v>
      </c>
      <c r="T609" s="16">
        <f>M609*Q609</f>
        <v>8000</v>
      </c>
      <c r="U609" s="16"/>
      <c r="V609" s="16">
        <f>M609*U609</f>
        <v>0</v>
      </c>
      <c r="W609" s="16">
        <f>T609-V609</f>
        <v>8000</v>
      </c>
      <c r="X609" s="18">
        <f>IF(T609&gt;0, W609/T609, 0)</f>
        <v>1</v>
      </c>
      <c r="Y609" s="9" t="s">
        <v>41</v>
      </c>
      <c r="Z609" s="11" t="s">
        <v>42</v>
      </c>
      <c r="AA609" s="11" t="s">
        <v>43</v>
      </c>
      <c r="AB609" s="11" t="s">
        <v>44</v>
      </c>
      <c r="AC609" s="9" t="s">
        <v>44</v>
      </c>
    </row>
    <row r="610" spans="1:29">
      <c r="A610" s="10">
        <v>603</v>
      </c>
      <c r="B610" s="10" t="s">
        <v>896</v>
      </c>
      <c r="C610" s="10" t="s">
        <v>847</v>
      </c>
      <c r="D610" s="10" t="s">
        <v>655</v>
      </c>
      <c r="E610" s="10" t="s">
        <v>34</v>
      </c>
      <c r="F610" s="10" t="s">
        <v>35</v>
      </c>
      <c r="G610" s="8" t="s">
        <v>36</v>
      </c>
      <c r="H610" s="8" t="s">
        <v>37</v>
      </c>
      <c r="I610" s="8" t="s">
        <v>38</v>
      </c>
      <c r="J610" s="10">
        <v>170</v>
      </c>
      <c r="K610" s="10" t="s">
        <v>145</v>
      </c>
      <c r="L610" s="10" t="s">
        <v>40</v>
      </c>
      <c r="M610" s="12">
        <v>1</v>
      </c>
      <c r="N610" s="15">
        <v>8000.0</v>
      </c>
      <c r="O610" s="15"/>
      <c r="P610" s="17">
        <f>IF(N610&gt;0, O610/N610, 0)</f>
        <v>0</v>
      </c>
      <c r="Q610" s="15">
        <f>N610-O610</f>
        <v>8000</v>
      </c>
      <c r="R610" s="15">
        <f>M610*N610</f>
        <v>8000</v>
      </c>
      <c r="S610" s="15">
        <f>M610*O610</f>
        <v>0</v>
      </c>
      <c r="T610" s="15">
        <f>M610*Q610</f>
        <v>8000</v>
      </c>
      <c r="U610" s="15"/>
      <c r="V610" s="15">
        <f>M610*U610</f>
        <v>0</v>
      </c>
      <c r="W610" s="15">
        <f>T610-V610</f>
        <v>8000</v>
      </c>
      <c r="X610" s="17">
        <f>IF(T610&gt;0, W610/T610, 0)</f>
        <v>1</v>
      </c>
      <c r="Y610" s="8" t="s">
        <v>41</v>
      </c>
      <c r="Z610" s="10" t="s">
        <v>42</v>
      </c>
      <c r="AA610" s="10" t="s">
        <v>43</v>
      </c>
      <c r="AB610" s="10" t="s">
        <v>44</v>
      </c>
      <c r="AC610" s="8" t="s">
        <v>44</v>
      </c>
    </row>
    <row r="611" spans="1:29">
      <c r="A611" s="11">
        <v>604</v>
      </c>
      <c r="B611" s="11" t="s">
        <v>897</v>
      </c>
      <c r="C611" s="11" t="s">
        <v>847</v>
      </c>
      <c r="D611" s="11" t="s">
        <v>655</v>
      </c>
      <c r="E611" s="11" t="s">
        <v>34</v>
      </c>
      <c r="F611" s="11" t="s">
        <v>35</v>
      </c>
      <c r="G611" s="9" t="s">
        <v>52</v>
      </c>
      <c r="H611" s="9" t="s">
        <v>37</v>
      </c>
      <c r="I611" s="9" t="s">
        <v>38</v>
      </c>
      <c r="J611" s="11">
        <v>140</v>
      </c>
      <c r="K611" s="11" t="s">
        <v>226</v>
      </c>
      <c r="L611" s="11" t="s">
        <v>55</v>
      </c>
      <c r="M611" s="13">
        <v>2</v>
      </c>
      <c r="N611" s="16">
        <v>7000.0</v>
      </c>
      <c r="O611" s="16"/>
      <c r="P611" s="18">
        <f>IF(N611&gt;0, O611/N611, 0)</f>
        <v>0</v>
      </c>
      <c r="Q611" s="16">
        <f>N611-O611</f>
        <v>7000</v>
      </c>
      <c r="R611" s="16">
        <f>M611*N611</f>
        <v>14000</v>
      </c>
      <c r="S611" s="16">
        <f>M611*O611</f>
        <v>0</v>
      </c>
      <c r="T611" s="16">
        <f>M611*Q611</f>
        <v>14000</v>
      </c>
      <c r="U611" s="16"/>
      <c r="V611" s="16">
        <f>M611*U611</f>
        <v>0</v>
      </c>
      <c r="W611" s="16">
        <f>T611-V611</f>
        <v>14000</v>
      </c>
      <c r="X611" s="18">
        <f>IF(T611&gt;0, W611/T611, 0)</f>
        <v>1</v>
      </c>
      <c r="Y611" s="9" t="s">
        <v>41</v>
      </c>
      <c r="Z611" s="11" t="s">
        <v>42</v>
      </c>
      <c r="AA611" s="11" t="s">
        <v>43</v>
      </c>
      <c r="AB611" s="11" t="s">
        <v>44</v>
      </c>
      <c r="AC611" s="9" t="s">
        <v>44</v>
      </c>
    </row>
    <row r="612" spans="1:29">
      <c r="A612" s="10">
        <v>605</v>
      </c>
      <c r="B612" s="10" t="s">
        <v>898</v>
      </c>
      <c r="C612" s="10" t="s">
        <v>847</v>
      </c>
      <c r="D612" s="10" t="s">
        <v>655</v>
      </c>
      <c r="E612" s="10" t="s">
        <v>34</v>
      </c>
      <c r="F612" s="10" t="s">
        <v>35</v>
      </c>
      <c r="G612" s="8" t="s">
        <v>52</v>
      </c>
      <c r="H612" s="8" t="s">
        <v>53</v>
      </c>
      <c r="I612" s="8" t="s">
        <v>53</v>
      </c>
      <c r="J612" s="10">
        <v>164</v>
      </c>
      <c r="K612" s="10" t="s">
        <v>407</v>
      </c>
      <c r="L612" s="10" t="s">
        <v>55</v>
      </c>
      <c r="M612" s="12">
        <v>1</v>
      </c>
      <c r="N612" s="15">
        <v>8000.0</v>
      </c>
      <c r="O612" s="15"/>
      <c r="P612" s="17">
        <f>IF(N612&gt;0, O612/N612, 0)</f>
        <v>0</v>
      </c>
      <c r="Q612" s="15">
        <f>N612-O612</f>
        <v>8000</v>
      </c>
      <c r="R612" s="15">
        <f>M612*N612</f>
        <v>8000</v>
      </c>
      <c r="S612" s="15">
        <f>M612*O612</f>
        <v>0</v>
      </c>
      <c r="T612" s="15">
        <f>M612*Q612</f>
        <v>8000</v>
      </c>
      <c r="U612" s="15"/>
      <c r="V612" s="15">
        <f>M612*U612</f>
        <v>0</v>
      </c>
      <c r="W612" s="15">
        <f>T612-V612</f>
        <v>8000</v>
      </c>
      <c r="X612" s="17">
        <f>IF(T612&gt;0, W612/T612, 0)</f>
        <v>1</v>
      </c>
      <c r="Y612" s="8" t="s">
        <v>41</v>
      </c>
      <c r="Z612" s="10" t="s">
        <v>42</v>
      </c>
      <c r="AA612" s="10" t="s">
        <v>43</v>
      </c>
      <c r="AB612" s="10" t="s">
        <v>44</v>
      </c>
      <c r="AC612" s="8" t="s">
        <v>44</v>
      </c>
    </row>
    <row r="613" spans="1:29">
      <c r="A613" s="11">
        <v>606</v>
      </c>
      <c r="B613" s="11" t="s">
        <v>899</v>
      </c>
      <c r="C613" s="11" t="s">
        <v>847</v>
      </c>
      <c r="D613" s="11" t="s">
        <v>655</v>
      </c>
      <c r="E613" s="11" t="s">
        <v>34</v>
      </c>
      <c r="F613" s="11" t="s">
        <v>35</v>
      </c>
      <c r="G613" s="9" t="s">
        <v>52</v>
      </c>
      <c r="H613" s="9" t="s">
        <v>37</v>
      </c>
      <c r="I613" s="9" t="s">
        <v>75</v>
      </c>
      <c r="J613" s="11">
        <v>128</v>
      </c>
      <c r="K613" s="11" t="s">
        <v>188</v>
      </c>
      <c r="L613" s="11" t="s">
        <v>55</v>
      </c>
      <c r="M613" s="13">
        <v>1</v>
      </c>
      <c r="N613" s="16">
        <v>8000.0</v>
      </c>
      <c r="O613" s="16"/>
      <c r="P613" s="18">
        <f>IF(N613&gt;0, O613/N613, 0)</f>
        <v>0</v>
      </c>
      <c r="Q613" s="16">
        <f>N613-O613</f>
        <v>8000</v>
      </c>
      <c r="R613" s="16">
        <f>M613*N613</f>
        <v>8000</v>
      </c>
      <c r="S613" s="16">
        <f>M613*O613</f>
        <v>0</v>
      </c>
      <c r="T613" s="16">
        <f>M613*Q613</f>
        <v>8000</v>
      </c>
      <c r="U613" s="16"/>
      <c r="V613" s="16">
        <f>M613*U613</f>
        <v>0</v>
      </c>
      <c r="W613" s="16">
        <f>T613-V613</f>
        <v>8000</v>
      </c>
      <c r="X613" s="18">
        <f>IF(T613&gt;0, W613/T613, 0)</f>
        <v>1</v>
      </c>
      <c r="Y613" s="9" t="s">
        <v>41</v>
      </c>
      <c r="Z613" s="11" t="s">
        <v>42</v>
      </c>
      <c r="AA613" s="11" t="s">
        <v>43</v>
      </c>
      <c r="AB613" s="11" t="s">
        <v>44</v>
      </c>
      <c r="AC613" s="9" t="s">
        <v>44</v>
      </c>
    </row>
    <row r="614" spans="1:29">
      <c r="A614" s="10">
        <v>607</v>
      </c>
      <c r="B614" s="10" t="s">
        <v>900</v>
      </c>
      <c r="C614" s="10" t="s">
        <v>847</v>
      </c>
      <c r="D614" s="10" t="s">
        <v>655</v>
      </c>
      <c r="E614" s="10" t="s">
        <v>34</v>
      </c>
      <c r="F614" s="10" t="s">
        <v>35</v>
      </c>
      <c r="G614" s="8" t="s">
        <v>52</v>
      </c>
      <c r="H614" s="8" t="s">
        <v>37</v>
      </c>
      <c r="I614" s="8" t="s">
        <v>38</v>
      </c>
      <c r="J614" s="10">
        <v>116</v>
      </c>
      <c r="K614" s="10" t="s">
        <v>94</v>
      </c>
      <c r="L614" s="10" t="s">
        <v>55</v>
      </c>
      <c r="M614" s="12">
        <v>1</v>
      </c>
      <c r="N614" s="15">
        <v>7000.0</v>
      </c>
      <c r="O614" s="15"/>
      <c r="P614" s="17">
        <f>IF(N614&gt;0, O614/N614, 0)</f>
        <v>0</v>
      </c>
      <c r="Q614" s="15">
        <f>N614-O614</f>
        <v>7000</v>
      </c>
      <c r="R614" s="15">
        <f>M614*N614</f>
        <v>7000</v>
      </c>
      <c r="S614" s="15">
        <f>M614*O614</f>
        <v>0</v>
      </c>
      <c r="T614" s="15">
        <f>M614*Q614</f>
        <v>7000</v>
      </c>
      <c r="U614" s="15"/>
      <c r="V614" s="15">
        <f>M614*U614</f>
        <v>0</v>
      </c>
      <c r="W614" s="15">
        <f>T614-V614</f>
        <v>7000</v>
      </c>
      <c r="X614" s="17">
        <f>IF(T614&gt;0, W614/T614, 0)</f>
        <v>1</v>
      </c>
      <c r="Y614" s="8" t="s">
        <v>41</v>
      </c>
      <c r="Z614" s="10" t="s">
        <v>42</v>
      </c>
      <c r="AA614" s="10" t="s">
        <v>43</v>
      </c>
      <c r="AB614" s="10" t="s">
        <v>44</v>
      </c>
      <c r="AC614" s="8" t="s">
        <v>44</v>
      </c>
    </row>
    <row r="615" spans="1:29">
      <c r="A615" s="11">
        <v>608</v>
      </c>
      <c r="B615" s="11" t="s">
        <v>901</v>
      </c>
      <c r="C615" s="11" t="s">
        <v>847</v>
      </c>
      <c r="D615" s="11" t="s">
        <v>655</v>
      </c>
      <c r="E615" s="11" t="s">
        <v>34</v>
      </c>
      <c r="F615" s="11" t="s">
        <v>35</v>
      </c>
      <c r="G615" s="9" t="s">
        <v>52</v>
      </c>
      <c r="H615" s="9" t="s">
        <v>37</v>
      </c>
      <c r="I615" s="9" t="s">
        <v>38</v>
      </c>
      <c r="J615" s="11">
        <v>146</v>
      </c>
      <c r="K615" s="11" t="s">
        <v>260</v>
      </c>
      <c r="L615" s="11" t="s">
        <v>55</v>
      </c>
      <c r="M615" s="13">
        <v>1</v>
      </c>
      <c r="N615" s="16">
        <v>7000.0</v>
      </c>
      <c r="O615" s="16"/>
      <c r="P615" s="18">
        <f>IF(N615&gt;0, O615/N615, 0)</f>
        <v>0</v>
      </c>
      <c r="Q615" s="16">
        <f>N615-O615</f>
        <v>7000</v>
      </c>
      <c r="R615" s="16">
        <f>M615*N615</f>
        <v>7000</v>
      </c>
      <c r="S615" s="16">
        <f>M615*O615</f>
        <v>0</v>
      </c>
      <c r="T615" s="16">
        <f>M615*Q615</f>
        <v>7000</v>
      </c>
      <c r="U615" s="16"/>
      <c r="V615" s="16">
        <f>M615*U615</f>
        <v>0</v>
      </c>
      <c r="W615" s="16">
        <f>T615-V615</f>
        <v>7000</v>
      </c>
      <c r="X615" s="18">
        <f>IF(T615&gt;0, W615/T615, 0)</f>
        <v>1</v>
      </c>
      <c r="Y615" s="9" t="s">
        <v>41</v>
      </c>
      <c r="Z615" s="11" t="s">
        <v>42</v>
      </c>
      <c r="AA615" s="11" t="s">
        <v>43</v>
      </c>
      <c r="AB615" s="11" t="s">
        <v>44</v>
      </c>
      <c r="AC615" s="9" t="s">
        <v>44</v>
      </c>
    </row>
    <row r="616" spans="1:29">
      <c r="A616" s="10">
        <v>609</v>
      </c>
      <c r="B616" s="10" t="s">
        <v>902</v>
      </c>
      <c r="C616" s="10" t="s">
        <v>847</v>
      </c>
      <c r="D616" s="10" t="s">
        <v>655</v>
      </c>
      <c r="E616" s="10" t="s">
        <v>34</v>
      </c>
      <c r="F616" s="10" t="s">
        <v>35</v>
      </c>
      <c r="G616" s="8" t="s">
        <v>52</v>
      </c>
      <c r="H616" s="8" t="s">
        <v>37</v>
      </c>
      <c r="I616" s="8" t="s">
        <v>38</v>
      </c>
      <c r="J616" s="10">
        <v>134</v>
      </c>
      <c r="K616" s="10" t="s">
        <v>180</v>
      </c>
      <c r="L616" s="10" t="s">
        <v>55</v>
      </c>
      <c r="M616" s="12">
        <v>1</v>
      </c>
      <c r="N616" s="15">
        <v>7000.0</v>
      </c>
      <c r="O616" s="15"/>
      <c r="P616" s="17">
        <f>IF(N616&gt;0, O616/N616, 0)</f>
        <v>0</v>
      </c>
      <c r="Q616" s="15">
        <f>N616-O616</f>
        <v>7000</v>
      </c>
      <c r="R616" s="15">
        <f>M616*N616</f>
        <v>7000</v>
      </c>
      <c r="S616" s="15">
        <f>M616*O616</f>
        <v>0</v>
      </c>
      <c r="T616" s="15">
        <f>M616*Q616</f>
        <v>7000</v>
      </c>
      <c r="U616" s="15"/>
      <c r="V616" s="15">
        <f>M616*U616</f>
        <v>0</v>
      </c>
      <c r="W616" s="15">
        <f>T616-V616</f>
        <v>7000</v>
      </c>
      <c r="X616" s="17">
        <f>IF(T616&gt;0, W616/T616, 0)</f>
        <v>1</v>
      </c>
      <c r="Y616" s="8" t="s">
        <v>41</v>
      </c>
      <c r="Z616" s="10" t="s">
        <v>42</v>
      </c>
      <c r="AA616" s="10" t="s">
        <v>43</v>
      </c>
      <c r="AB616" s="10" t="s">
        <v>44</v>
      </c>
      <c r="AC616" s="8" t="s">
        <v>44</v>
      </c>
    </row>
    <row r="617" spans="1:29">
      <c r="A617" s="11">
        <v>610</v>
      </c>
      <c r="B617" s="11" t="s">
        <v>903</v>
      </c>
      <c r="C617" s="11" t="s">
        <v>847</v>
      </c>
      <c r="D617" s="11" t="s">
        <v>655</v>
      </c>
      <c r="E617" s="11" t="s">
        <v>34</v>
      </c>
      <c r="F617" s="11" t="s">
        <v>35</v>
      </c>
      <c r="G617" s="9" t="s">
        <v>36</v>
      </c>
      <c r="H617" s="9" t="s">
        <v>47</v>
      </c>
      <c r="I617" s="9" t="s">
        <v>48</v>
      </c>
      <c r="J617" s="11">
        <v>182</v>
      </c>
      <c r="K617" s="11" t="s">
        <v>811</v>
      </c>
      <c r="L617" s="11" t="s">
        <v>40</v>
      </c>
      <c r="M617" s="13">
        <v>1</v>
      </c>
      <c r="N617" s="16">
        <v>18000.0</v>
      </c>
      <c r="O617" s="16"/>
      <c r="P617" s="18">
        <f>IF(N617&gt;0, O617/N617, 0)</f>
        <v>0</v>
      </c>
      <c r="Q617" s="16">
        <f>N617-O617</f>
        <v>18000</v>
      </c>
      <c r="R617" s="16">
        <f>M617*N617</f>
        <v>18000</v>
      </c>
      <c r="S617" s="16">
        <f>M617*O617</f>
        <v>0</v>
      </c>
      <c r="T617" s="16">
        <f>M617*Q617</f>
        <v>18000</v>
      </c>
      <c r="U617" s="16"/>
      <c r="V617" s="16">
        <f>M617*U617</f>
        <v>0</v>
      </c>
      <c r="W617" s="16">
        <f>T617-V617</f>
        <v>18000</v>
      </c>
      <c r="X617" s="18">
        <f>IF(T617&gt;0, W617/T617, 0)</f>
        <v>1</v>
      </c>
      <c r="Y617" s="9" t="s">
        <v>41</v>
      </c>
      <c r="Z617" s="11" t="s">
        <v>42</v>
      </c>
      <c r="AA617" s="11" t="s">
        <v>43</v>
      </c>
      <c r="AB617" s="11" t="s">
        <v>44</v>
      </c>
      <c r="AC617" s="9" t="s">
        <v>44</v>
      </c>
    </row>
    <row r="618" spans="1:29">
      <c r="A618" s="10">
        <v>611</v>
      </c>
      <c r="B618" s="10" t="s">
        <v>904</v>
      </c>
      <c r="C618" s="10" t="s">
        <v>847</v>
      </c>
      <c r="D618" s="10" t="s">
        <v>655</v>
      </c>
      <c r="E618" s="10" t="s">
        <v>34</v>
      </c>
      <c r="F618" s="10" t="s">
        <v>35</v>
      </c>
      <c r="G618" s="8" t="s">
        <v>52</v>
      </c>
      <c r="H618" s="8" t="s">
        <v>47</v>
      </c>
      <c r="I618" s="8" t="s">
        <v>48</v>
      </c>
      <c r="J618" s="10">
        <v>128</v>
      </c>
      <c r="K618" s="10" t="s">
        <v>186</v>
      </c>
      <c r="L618" s="10" t="s">
        <v>40</v>
      </c>
      <c r="M618" s="12">
        <v>1</v>
      </c>
      <c r="N618" s="15">
        <v>18000.0</v>
      </c>
      <c r="O618" s="15"/>
      <c r="P618" s="17">
        <f>IF(N618&gt;0, O618/N618, 0)</f>
        <v>0</v>
      </c>
      <c r="Q618" s="15">
        <f>N618-O618</f>
        <v>18000</v>
      </c>
      <c r="R618" s="15">
        <f>M618*N618</f>
        <v>18000</v>
      </c>
      <c r="S618" s="15">
        <f>M618*O618</f>
        <v>0</v>
      </c>
      <c r="T618" s="15">
        <f>M618*Q618</f>
        <v>18000</v>
      </c>
      <c r="U618" s="15"/>
      <c r="V618" s="15">
        <f>M618*U618</f>
        <v>0</v>
      </c>
      <c r="W618" s="15">
        <f>T618-V618</f>
        <v>18000</v>
      </c>
      <c r="X618" s="17">
        <f>IF(T618&gt;0, W618/T618, 0)</f>
        <v>1</v>
      </c>
      <c r="Y618" s="8" t="s">
        <v>41</v>
      </c>
      <c r="Z618" s="10" t="s">
        <v>42</v>
      </c>
      <c r="AA618" s="10" t="s">
        <v>43</v>
      </c>
      <c r="AB618" s="10" t="s">
        <v>44</v>
      </c>
      <c r="AC618" s="8" t="s">
        <v>44</v>
      </c>
    </row>
    <row r="619" spans="1:29">
      <c r="A619" s="11">
        <v>612</v>
      </c>
      <c r="B619" s="11" t="s">
        <v>905</v>
      </c>
      <c r="C619" s="11" t="s">
        <v>847</v>
      </c>
      <c r="D619" s="11" t="s">
        <v>655</v>
      </c>
      <c r="E619" s="11" t="s">
        <v>34</v>
      </c>
      <c r="F619" s="11" t="s">
        <v>35</v>
      </c>
      <c r="G619" s="9" t="s">
        <v>36</v>
      </c>
      <c r="H619" s="9" t="s">
        <v>37</v>
      </c>
      <c r="I619" s="9" t="s">
        <v>75</v>
      </c>
      <c r="J619" s="11">
        <v>188</v>
      </c>
      <c r="K619" s="11" t="s">
        <v>906</v>
      </c>
      <c r="L619" s="11" t="s">
        <v>40</v>
      </c>
      <c r="M619" s="13">
        <v>1</v>
      </c>
      <c r="N619" s="16">
        <v>9000.0</v>
      </c>
      <c r="O619" s="16"/>
      <c r="P619" s="18">
        <f>IF(N619&gt;0, O619/N619, 0)</f>
        <v>0</v>
      </c>
      <c r="Q619" s="16">
        <f>N619-O619</f>
        <v>9000</v>
      </c>
      <c r="R619" s="16">
        <f>M619*N619</f>
        <v>9000</v>
      </c>
      <c r="S619" s="16">
        <f>M619*O619</f>
        <v>0</v>
      </c>
      <c r="T619" s="16">
        <f>M619*Q619</f>
        <v>9000</v>
      </c>
      <c r="U619" s="16"/>
      <c r="V619" s="16">
        <f>M619*U619</f>
        <v>0</v>
      </c>
      <c r="W619" s="16">
        <f>T619-V619</f>
        <v>9000</v>
      </c>
      <c r="X619" s="18">
        <f>IF(T619&gt;0, W619/T619, 0)</f>
        <v>1</v>
      </c>
      <c r="Y619" s="9" t="s">
        <v>41</v>
      </c>
      <c r="Z619" s="11" t="s">
        <v>42</v>
      </c>
      <c r="AA619" s="11" t="s">
        <v>43</v>
      </c>
      <c r="AB619" s="11" t="s">
        <v>44</v>
      </c>
      <c r="AC619" s="9" t="s">
        <v>44</v>
      </c>
    </row>
    <row r="620" spans="1:29">
      <c r="A620" s="10">
        <v>613</v>
      </c>
      <c r="B620" s="10" t="s">
        <v>907</v>
      </c>
      <c r="C620" s="10" t="s">
        <v>847</v>
      </c>
      <c r="D620" s="10" t="s">
        <v>655</v>
      </c>
      <c r="E620" s="10" t="s">
        <v>34</v>
      </c>
      <c r="F620" s="10" t="s">
        <v>35</v>
      </c>
      <c r="G620" s="8" t="s">
        <v>36</v>
      </c>
      <c r="H620" s="8" t="s">
        <v>37</v>
      </c>
      <c r="I620" s="8" t="s">
        <v>38</v>
      </c>
      <c r="J620" s="10">
        <v>188</v>
      </c>
      <c r="K620" s="10" t="s">
        <v>371</v>
      </c>
      <c r="L620" s="10" t="s">
        <v>40</v>
      </c>
      <c r="M620" s="12">
        <v>1</v>
      </c>
      <c r="N620" s="15">
        <v>8000.0</v>
      </c>
      <c r="O620" s="15"/>
      <c r="P620" s="17">
        <f>IF(N620&gt;0, O620/N620, 0)</f>
        <v>0</v>
      </c>
      <c r="Q620" s="15">
        <f>N620-O620</f>
        <v>8000</v>
      </c>
      <c r="R620" s="15">
        <f>M620*N620</f>
        <v>8000</v>
      </c>
      <c r="S620" s="15">
        <f>M620*O620</f>
        <v>0</v>
      </c>
      <c r="T620" s="15">
        <f>M620*Q620</f>
        <v>8000</v>
      </c>
      <c r="U620" s="15"/>
      <c r="V620" s="15">
        <f>M620*U620</f>
        <v>0</v>
      </c>
      <c r="W620" s="15">
        <f>T620-V620</f>
        <v>8000</v>
      </c>
      <c r="X620" s="17">
        <f>IF(T620&gt;0, W620/T620, 0)</f>
        <v>1</v>
      </c>
      <c r="Y620" s="8" t="s">
        <v>41</v>
      </c>
      <c r="Z620" s="10" t="s">
        <v>42</v>
      </c>
      <c r="AA620" s="10" t="s">
        <v>43</v>
      </c>
      <c r="AB620" s="10" t="s">
        <v>44</v>
      </c>
      <c r="AC620" s="8" t="s">
        <v>44</v>
      </c>
    </row>
    <row r="621" spans="1:29">
      <c r="A621" s="11">
        <v>614</v>
      </c>
      <c r="B621" s="11" t="s">
        <v>908</v>
      </c>
      <c r="C621" s="11" t="s">
        <v>847</v>
      </c>
      <c r="D621" s="11" t="s">
        <v>655</v>
      </c>
      <c r="E621" s="11" t="s">
        <v>34</v>
      </c>
      <c r="F621" s="11" t="s">
        <v>35</v>
      </c>
      <c r="G621" s="9" t="s">
        <v>36</v>
      </c>
      <c r="H621" s="9" t="s">
        <v>37</v>
      </c>
      <c r="I621" s="9" t="s">
        <v>38</v>
      </c>
      <c r="J621" s="11">
        <v>182</v>
      </c>
      <c r="K621" s="11" t="s">
        <v>338</v>
      </c>
      <c r="L621" s="11" t="s">
        <v>40</v>
      </c>
      <c r="M621" s="13">
        <v>1</v>
      </c>
      <c r="N621" s="16">
        <v>8000.0</v>
      </c>
      <c r="O621" s="16"/>
      <c r="P621" s="18">
        <f>IF(N621&gt;0, O621/N621, 0)</f>
        <v>0</v>
      </c>
      <c r="Q621" s="16">
        <f>N621-O621</f>
        <v>8000</v>
      </c>
      <c r="R621" s="16">
        <f>M621*N621</f>
        <v>8000</v>
      </c>
      <c r="S621" s="16">
        <f>M621*O621</f>
        <v>0</v>
      </c>
      <c r="T621" s="16">
        <f>M621*Q621</f>
        <v>8000</v>
      </c>
      <c r="U621" s="16"/>
      <c r="V621" s="16">
        <f>M621*U621</f>
        <v>0</v>
      </c>
      <c r="W621" s="16">
        <f>T621-V621</f>
        <v>8000</v>
      </c>
      <c r="X621" s="18">
        <f>IF(T621&gt;0, W621/T621, 0)</f>
        <v>1</v>
      </c>
      <c r="Y621" s="9" t="s">
        <v>41</v>
      </c>
      <c r="Z621" s="11" t="s">
        <v>42</v>
      </c>
      <c r="AA621" s="11" t="s">
        <v>43</v>
      </c>
      <c r="AB621" s="11" t="s">
        <v>44</v>
      </c>
      <c r="AC621" s="9" t="s">
        <v>44</v>
      </c>
    </row>
    <row r="622" spans="1:29">
      <c r="A622" s="10">
        <v>615</v>
      </c>
      <c r="B622" s="10" t="s">
        <v>909</v>
      </c>
      <c r="C622" s="10" t="s">
        <v>847</v>
      </c>
      <c r="D622" s="10" t="s">
        <v>655</v>
      </c>
      <c r="E622" s="10" t="s">
        <v>34</v>
      </c>
      <c r="F622" s="10" t="s">
        <v>35</v>
      </c>
      <c r="G622" s="8" t="s">
        <v>36</v>
      </c>
      <c r="H622" s="8" t="s">
        <v>65</v>
      </c>
      <c r="I622" s="8" t="s">
        <v>151</v>
      </c>
      <c r="J622" s="10">
        <v>182</v>
      </c>
      <c r="K622" s="10" t="s">
        <v>742</v>
      </c>
      <c r="L622" s="10" t="s">
        <v>40</v>
      </c>
      <c r="M622" s="12">
        <v>1</v>
      </c>
      <c r="N622" s="15">
        <v>9500.0</v>
      </c>
      <c r="O622" s="15"/>
      <c r="P622" s="17">
        <f>IF(N622&gt;0, O622/N622, 0)</f>
        <v>0</v>
      </c>
      <c r="Q622" s="15">
        <f>N622-O622</f>
        <v>9500</v>
      </c>
      <c r="R622" s="15">
        <f>M622*N622</f>
        <v>9500</v>
      </c>
      <c r="S622" s="15">
        <f>M622*O622</f>
        <v>0</v>
      </c>
      <c r="T622" s="15">
        <f>M622*Q622</f>
        <v>9500</v>
      </c>
      <c r="U622" s="15"/>
      <c r="V622" s="15">
        <f>M622*U622</f>
        <v>0</v>
      </c>
      <c r="W622" s="15">
        <f>T622-V622</f>
        <v>9500</v>
      </c>
      <c r="X622" s="17">
        <f>IF(T622&gt;0, W622/T622, 0)</f>
        <v>1</v>
      </c>
      <c r="Y622" s="8" t="s">
        <v>41</v>
      </c>
      <c r="Z622" s="10" t="s">
        <v>42</v>
      </c>
      <c r="AA622" s="10" t="s">
        <v>43</v>
      </c>
      <c r="AB622" s="10" t="s">
        <v>44</v>
      </c>
      <c r="AC622" s="8" t="s">
        <v>44</v>
      </c>
    </row>
    <row r="623" spans="1:29">
      <c r="A623" s="11">
        <v>616</v>
      </c>
      <c r="B623" s="11" t="s">
        <v>910</v>
      </c>
      <c r="C623" s="11" t="s">
        <v>847</v>
      </c>
      <c r="D623" s="11" t="s">
        <v>655</v>
      </c>
      <c r="E623" s="11" t="s">
        <v>34</v>
      </c>
      <c r="F623" s="11" t="s">
        <v>35</v>
      </c>
      <c r="G623" s="9" t="s">
        <v>52</v>
      </c>
      <c r="H623" s="9" t="s">
        <v>58</v>
      </c>
      <c r="I623" s="9" t="s">
        <v>58</v>
      </c>
      <c r="J623" s="11">
        <v>152</v>
      </c>
      <c r="K623" s="11" t="s">
        <v>314</v>
      </c>
      <c r="L623" s="11" t="s">
        <v>40</v>
      </c>
      <c r="M623" s="13">
        <v>1</v>
      </c>
      <c r="N623" s="16">
        <v>7000.0</v>
      </c>
      <c r="O623" s="16"/>
      <c r="P623" s="18">
        <f>IF(N623&gt;0, O623/N623, 0)</f>
        <v>0</v>
      </c>
      <c r="Q623" s="16">
        <f>N623-O623</f>
        <v>7000</v>
      </c>
      <c r="R623" s="16">
        <f>M623*N623</f>
        <v>7000</v>
      </c>
      <c r="S623" s="16">
        <f>M623*O623</f>
        <v>0</v>
      </c>
      <c r="T623" s="16">
        <f>M623*Q623</f>
        <v>7000</v>
      </c>
      <c r="U623" s="16"/>
      <c r="V623" s="16">
        <f>M623*U623</f>
        <v>0</v>
      </c>
      <c r="W623" s="16">
        <f>T623-V623</f>
        <v>7000</v>
      </c>
      <c r="X623" s="18">
        <f>IF(T623&gt;0, W623/T623, 0)</f>
        <v>1</v>
      </c>
      <c r="Y623" s="9" t="s">
        <v>41</v>
      </c>
      <c r="Z623" s="11" t="s">
        <v>42</v>
      </c>
      <c r="AA623" s="11" t="s">
        <v>43</v>
      </c>
      <c r="AB623" s="11" t="s">
        <v>44</v>
      </c>
      <c r="AC623" s="9" t="s">
        <v>44</v>
      </c>
    </row>
    <row r="624" spans="1:29">
      <c r="A624" s="10">
        <v>617</v>
      </c>
      <c r="B624" s="10" t="s">
        <v>911</v>
      </c>
      <c r="C624" s="10" t="s">
        <v>847</v>
      </c>
      <c r="D624" s="10" t="s">
        <v>655</v>
      </c>
      <c r="E624" s="10" t="s">
        <v>34</v>
      </c>
      <c r="F624" s="10" t="s">
        <v>35</v>
      </c>
      <c r="G624" s="8" t="s">
        <v>36</v>
      </c>
      <c r="H624" s="8" t="s">
        <v>58</v>
      </c>
      <c r="I624" s="8" t="s">
        <v>58</v>
      </c>
      <c r="J624" s="10">
        <v>182</v>
      </c>
      <c r="K624" s="10" t="s">
        <v>658</v>
      </c>
      <c r="L624" s="10" t="s">
        <v>40</v>
      </c>
      <c r="M624" s="12">
        <v>1</v>
      </c>
      <c r="N624" s="15">
        <v>7500.0</v>
      </c>
      <c r="O624" s="15"/>
      <c r="P624" s="17">
        <f>IF(N624&gt;0, O624/N624, 0)</f>
        <v>0</v>
      </c>
      <c r="Q624" s="15">
        <f>N624-O624</f>
        <v>7500</v>
      </c>
      <c r="R624" s="15">
        <f>M624*N624</f>
        <v>7500</v>
      </c>
      <c r="S624" s="15">
        <f>M624*O624</f>
        <v>0</v>
      </c>
      <c r="T624" s="15">
        <f>M624*Q624</f>
        <v>7500</v>
      </c>
      <c r="U624" s="15"/>
      <c r="V624" s="15">
        <f>M624*U624</f>
        <v>0</v>
      </c>
      <c r="W624" s="15">
        <f>T624-V624</f>
        <v>7500</v>
      </c>
      <c r="X624" s="17">
        <f>IF(T624&gt;0, W624/T624, 0)</f>
        <v>1</v>
      </c>
      <c r="Y624" s="8" t="s">
        <v>41</v>
      </c>
      <c r="Z624" s="10" t="s">
        <v>42</v>
      </c>
      <c r="AA624" s="10" t="s">
        <v>43</v>
      </c>
      <c r="AB624" s="10" t="s">
        <v>44</v>
      </c>
      <c r="AC624" s="8" t="s">
        <v>44</v>
      </c>
    </row>
    <row r="625" spans="1:29">
      <c r="A625" s="11">
        <v>618</v>
      </c>
      <c r="B625" s="11" t="s">
        <v>912</v>
      </c>
      <c r="C625" s="11" t="s">
        <v>847</v>
      </c>
      <c r="D625" s="11" t="s">
        <v>655</v>
      </c>
      <c r="E625" s="11" t="s">
        <v>34</v>
      </c>
      <c r="F625" s="11" t="s">
        <v>35</v>
      </c>
      <c r="G625" s="9" t="s">
        <v>36</v>
      </c>
      <c r="H625" s="9" t="s">
        <v>53</v>
      </c>
      <c r="I625" s="9" t="s">
        <v>53</v>
      </c>
      <c r="J625" s="11">
        <v>188</v>
      </c>
      <c r="K625" s="11" t="s">
        <v>913</v>
      </c>
      <c r="L625" s="11" t="s">
        <v>40</v>
      </c>
      <c r="M625" s="13">
        <v>2</v>
      </c>
      <c r="N625" s="16">
        <v>8500.0</v>
      </c>
      <c r="O625" s="16"/>
      <c r="P625" s="18">
        <f>IF(N625&gt;0, O625/N625, 0)</f>
        <v>0</v>
      </c>
      <c r="Q625" s="16">
        <f>N625-O625</f>
        <v>8500</v>
      </c>
      <c r="R625" s="16">
        <f>M625*N625</f>
        <v>17000</v>
      </c>
      <c r="S625" s="16">
        <f>M625*O625</f>
        <v>0</v>
      </c>
      <c r="T625" s="16">
        <f>M625*Q625</f>
        <v>17000</v>
      </c>
      <c r="U625" s="16"/>
      <c r="V625" s="16">
        <f>M625*U625</f>
        <v>0</v>
      </c>
      <c r="W625" s="16">
        <f>T625-V625</f>
        <v>17000</v>
      </c>
      <c r="X625" s="18">
        <f>IF(T625&gt;0, W625/T625, 0)</f>
        <v>1</v>
      </c>
      <c r="Y625" s="9" t="s">
        <v>41</v>
      </c>
      <c r="Z625" s="11" t="s">
        <v>42</v>
      </c>
      <c r="AA625" s="11" t="s">
        <v>43</v>
      </c>
      <c r="AB625" s="11" t="s">
        <v>44</v>
      </c>
      <c r="AC625" s="9" t="s">
        <v>44</v>
      </c>
    </row>
    <row r="626" spans="1:29">
      <c r="A626" s="10">
        <v>619</v>
      </c>
      <c r="B626" s="10" t="s">
        <v>914</v>
      </c>
      <c r="C626" s="10" t="s">
        <v>847</v>
      </c>
      <c r="D626" s="10" t="s">
        <v>655</v>
      </c>
      <c r="E626" s="10" t="s">
        <v>34</v>
      </c>
      <c r="F626" s="10" t="s">
        <v>35</v>
      </c>
      <c r="G626" s="8" t="s">
        <v>52</v>
      </c>
      <c r="H626" s="8" t="s">
        <v>53</v>
      </c>
      <c r="I626" s="8" t="s">
        <v>53</v>
      </c>
      <c r="J626" s="10">
        <v>152</v>
      </c>
      <c r="K626" s="10" t="s">
        <v>405</v>
      </c>
      <c r="L626" s="10" t="s">
        <v>55</v>
      </c>
      <c r="M626" s="12">
        <v>2</v>
      </c>
      <c r="N626" s="15">
        <v>8000.0</v>
      </c>
      <c r="O626" s="15"/>
      <c r="P626" s="17">
        <f>IF(N626&gt;0, O626/N626, 0)</f>
        <v>0</v>
      </c>
      <c r="Q626" s="15">
        <f>N626-O626</f>
        <v>8000</v>
      </c>
      <c r="R626" s="15">
        <f>M626*N626</f>
        <v>16000</v>
      </c>
      <c r="S626" s="15">
        <f>M626*O626</f>
        <v>0</v>
      </c>
      <c r="T626" s="15">
        <f>M626*Q626</f>
        <v>16000</v>
      </c>
      <c r="U626" s="15"/>
      <c r="V626" s="15">
        <f>M626*U626</f>
        <v>0</v>
      </c>
      <c r="W626" s="15">
        <f>T626-V626</f>
        <v>16000</v>
      </c>
      <c r="X626" s="17">
        <f>IF(T626&gt;0, W626/T626, 0)</f>
        <v>1</v>
      </c>
      <c r="Y626" s="8" t="s">
        <v>41</v>
      </c>
      <c r="Z626" s="10" t="s">
        <v>42</v>
      </c>
      <c r="AA626" s="10" t="s">
        <v>43</v>
      </c>
      <c r="AB626" s="10" t="s">
        <v>44</v>
      </c>
      <c r="AC626" s="8" t="s">
        <v>44</v>
      </c>
    </row>
    <row r="627" spans="1:29">
      <c r="A627" s="11">
        <v>620</v>
      </c>
      <c r="B627" s="11" t="s">
        <v>915</v>
      </c>
      <c r="C627" s="11" t="s">
        <v>847</v>
      </c>
      <c r="D627" s="11" t="s">
        <v>655</v>
      </c>
      <c r="E627" s="11" t="s">
        <v>34</v>
      </c>
      <c r="F627" s="11" t="s">
        <v>35</v>
      </c>
      <c r="G627" s="9" t="s">
        <v>52</v>
      </c>
      <c r="H627" s="9" t="s">
        <v>53</v>
      </c>
      <c r="I627" s="9" t="s">
        <v>53</v>
      </c>
      <c r="J627" s="11">
        <v>140</v>
      </c>
      <c r="K627" s="11" t="s">
        <v>282</v>
      </c>
      <c r="L627" s="11" t="s">
        <v>55</v>
      </c>
      <c r="M627" s="13">
        <v>2</v>
      </c>
      <c r="N627" s="16">
        <v>8000.0</v>
      </c>
      <c r="O627" s="16"/>
      <c r="P627" s="18">
        <f>IF(N627&gt;0, O627/N627, 0)</f>
        <v>0</v>
      </c>
      <c r="Q627" s="16">
        <f>N627-O627</f>
        <v>8000</v>
      </c>
      <c r="R627" s="16">
        <f>M627*N627</f>
        <v>16000</v>
      </c>
      <c r="S627" s="16">
        <f>M627*O627</f>
        <v>0</v>
      </c>
      <c r="T627" s="16">
        <f>M627*Q627</f>
        <v>16000</v>
      </c>
      <c r="U627" s="16"/>
      <c r="V627" s="16">
        <f>M627*U627</f>
        <v>0</v>
      </c>
      <c r="W627" s="16">
        <f>T627-V627</f>
        <v>16000</v>
      </c>
      <c r="X627" s="18">
        <f>IF(T627&gt;0, W627/T627, 0)</f>
        <v>1</v>
      </c>
      <c r="Y627" s="9" t="s">
        <v>41</v>
      </c>
      <c r="Z627" s="11" t="s">
        <v>42</v>
      </c>
      <c r="AA627" s="11" t="s">
        <v>43</v>
      </c>
      <c r="AB627" s="11" t="s">
        <v>44</v>
      </c>
      <c r="AC627" s="9" t="s">
        <v>44</v>
      </c>
    </row>
    <row r="628" spans="1:29">
      <c r="A628" s="10">
        <v>621</v>
      </c>
      <c r="B628" s="10" t="s">
        <v>916</v>
      </c>
      <c r="C628" s="10" t="s">
        <v>847</v>
      </c>
      <c r="D628" s="10" t="s">
        <v>655</v>
      </c>
      <c r="E628" s="10" t="s">
        <v>34</v>
      </c>
      <c r="F628" s="10" t="s">
        <v>35</v>
      </c>
      <c r="G628" s="8" t="s">
        <v>52</v>
      </c>
      <c r="H628" s="8" t="s">
        <v>37</v>
      </c>
      <c r="I628" s="8" t="s">
        <v>75</v>
      </c>
      <c r="J628" s="10">
        <v>152</v>
      </c>
      <c r="K628" s="10" t="s">
        <v>608</v>
      </c>
      <c r="L628" s="10" t="s">
        <v>55</v>
      </c>
      <c r="M628" s="12">
        <v>1</v>
      </c>
      <c r="N628" s="15">
        <v>8000.0</v>
      </c>
      <c r="O628" s="15"/>
      <c r="P628" s="17">
        <f>IF(N628&gt;0, O628/N628, 0)</f>
        <v>0</v>
      </c>
      <c r="Q628" s="15">
        <f>N628-O628</f>
        <v>8000</v>
      </c>
      <c r="R628" s="15">
        <f>M628*N628</f>
        <v>8000</v>
      </c>
      <c r="S628" s="15">
        <f>M628*O628</f>
        <v>0</v>
      </c>
      <c r="T628" s="15">
        <f>M628*Q628</f>
        <v>8000</v>
      </c>
      <c r="U628" s="15"/>
      <c r="V628" s="15">
        <f>M628*U628</f>
        <v>0</v>
      </c>
      <c r="W628" s="15">
        <f>T628-V628</f>
        <v>8000</v>
      </c>
      <c r="X628" s="17">
        <f>IF(T628&gt;0, W628/T628, 0)</f>
        <v>1</v>
      </c>
      <c r="Y628" s="8" t="s">
        <v>41</v>
      </c>
      <c r="Z628" s="10" t="s">
        <v>42</v>
      </c>
      <c r="AA628" s="10" t="s">
        <v>43</v>
      </c>
      <c r="AB628" s="10" t="s">
        <v>44</v>
      </c>
      <c r="AC628" s="8" t="s">
        <v>44</v>
      </c>
    </row>
    <row r="629" spans="1:29">
      <c r="A629" s="11">
        <v>622</v>
      </c>
      <c r="B629" s="11" t="s">
        <v>917</v>
      </c>
      <c r="C629" s="11" t="s">
        <v>847</v>
      </c>
      <c r="D629" s="11" t="s">
        <v>655</v>
      </c>
      <c r="E629" s="11" t="s">
        <v>34</v>
      </c>
      <c r="F629" s="11" t="s">
        <v>35</v>
      </c>
      <c r="G629" s="9" t="s">
        <v>52</v>
      </c>
      <c r="H629" s="9" t="s">
        <v>37</v>
      </c>
      <c r="I629" s="9" t="s">
        <v>75</v>
      </c>
      <c r="J629" s="11">
        <v>140</v>
      </c>
      <c r="K629" s="11" t="s">
        <v>573</v>
      </c>
      <c r="L629" s="11" t="s">
        <v>55</v>
      </c>
      <c r="M629" s="13">
        <v>1</v>
      </c>
      <c r="N629" s="16">
        <v>8000.0</v>
      </c>
      <c r="O629" s="16"/>
      <c r="P629" s="18">
        <f>IF(N629&gt;0, O629/N629, 0)</f>
        <v>0</v>
      </c>
      <c r="Q629" s="16">
        <f>N629-O629</f>
        <v>8000</v>
      </c>
      <c r="R629" s="16">
        <f>M629*N629</f>
        <v>8000</v>
      </c>
      <c r="S629" s="16">
        <f>M629*O629</f>
        <v>0</v>
      </c>
      <c r="T629" s="16">
        <f>M629*Q629</f>
        <v>8000</v>
      </c>
      <c r="U629" s="16"/>
      <c r="V629" s="16">
        <f>M629*U629</f>
        <v>0</v>
      </c>
      <c r="W629" s="16">
        <f>T629-V629</f>
        <v>8000</v>
      </c>
      <c r="X629" s="18">
        <f>IF(T629&gt;0, W629/T629, 0)</f>
        <v>1</v>
      </c>
      <c r="Y629" s="9" t="s">
        <v>41</v>
      </c>
      <c r="Z629" s="11" t="s">
        <v>42</v>
      </c>
      <c r="AA629" s="11" t="s">
        <v>43</v>
      </c>
      <c r="AB629" s="11" t="s">
        <v>44</v>
      </c>
      <c r="AC629" s="9" t="s">
        <v>44</v>
      </c>
    </row>
    <row r="630" spans="1:29">
      <c r="A630" s="10">
        <v>623</v>
      </c>
      <c r="B630" s="10" t="s">
        <v>918</v>
      </c>
      <c r="C630" s="10" t="s">
        <v>847</v>
      </c>
      <c r="D630" s="10" t="s">
        <v>655</v>
      </c>
      <c r="E630" s="10" t="s">
        <v>34</v>
      </c>
      <c r="F630" s="10" t="s">
        <v>35</v>
      </c>
      <c r="G630" s="8" t="s">
        <v>52</v>
      </c>
      <c r="H630" s="8" t="s">
        <v>37</v>
      </c>
      <c r="I630" s="8" t="s">
        <v>38</v>
      </c>
      <c r="J630" s="10">
        <v>158</v>
      </c>
      <c r="K630" s="10" t="s">
        <v>132</v>
      </c>
      <c r="L630" s="10" t="s">
        <v>55</v>
      </c>
      <c r="M630" s="12">
        <v>2</v>
      </c>
      <c r="N630" s="15">
        <v>7000.0</v>
      </c>
      <c r="O630" s="15"/>
      <c r="P630" s="17">
        <f>IF(N630&gt;0, O630/N630, 0)</f>
        <v>0</v>
      </c>
      <c r="Q630" s="15">
        <f>N630-O630</f>
        <v>7000</v>
      </c>
      <c r="R630" s="15">
        <f>M630*N630</f>
        <v>14000</v>
      </c>
      <c r="S630" s="15">
        <f>M630*O630</f>
        <v>0</v>
      </c>
      <c r="T630" s="15">
        <f>M630*Q630</f>
        <v>14000</v>
      </c>
      <c r="U630" s="15"/>
      <c r="V630" s="15">
        <f>M630*U630</f>
        <v>0</v>
      </c>
      <c r="W630" s="15">
        <f>T630-V630</f>
        <v>14000</v>
      </c>
      <c r="X630" s="17">
        <f>IF(T630&gt;0, W630/T630, 0)</f>
        <v>1</v>
      </c>
      <c r="Y630" s="8" t="s">
        <v>41</v>
      </c>
      <c r="Z630" s="10" t="s">
        <v>42</v>
      </c>
      <c r="AA630" s="10" t="s">
        <v>43</v>
      </c>
      <c r="AB630" s="10" t="s">
        <v>44</v>
      </c>
      <c r="AC630" s="8" t="s">
        <v>44</v>
      </c>
    </row>
    <row r="631" spans="1:29">
      <c r="A631" s="11">
        <v>624</v>
      </c>
      <c r="B631" s="11" t="s">
        <v>919</v>
      </c>
      <c r="C631" s="11" t="s">
        <v>847</v>
      </c>
      <c r="D631" s="11" t="s">
        <v>655</v>
      </c>
      <c r="E631" s="11" t="s">
        <v>34</v>
      </c>
      <c r="F631" s="11" t="s">
        <v>35</v>
      </c>
      <c r="G631" s="9" t="s">
        <v>52</v>
      </c>
      <c r="H631" s="9" t="s">
        <v>37</v>
      </c>
      <c r="I631" s="9" t="s">
        <v>38</v>
      </c>
      <c r="J631" s="11">
        <v>146</v>
      </c>
      <c r="K631" s="11" t="s">
        <v>260</v>
      </c>
      <c r="L631" s="11" t="s">
        <v>55</v>
      </c>
      <c r="M631" s="13">
        <v>2</v>
      </c>
      <c r="N631" s="16">
        <v>7000.0</v>
      </c>
      <c r="O631" s="16"/>
      <c r="P631" s="18">
        <f>IF(N631&gt;0, O631/N631, 0)</f>
        <v>0</v>
      </c>
      <c r="Q631" s="16">
        <f>N631-O631</f>
        <v>7000</v>
      </c>
      <c r="R631" s="16">
        <f>M631*N631</f>
        <v>14000</v>
      </c>
      <c r="S631" s="16">
        <f>M631*O631</f>
        <v>0</v>
      </c>
      <c r="T631" s="16">
        <f>M631*Q631</f>
        <v>14000</v>
      </c>
      <c r="U631" s="16"/>
      <c r="V631" s="16">
        <f>M631*U631</f>
        <v>0</v>
      </c>
      <c r="W631" s="16">
        <f>T631-V631</f>
        <v>14000</v>
      </c>
      <c r="X631" s="18">
        <f>IF(T631&gt;0, W631/T631, 0)</f>
        <v>1</v>
      </c>
      <c r="Y631" s="9" t="s">
        <v>41</v>
      </c>
      <c r="Z631" s="11" t="s">
        <v>42</v>
      </c>
      <c r="AA631" s="11" t="s">
        <v>43</v>
      </c>
      <c r="AB631" s="11" t="s">
        <v>44</v>
      </c>
      <c r="AC631" s="9" t="s">
        <v>44</v>
      </c>
    </row>
    <row r="632" spans="1:29">
      <c r="A632" s="10">
        <v>625</v>
      </c>
      <c r="B632" s="10" t="s">
        <v>920</v>
      </c>
      <c r="C632" s="10" t="s">
        <v>847</v>
      </c>
      <c r="D632" s="10" t="s">
        <v>655</v>
      </c>
      <c r="E632" s="10" t="s">
        <v>34</v>
      </c>
      <c r="F632" s="10" t="s">
        <v>35</v>
      </c>
      <c r="G632" s="8" t="s">
        <v>36</v>
      </c>
      <c r="H632" s="8" t="s">
        <v>71</v>
      </c>
      <c r="I632" s="8" t="s">
        <v>71</v>
      </c>
      <c r="J632" s="10">
        <v>188</v>
      </c>
      <c r="K632" s="10" t="s">
        <v>921</v>
      </c>
      <c r="L632" s="10" t="s">
        <v>40</v>
      </c>
      <c r="M632" s="12">
        <v>1</v>
      </c>
      <c r="N632" s="15">
        <v>16500.0</v>
      </c>
      <c r="O632" s="15"/>
      <c r="P632" s="17">
        <f>IF(N632&gt;0, O632/N632, 0)</f>
        <v>0</v>
      </c>
      <c r="Q632" s="15">
        <f>N632-O632</f>
        <v>16500</v>
      </c>
      <c r="R632" s="15">
        <f>M632*N632</f>
        <v>16500</v>
      </c>
      <c r="S632" s="15">
        <f>M632*O632</f>
        <v>0</v>
      </c>
      <c r="T632" s="15">
        <f>M632*Q632</f>
        <v>16500</v>
      </c>
      <c r="U632" s="15"/>
      <c r="V632" s="15">
        <f>M632*U632</f>
        <v>0</v>
      </c>
      <c r="W632" s="15">
        <f>T632-V632</f>
        <v>16500</v>
      </c>
      <c r="X632" s="17">
        <f>IF(T632&gt;0, W632/T632, 0)</f>
        <v>1</v>
      </c>
      <c r="Y632" s="8" t="s">
        <v>41</v>
      </c>
      <c r="Z632" s="10" t="s">
        <v>42</v>
      </c>
      <c r="AA632" s="10" t="s">
        <v>43</v>
      </c>
      <c r="AB632" s="10" t="s">
        <v>44</v>
      </c>
      <c r="AC632" s="8" t="s">
        <v>44</v>
      </c>
    </row>
    <row r="633" spans="1:29">
      <c r="A633" s="11">
        <v>626</v>
      </c>
      <c r="B633" s="11" t="s">
        <v>922</v>
      </c>
      <c r="C633" s="11" t="s">
        <v>847</v>
      </c>
      <c r="D633" s="11" t="s">
        <v>655</v>
      </c>
      <c r="E633" s="11" t="s">
        <v>34</v>
      </c>
      <c r="F633" s="11" t="s">
        <v>35</v>
      </c>
      <c r="G633" s="9" t="s">
        <v>52</v>
      </c>
      <c r="H633" s="9" t="s">
        <v>71</v>
      </c>
      <c r="I633" s="9" t="s">
        <v>71</v>
      </c>
      <c r="J633" s="11">
        <v>152</v>
      </c>
      <c r="K633" s="11" t="s">
        <v>353</v>
      </c>
      <c r="L633" s="11" t="s">
        <v>40</v>
      </c>
      <c r="M633" s="13">
        <v>1</v>
      </c>
      <c r="N633" s="16">
        <v>16000.0</v>
      </c>
      <c r="O633" s="16"/>
      <c r="P633" s="18">
        <f>IF(N633&gt;0, O633/N633, 0)</f>
        <v>0</v>
      </c>
      <c r="Q633" s="16">
        <f>N633-O633</f>
        <v>16000</v>
      </c>
      <c r="R633" s="16">
        <f>M633*N633</f>
        <v>16000</v>
      </c>
      <c r="S633" s="16">
        <f>M633*O633</f>
        <v>0</v>
      </c>
      <c r="T633" s="16">
        <f>M633*Q633</f>
        <v>16000</v>
      </c>
      <c r="U633" s="16"/>
      <c r="V633" s="16">
        <f>M633*U633</f>
        <v>0</v>
      </c>
      <c r="W633" s="16">
        <f>T633-V633</f>
        <v>16000</v>
      </c>
      <c r="X633" s="18">
        <f>IF(T633&gt;0, W633/T633, 0)</f>
        <v>1</v>
      </c>
      <c r="Y633" s="9" t="s">
        <v>41</v>
      </c>
      <c r="Z633" s="11" t="s">
        <v>42</v>
      </c>
      <c r="AA633" s="11" t="s">
        <v>43</v>
      </c>
      <c r="AB633" s="11" t="s">
        <v>44</v>
      </c>
      <c r="AC633" s="9" t="s">
        <v>44</v>
      </c>
    </row>
    <row r="634" spans="1:29">
      <c r="A634" s="10">
        <v>627</v>
      </c>
      <c r="B634" s="10" t="s">
        <v>923</v>
      </c>
      <c r="C634" s="10" t="s">
        <v>847</v>
      </c>
      <c r="D634" s="10" t="s">
        <v>655</v>
      </c>
      <c r="E634" s="10" t="s">
        <v>34</v>
      </c>
      <c r="F634" s="10" t="s">
        <v>35</v>
      </c>
      <c r="G634" s="8" t="s">
        <v>52</v>
      </c>
      <c r="H634" s="8" t="s">
        <v>71</v>
      </c>
      <c r="I634" s="8" t="s">
        <v>71</v>
      </c>
      <c r="J634" s="10">
        <v>140</v>
      </c>
      <c r="K634" s="10" t="s">
        <v>228</v>
      </c>
      <c r="L634" s="10" t="s">
        <v>40</v>
      </c>
      <c r="M634" s="12">
        <v>1</v>
      </c>
      <c r="N634" s="15">
        <v>16000.0</v>
      </c>
      <c r="O634" s="15"/>
      <c r="P634" s="17">
        <f>IF(N634&gt;0, O634/N634, 0)</f>
        <v>0</v>
      </c>
      <c r="Q634" s="15">
        <f>N634-O634</f>
        <v>16000</v>
      </c>
      <c r="R634" s="15">
        <f>M634*N634</f>
        <v>16000</v>
      </c>
      <c r="S634" s="15">
        <f>M634*O634</f>
        <v>0</v>
      </c>
      <c r="T634" s="15">
        <f>M634*Q634</f>
        <v>16000</v>
      </c>
      <c r="U634" s="15"/>
      <c r="V634" s="15">
        <f>M634*U634</f>
        <v>0</v>
      </c>
      <c r="W634" s="15">
        <f>T634-V634</f>
        <v>16000</v>
      </c>
      <c r="X634" s="17">
        <f>IF(T634&gt;0, W634/T634, 0)</f>
        <v>1</v>
      </c>
      <c r="Y634" s="8" t="s">
        <v>41</v>
      </c>
      <c r="Z634" s="10" t="s">
        <v>42</v>
      </c>
      <c r="AA634" s="10" t="s">
        <v>43</v>
      </c>
      <c r="AB634" s="10" t="s">
        <v>44</v>
      </c>
      <c r="AC634" s="8" t="s">
        <v>44</v>
      </c>
    </row>
    <row r="635" spans="1:29">
      <c r="A635" s="11">
        <v>628</v>
      </c>
      <c r="B635" s="11" t="s">
        <v>924</v>
      </c>
      <c r="C635" s="11" t="s">
        <v>847</v>
      </c>
      <c r="D635" s="11" t="s">
        <v>655</v>
      </c>
      <c r="E635" s="11" t="s">
        <v>34</v>
      </c>
      <c r="F635" s="11" t="s">
        <v>35</v>
      </c>
      <c r="G635" s="9" t="s">
        <v>36</v>
      </c>
      <c r="H635" s="9" t="s">
        <v>47</v>
      </c>
      <c r="I635" s="9" t="s">
        <v>48</v>
      </c>
      <c r="J635" s="11">
        <v>188</v>
      </c>
      <c r="K635" s="11" t="s">
        <v>515</v>
      </c>
      <c r="L635" s="11" t="s">
        <v>40</v>
      </c>
      <c r="M635" s="13">
        <v>1</v>
      </c>
      <c r="N635" s="16">
        <v>18000.0</v>
      </c>
      <c r="O635" s="16"/>
      <c r="P635" s="18">
        <f>IF(N635&gt;0, O635/N635, 0)</f>
        <v>0</v>
      </c>
      <c r="Q635" s="16">
        <f>N635-O635</f>
        <v>18000</v>
      </c>
      <c r="R635" s="16">
        <f>M635*N635</f>
        <v>18000</v>
      </c>
      <c r="S635" s="16">
        <f>M635*O635</f>
        <v>0</v>
      </c>
      <c r="T635" s="16">
        <f>M635*Q635</f>
        <v>18000</v>
      </c>
      <c r="U635" s="16"/>
      <c r="V635" s="16">
        <f>M635*U635</f>
        <v>0</v>
      </c>
      <c r="W635" s="16">
        <f>T635-V635</f>
        <v>18000</v>
      </c>
      <c r="X635" s="18">
        <f>IF(T635&gt;0, W635/T635, 0)</f>
        <v>1</v>
      </c>
      <c r="Y635" s="9" t="s">
        <v>41</v>
      </c>
      <c r="Z635" s="11" t="s">
        <v>42</v>
      </c>
      <c r="AA635" s="11" t="s">
        <v>43</v>
      </c>
      <c r="AB635" s="11" t="s">
        <v>44</v>
      </c>
      <c r="AC635" s="9" t="s">
        <v>44</v>
      </c>
    </row>
    <row r="636" spans="1:29">
      <c r="A636" s="10">
        <v>629</v>
      </c>
      <c r="B636" s="10" t="s">
        <v>925</v>
      </c>
      <c r="C636" s="10" t="s">
        <v>847</v>
      </c>
      <c r="D636" s="10" t="s">
        <v>655</v>
      </c>
      <c r="E636" s="10" t="s">
        <v>34</v>
      </c>
      <c r="F636" s="10" t="s">
        <v>35</v>
      </c>
      <c r="G636" s="8" t="s">
        <v>52</v>
      </c>
      <c r="H636" s="8" t="s">
        <v>47</v>
      </c>
      <c r="I636" s="8" t="s">
        <v>48</v>
      </c>
      <c r="J636" s="10">
        <v>152</v>
      </c>
      <c r="K636" s="10" t="s">
        <v>414</v>
      </c>
      <c r="L636" s="10" t="s">
        <v>40</v>
      </c>
      <c r="M636" s="12">
        <v>1</v>
      </c>
      <c r="N636" s="15">
        <v>18000.0</v>
      </c>
      <c r="O636" s="15"/>
      <c r="P636" s="17">
        <f>IF(N636&gt;0, O636/N636, 0)</f>
        <v>0</v>
      </c>
      <c r="Q636" s="15">
        <f>N636-O636</f>
        <v>18000</v>
      </c>
      <c r="R636" s="15">
        <f>M636*N636</f>
        <v>18000</v>
      </c>
      <c r="S636" s="15">
        <f>M636*O636</f>
        <v>0</v>
      </c>
      <c r="T636" s="15">
        <f>M636*Q636</f>
        <v>18000</v>
      </c>
      <c r="U636" s="15"/>
      <c r="V636" s="15">
        <f>M636*U636</f>
        <v>0</v>
      </c>
      <c r="W636" s="15">
        <f>T636-V636</f>
        <v>18000</v>
      </c>
      <c r="X636" s="17">
        <f>IF(T636&gt;0, W636/T636, 0)</f>
        <v>1</v>
      </c>
      <c r="Y636" s="8" t="s">
        <v>41</v>
      </c>
      <c r="Z636" s="10" t="s">
        <v>42</v>
      </c>
      <c r="AA636" s="10" t="s">
        <v>43</v>
      </c>
      <c r="AB636" s="10" t="s">
        <v>44</v>
      </c>
      <c r="AC636" s="8" t="s">
        <v>44</v>
      </c>
    </row>
    <row r="637" spans="1:29">
      <c r="A637" s="11">
        <v>630</v>
      </c>
      <c r="B637" s="11" t="s">
        <v>926</v>
      </c>
      <c r="C637" s="11" t="s">
        <v>847</v>
      </c>
      <c r="D637" s="11" t="s">
        <v>655</v>
      </c>
      <c r="E637" s="11" t="s">
        <v>34</v>
      </c>
      <c r="F637" s="11" t="s">
        <v>35</v>
      </c>
      <c r="G637" s="9" t="s">
        <v>52</v>
      </c>
      <c r="H637" s="9" t="s">
        <v>47</v>
      </c>
      <c r="I637" s="9" t="s">
        <v>48</v>
      </c>
      <c r="J637" s="11">
        <v>140</v>
      </c>
      <c r="K637" s="11" t="s">
        <v>417</v>
      </c>
      <c r="L637" s="11" t="s">
        <v>40</v>
      </c>
      <c r="M637" s="13">
        <v>1</v>
      </c>
      <c r="N637" s="16">
        <v>18000.0</v>
      </c>
      <c r="O637" s="16"/>
      <c r="P637" s="18">
        <f>IF(N637&gt;0, O637/N637, 0)</f>
        <v>0</v>
      </c>
      <c r="Q637" s="16">
        <f>N637-O637</f>
        <v>18000</v>
      </c>
      <c r="R637" s="16">
        <f>M637*N637</f>
        <v>18000</v>
      </c>
      <c r="S637" s="16">
        <f>M637*O637</f>
        <v>0</v>
      </c>
      <c r="T637" s="16">
        <f>M637*Q637</f>
        <v>18000</v>
      </c>
      <c r="U637" s="16"/>
      <c r="V637" s="16">
        <f>M637*U637</f>
        <v>0</v>
      </c>
      <c r="W637" s="16">
        <f>T637-V637</f>
        <v>18000</v>
      </c>
      <c r="X637" s="18">
        <f>IF(T637&gt;0, W637/T637, 0)</f>
        <v>1</v>
      </c>
      <c r="Y637" s="9" t="s">
        <v>41</v>
      </c>
      <c r="Z637" s="11" t="s">
        <v>42</v>
      </c>
      <c r="AA637" s="11" t="s">
        <v>43</v>
      </c>
      <c r="AB637" s="11" t="s">
        <v>44</v>
      </c>
      <c r="AC637" s="9" t="s">
        <v>44</v>
      </c>
    </row>
    <row r="638" spans="1:29">
      <c r="A638" s="10">
        <v>631</v>
      </c>
      <c r="B638" s="10" t="s">
        <v>927</v>
      </c>
      <c r="C638" s="10" t="s">
        <v>847</v>
      </c>
      <c r="D638" s="10" t="s">
        <v>655</v>
      </c>
      <c r="E638" s="10" t="s">
        <v>34</v>
      </c>
      <c r="F638" s="10" t="s">
        <v>35</v>
      </c>
      <c r="G638" s="8" t="s">
        <v>52</v>
      </c>
      <c r="H638" s="8" t="s">
        <v>71</v>
      </c>
      <c r="I638" s="8" t="s">
        <v>71</v>
      </c>
      <c r="J638" s="10">
        <v>140</v>
      </c>
      <c r="K638" s="10" t="s">
        <v>228</v>
      </c>
      <c r="L638" s="10" t="s">
        <v>40</v>
      </c>
      <c r="M638" s="12">
        <v>1</v>
      </c>
      <c r="N638" s="15">
        <v>16000.0</v>
      </c>
      <c r="O638" s="15"/>
      <c r="P638" s="17">
        <f>IF(N638&gt;0, O638/N638, 0)</f>
        <v>0</v>
      </c>
      <c r="Q638" s="15">
        <f>N638-O638</f>
        <v>16000</v>
      </c>
      <c r="R638" s="15">
        <f>M638*N638</f>
        <v>16000</v>
      </c>
      <c r="S638" s="15">
        <f>M638*O638</f>
        <v>0</v>
      </c>
      <c r="T638" s="15">
        <f>M638*Q638</f>
        <v>16000</v>
      </c>
      <c r="U638" s="15"/>
      <c r="V638" s="15">
        <f>M638*U638</f>
        <v>0</v>
      </c>
      <c r="W638" s="15">
        <f>T638-V638</f>
        <v>16000</v>
      </c>
      <c r="X638" s="17">
        <f>IF(T638&gt;0, W638/T638, 0)</f>
        <v>1</v>
      </c>
      <c r="Y638" s="8" t="s">
        <v>41</v>
      </c>
      <c r="Z638" s="10" t="s">
        <v>42</v>
      </c>
      <c r="AA638" s="10" t="s">
        <v>43</v>
      </c>
      <c r="AB638" s="10" t="s">
        <v>44</v>
      </c>
      <c r="AC638" s="8" t="s">
        <v>44</v>
      </c>
    </row>
    <row r="639" spans="1:29">
      <c r="A639" s="11">
        <v>632</v>
      </c>
      <c r="B639" s="11" t="s">
        <v>928</v>
      </c>
      <c r="C639" s="11" t="s">
        <v>847</v>
      </c>
      <c r="D639" s="11" t="s">
        <v>655</v>
      </c>
      <c r="E639" s="11" t="s">
        <v>34</v>
      </c>
      <c r="F639" s="11" t="s">
        <v>35</v>
      </c>
      <c r="G639" s="9" t="s">
        <v>52</v>
      </c>
      <c r="H639" s="9" t="s">
        <v>53</v>
      </c>
      <c r="I639" s="9" t="s">
        <v>53</v>
      </c>
      <c r="J639" s="11">
        <v>134</v>
      </c>
      <c r="K639" s="11" t="s">
        <v>178</v>
      </c>
      <c r="L639" s="11" t="s">
        <v>55</v>
      </c>
      <c r="M639" s="13">
        <v>1</v>
      </c>
      <c r="N639" s="16">
        <v>8000.0</v>
      </c>
      <c r="O639" s="16"/>
      <c r="P639" s="18">
        <f>IF(N639&gt;0, O639/N639, 0)</f>
        <v>0</v>
      </c>
      <c r="Q639" s="16">
        <f>N639-O639</f>
        <v>8000</v>
      </c>
      <c r="R639" s="16">
        <f>M639*N639</f>
        <v>8000</v>
      </c>
      <c r="S639" s="16">
        <f>M639*O639</f>
        <v>0</v>
      </c>
      <c r="T639" s="16">
        <f>M639*Q639</f>
        <v>8000</v>
      </c>
      <c r="U639" s="16"/>
      <c r="V639" s="16">
        <f>M639*U639</f>
        <v>0</v>
      </c>
      <c r="W639" s="16">
        <f>T639-V639</f>
        <v>8000</v>
      </c>
      <c r="X639" s="18">
        <f>IF(T639&gt;0, W639/T639, 0)</f>
        <v>1</v>
      </c>
      <c r="Y639" s="9" t="s">
        <v>41</v>
      </c>
      <c r="Z639" s="11" t="s">
        <v>42</v>
      </c>
      <c r="AA639" s="11" t="s">
        <v>43</v>
      </c>
      <c r="AB639" s="11" t="s">
        <v>44</v>
      </c>
      <c r="AC639" s="9" t="s">
        <v>44</v>
      </c>
    </row>
    <row r="640" spans="1:29">
      <c r="A640" s="10">
        <v>633</v>
      </c>
      <c r="B640" s="10" t="s">
        <v>929</v>
      </c>
      <c r="C640" s="10" t="s">
        <v>847</v>
      </c>
      <c r="D640" s="10" t="s">
        <v>655</v>
      </c>
      <c r="E640" s="10" t="s">
        <v>34</v>
      </c>
      <c r="F640" s="10" t="s">
        <v>35</v>
      </c>
      <c r="G640" s="8" t="s">
        <v>52</v>
      </c>
      <c r="H640" s="8" t="s">
        <v>53</v>
      </c>
      <c r="I640" s="8" t="s">
        <v>53</v>
      </c>
      <c r="J640" s="10">
        <v>140</v>
      </c>
      <c r="K640" s="10" t="s">
        <v>282</v>
      </c>
      <c r="L640" s="10" t="s">
        <v>55</v>
      </c>
      <c r="M640" s="12">
        <v>1</v>
      </c>
      <c r="N640" s="15">
        <v>8000.0</v>
      </c>
      <c r="O640" s="15"/>
      <c r="P640" s="17">
        <f>IF(N640&gt;0, O640/N640, 0)</f>
        <v>0</v>
      </c>
      <c r="Q640" s="15">
        <f>N640-O640</f>
        <v>8000</v>
      </c>
      <c r="R640" s="15">
        <f>M640*N640</f>
        <v>8000</v>
      </c>
      <c r="S640" s="15">
        <f>M640*O640</f>
        <v>0</v>
      </c>
      <c r="T640" s="15">
        <f>M640*Q640</f>
        <v>8000</v>
      </c>
      <c r="U640" s="15"/>
      <c r="V640" s="15">
        <f>M640*U640</f>
        <v>0</v>
      </c>
      <c r="W640" s="15">
        <f>T640-V640</f>
        <v>8000</v>
      </c>
      <c r="X640" s="17">
        <f>IF(T640&gt;0, W640/T640, 0)</f>
        <v>1</v>
      </c>
      <c r="Y640" s="8" t="s">
        <v>41</v>
      </c>
      <c r="Z640" s="10" t="s">
        <v>42</v>
      </c>
      <c r="AA640" s="10" t="s">
        <v>43</v>
      </c>
      <c r="AB640" s="10" t="s">
        <v>44</v>
      </c>
      <c r="AC640" s="8" t="s">
        <v>44</v>
      </c>
    </row>
    <row r="641" spans="1:29">
      <c r="A641" s="11">
        <v>634</v>
      </c>
      <c r="B641" s="11" t="s">
        <v>930</v>
      </c>
      <c r="C641" s="11" t="s">
        <v>847</v>
      </c>
      <c r="D641" s="11" t="s">
        <v>655</v>
      </c>
      <c r="E641" s="11" t="s">
        <v>34</v>
      </c>
      <c r="F641" s="11" t="s">
        <v>35</v>
      </c>
      <c r="G641" s="9" t="s">
        <v>52</v>
      </c>
      <c r="H641" s="9" t="s">
        <v>37</v>
      </c>
      <c r="I641" s="9" t="s">
        <v>75</v>
      </c>
      <c r="J641" s="11">
        <v>140</v>
      </c>
      <c r="K641" s="11" t="s">
        <v>573</v>
      </c>
      <c r="L641" s="11" t="s">
        <v>55</v>
      </c>
      <c r="M641" s="13">
        <v>1</v>
      </c>
      <c r="N641" s="16">
        <v>8000.0</v>
      </c>
      <c r="O641" s="16"/>
      <c r="P641" s="18">
        <f>IF(N641&gt;0, O641/N641, 0)</f>
        <v>0</v>
      </c>
      <c r="Q641" s="16">
        <f>N641-O641</f>
        <v>8000</v>
      </c>
      <c r="R641" s="16">
        <f>M641*N641</f>
        <v>8000</v>
      </c>
      <c r="S641" s="16">
        <f>M641*O641</f>
        <v>0</v>
      </c>
      <c r="T641" s="16">
        <f>M641*Q641</f>
        <v>8000</v>
      </c>
      <c r="U641" s="16"/>
      <c r="V641" s="16">
        <f>M641*U641</f>
        <v>0</v>
      </c>
      <c r="W641" s="16">
        <f>T641-V641</f>
        <v>8000</v>
      </c>
      <c r="X641" s="18">
        <f>IF(T641&gt;0, W641/T641, 0)</f>
        <v>1</v>
      </c>
      <c r="Y641" s="9" t="s">
        <v>41</v>
      </c>
      <c r="Z641" s="11" t="s">
        <v>42</v>
      </c>
      <c r="AA641" s="11" t="s">
        <v>43</v>
      </c>
      <c r="AB641" s="11" t="s">
        <v>44</v>
      </c>
      <c r="AC641" s="9" t="s">
        <v>44</v>
      </c>
    </row>
    <row r="642" spans="1:29">
      <c r="A642" s="10">
        <v>635</v>
      </c>
      <c r="B642" s="10" t="s">
        <v>931</v>
      </c>
      <c r="C642" s="10" t="s">
        <v>847</v>
      </c>
      <c r="D642" s="10" t="s">
        <v>655</v>
      </c>
      <c r="E642" s="10" t="s">
        <v>34</v>
      </c>
      <c r="F642" s="10" t="s">
        <v>35</v>
      </c>
      <c r="G642" s="8" t="s">
        <v>52</v>
      </c>
      <c r="H642" s="8" t="s">
        <v>37</v>
      </c>
      <c r="I642" s="8" t="s">
        <v>38</v>
      </c>
      <c r="J642" s="10">
        <v>140</v>
      </c>
      <c r="K642" s="10" t="s">
        <v>226</v>
      </c>
      <c r="L642" s="10" t="s">
        <v>55</v>
      </c>
      <c r="M642" s="12">
        <v>2</v>
      </c>
      <c r="N642" s="15">
        <v>7000.0</v>
      </c>
      <c r="O642" s="15"/>
      <c r="P642" s="17">
        <f>IF(N642&gt;0, O642/N642, 0)</f>
        <v>0</v>
      </c>
      <c r="Q642" s="15">
        <f>N642-O642</f>
        <v>7000</v>
      </c>
      <c r="R642" s="15">
        <f>M642*N642</f>
        <v>14000</v>
      </c>
      <c r="S642" s="15">
        <f>M642*O642</f>
        <v>0</v>
      </c>
      <c r="T642" s="15">
        <f>M642*Q642</f>
        <v>14000</v>
      </c>
      <c r="U642" s="15"/>
      <c r="V642" s="15">
        <f>M642*U642</f>
        <v>0</v>
      </c>
      <c r="W642" s="15">
        <f>T642-V642</f>
        <v>14000</v>
      </c>
      <c r="X642" s="17">
        <f>IF(T642&gt;0, W642/T642, 0)</f>
        <v>1</v>
      </c>
      <c r="Y642" s="8" t="s">
        <v>41</v>
      </c>
      <c r="Z642" s="10" t="s">
        <v>42</v>
      </c>
      <c r="AA642" s="10" t="s">
        <v>43</v>
      </c>
      <c r="AB642" s="10" t="s">
        <v>44</v>
      </c>
      <c r="AC642" s="8" t="s">
        <v>44</v>
      </c>
    </row>
    <row r="643" spans="1:29">
      <c r="A643" s="11">
        <v>636</v>
      </c>
      <c r="B643" s="11" t="s">
        <v>932</v>
      </c>
      <c r="C643" s="11" t="s">
        <v>847</v>
      </c>
      <c r="D643" s="11" t="s">
        <v>655</v>
      </c>
      <c r="E643" s="11" t="s">
        <v>70</v>
      </c>
      <c r="F643" s="11" t="s">
        <v>35</v>
      </c>
      <c r="G643" s="9" t="s">
        <v>52</v>
      </c>
      <c r="H643" s="9" t="s">
        <v>65</v>
      </c>
      <c r="I643" s="9" t="s">
        <v>151</v>
      </c>
      <c r="J643" s="11">
        <v>146</v>
      </c>
      <c r="K643" s="11" t="s">
        <v>170</v>
      </c>
      <c r="L643" s="11" t="s">
        <v>40</v>
      </c>
      <c r="M643" s="13">
        <v>2</v>
      </c>
      <c r="N643" s="16">
        <v>10000.0</v>
      </c>
      <c r="O643" s="16"/>
      <c r="P643" s="18">
        <f>IF(N643&gt;0, O643/N643, 0)</f>
        <v>0</v>
      </c>
      <c r="Q643" s="16">
        <f>N643-O643</f>
        <v>10000</v>
      </c>
      <c r="R643" s="16">
        <f>M643*N643</f>
        <v>20000</v>
      </c>
      <c r="S643" s="16">
        <f>M643*O643</f>
        <v>0</v>
      </c>
      <c r="T643" s="16">
        <f>M643*Q643</f>
        <v>20000</v>
      </c>
      <c r="U643" s="16"/>
      <c r="V643" s="16">
        <f>M643*U643</f>
        <v>0</v>
      </c>
      <c r="W643" s="16">
        <f>T643-V643</f>
        <v>20000</v>
      </c>
      <c r="X643" s="18">
        <f>IF(T643&gt;0, W643/T643, 0)</f>
        <v>1</v>
      </c>
      <c r="Y643" s="9" t="s">
        <v>41</v>
      </c>
      <c r="Z643" s="11" t="s">
        <v>42</v>
      </c>
      <c r="AA643" s="11" t="s">
        <v>73</v>
      </c>
      <c r="AB643" s="11" t="s">
        <v>44</v>
      </c>
      <c r="AC643" s="9" t="s">
        <v>44</v>
      </c>
    </row>
    <row r="644" spans="1:29">
      <c r="A644" s="10">
        <v>637</v>
      </c>
      <c r="B644" s="10" t="s">
        <v>933</v>
      </c>
      <c r="C644" s="10" t="s">
        <v>847</v>
      </c>
      <c r="D644" s="10" t="s">
        <v>655</v>
      </c>
      <c r="E644" s="10" t="s">
        <v>70</v>
      </c>
      <c r="F644" s="10" t="s">
        <v>35</v>
      </c>
      <c r="G644" s="8" t="s">
        <v>52</v>
      </c>
      <c r="H644" s="8" t="s">
        <v>65</v>
      </c>
      <c r="I644" s="8" t="s">
        <v>151</v>
      </c>
      <c r="J644" s="10">
        <v>158</v>
      </c>
      <c r="K644" s="10" t="s">
        <v>437</v>
      </c>
      <c r="L644" s="10" t="s">
        <v>40</v>
      </c>
      <c r="M644" s="12">
        <v>1</v>
      </c>
      <c r="N644" s="15">
        <v>10000.0</v>
      </c>
      <c r="O644" s="15"/>
      <c r="P644" s="17">
        <f>IF(N644&gt;0, O644/N644, 0)</f>
        <v>0</v>
      </c>
      <c r="Q644" s="15">
        <f>N644-O644</f>
        <v>10000</v>
      </c>
      <c r="R644" s="15">
        <f>M644*N644</f>
        <v>10000</v>
      </c>
      <c r="S644" s="15">
        <f>M644*O644</f>
        <v>0</v>
      </c>
      <c r="T644" s="15">
        <f>M644*Q644</f>
        <v>10000</v>
      </c>
      <c r="U644" s="15"/>
      <c r="V644" s="15">
        <f>M644*U644</f>
        <v>0</v>
      </c>
      <c r="W644" s="15">
        <f>T644-V644</f>
        <v>10000</v>
      </c>
      <c r="X644" s="17">
        <f>IF(T644&gt;0, W644/T644, 0)</f>
        <v>1</v>
      </c>
      <c r="Y644" s="8" t="s">
        <v>41</v>
      </c>
      <c r="Z644" s="10" t="s">
        <v>42</v>
      </c>
      <c r="AA644" s="10" t="s">
        <v>73</v>
      </c>
      <c r="AB644" s="10" t="s">
        <v>44</v>
      </c>
      <c r="AC644" s="8" t="s">
        <v>44</v>
      </c>
    </row>
    <row r="645" spans="1:29">
      <c r="A645" s="11">
        <v>638</v>
      </c>
      <c r="B645" s="11" t="s">
        <v>934</v>
      </c>
      <c r="C645" s="11" t="s">
        <v>847</v>
      </c>
      <c r="D645" s="11" t="s">
        <v>655</v>
      </c>
      <c r="E645" s="11" t="s">
        <v>34</v>
      </c>
      <c r="F645" s="11" t="s">
        <v>35</v>
      </c>
      <c r="G645" s="9" t="s">
        <v>52</v>
      </c>
      <c r="H645" s="9" t="s">
        <v>53</v>
      </c>
      <c r="I645" s="9" t="s">
        <v>53</v>
      </c>
      <c r="J645" s="11">
        <v>146</v>
      </c>
      <c r="K645" s="11" t="s">
        <v>257</v>
      </c>
      <c r="L645" s="11" t="s">
        <v>55</v>
      </c>
      <c r="M645" s="13">
        <v>2</v>
      </c>
      <c r="N645" s="16">
        <v>8000.0</v>
      </c>
      <c r="O645" s="16"/>
      <c r="P645" s="18">
        <f>IF(N645&gt;0, O645/N645, 0)</f>
        <v>0</v>
      </c>
      <c r="Q645" s="16">
        <f>N645-O645</f>
        <v>8000</v>
      </c>
      <c r="R645" s="16">
        <f>M645*N645</f>
        <v>16000</v>
      </c>
      <c r="S645" s="16">
        <f>M645*O645</f>
        <v>0</v>
      </c>
      <c r="T645" s="16">
        <f>M645*Q645</f>
        <v>16000</v>
      </c>
      <c r="U645" s="16"/>
      <c r="V645" s="16">
        <f>M645*U645</f>
        <v>0</v>
      </c>
      <c r="W645" s="16">
        <f>T645-V645</f>
        <v>16000</v>
      </c>
      <c r="X645" s="18">
        <f>IF(T645&gt;0, W645/T645, 0)</f>
        <v>1</v>
      </c>
      <c r="Y645" s="9" t="s">
        <v>41</v>
      </c>
      <c r="Z645" s="11" t="s">
        <v>42</v>
      </c>
      <c r="AA645" s="11" t="s">
        <v>43</v>
      </c>
      <c r="AB645" s="11" t="s">
        <v>44</v>
      </c>
      <c r="AC645" s="9" t="s">
        <v>44</v>
      </c>
    </row>
    <row r="646" spans="1:29">
      <c r="A646" s="10">
        <v>639</v>
      </c>
      <c r="B646" s="10" t="s">
        <v>935</v>
      </c>
      <c r="C646" s="10" t="s">
        <v>847</v>
      </c>
      <c r="D646" s="10" t="s">
        <v>655</v>
      </c>
      <c r="E646" s="10" t="s">
        <v>34</v>
      </c>
      <c r="F646" s="10" t="s">
        <v>35</v>
      </c>
      <c r="G646" s="8" t="s">
        <v>36</v>
      </c>
      <c r="H646" s="8" t="s">
        <v>53</v>
      </c>
      <c r="I646" s="8" t="s">
        <v>53</v>
      </c>
      <c r="J646" s="10">
        <v>158</v>
      </c>
      <c r="K646" s="10" t="s">
        <v>124</v>
      </c>
      <c r="L646" s="10" t="s">
        <v>40</v>
      </c>
      <c r="M646" s="12">
        <v>1</v>
      </c>
      <c r="N646" s="15">
        <v>8500.0</v>
      </c>
      <c r="O646" s="15"/>
      <c r="P646" s="17">
        <f>IF(N646&gt;0, O646/N646, 0)</f>
        <v>0</v>
      </c>
      <c r="Q646" s="15">
        <f>N646-O646</f>
        <v>8500</v>
      </c>
      <c r="R646" s="15">
        <f>M646*N646</f>
        <v>8500</v>
      </c>
      <c r="S646" s="15">
        <f>M646*O646</f>
        <v>0</v>
      </c>
      <c r="T646" s="15">
        <f>M646*Q646</f>
        <v>8500</v>
      </c>
      <c r="U646" s="15"/>
      <c r="V646" s="15">
        <f>M646*U646</f>
        <v>0</v>
      </c>
      <c r="W646" s="15">
        <f>T646-V646</f>
        <v>8500</v>
      </c>
      <c r="X646" s="17">
        <f>IF(T646&gt;0, W646/T646, 0)</f>
        <v>1</v>
      </c>
      <c r="Y646" s="8" t="s">
        <v>41</v>
      </c>
      <c r="Z646" s="10" t="s">
        <v>42</v>
      </c>
      <c r="AA646" s="10" t="s">
        <v>43</v>
      </c>
      <c r="AB646" s="10" t="s">
        <v>44</v>
      </c>
      <c r="AC646" s="8" t="s">
        <v>44</v>
      </c>
    </row>
    <row r="647" spans="1:29">
      <c r="A647" s="11">
        <v>640</v>
      </c>
      <c r="B647" s="11" t="s">
        <v>936</v>
      </c>
      <c r="C647" s="11" t="s">
        <v>847</v>
      </c>
      <c r="D647" s="11" t="s">
        <v>655</v>
      </c>
      <c r="E647" s="11" t="s">
        <v>34</v>
      </c>
      <c r="F647" s="11" t="s">
        <v>35</v>
      </c>
      <c r="G647" s="9" t="s">
        <v>52</v>
      </c>
      <c r="H647" s="9" t="s">
        <v>71</v>
      </c>
      <c r="I647" s="9" t="s">
        <v>71</v>
      </c>
      <c r="J647" s="11">
        <v>146</v>
      </c>
      <c r="K647" s="11" t="s">
        <v>385</v>
      </c>
      <c r="L647" s="11" t="s">
        <v>40</v>
      </c>
      <c r="M647" s="13">
        <v>2</v>
      </c>
      <c r="N647" s="16">
        <v>16000.0</v>
      </c>
      <c r="O647" s="16"/>
      <c r="P647" s="18">
        <f>IF(N647&gt;0, O647/N647, 0)</f>
        <v>0</v>
      </c>
      <c r="Q647" s="16">
        <f>N647-O647</f>
        <v>16000</v>
      </c>
      <c r="R647" s="16">
        <f>M647*N647</f>
        <v>32000</v>
      </c>
      <c r="S647" s="16">
        <f>M647*O647</f>
        <v>0</v>
      </c>
      <c r="T647" s="16">
        <f>M647*Q647</f>
        <v>32000</v>
      </c>
      <c r="U647" s="16"/>
      <c r="V647" s="16">
        <f>M647*U647</f>
        <v>0</v>
      </c>
      <c r="W647" s="16">
        <f>T647-V647</f>
        <v>32000</v>
      </c>
      <c r="X647" s="18">
        <f>IF(T647&gt;0, W647/T647, 0)</f>
        <v>1</v>
      </c>
      <c r="Y647" s="9" t="s">
        <v>41</v>
      </c>
      <c r="Z647" s="11" t="s">
        <v>42</v>
      </c>
      <c r="AA647" s="11" t="s">
        <v>43</v>
      </c>
      <c r="AB647" s="11" t="s">
        <v>44</v>
      </c>
      <c r="AC647" s="9" t="s">
        <v>44</v>
      </c>
    </row>
    <row r="648" spans="1:29">
      <c r="A648" s="10">
        <v>641</v>
      </c>
      <c r="B648" s="10" t="s">
        <v>937</v>
      </c>
      <c r="C648" s="10" t="s">
        <v>847</v>
      </c>
      <c r="D648" s="10" t="s">
        <v>655</v>
      </c>
      <c r="E648" s="10" t="s">
        <v>34</v>
      </c>
      <c r="F648" s="10" t="s">
        <v>35</v>
      </c>
      <c r="G648" s="8" t="s">
        <v>36</v>
      </c>
      <c r="H648" s="8" t="s">
        <v>47</v>
      </c>
      <c r="I648" s="8" t="s">
        <v>48</v>
      </c>
      <c r="J648" s="10">
        <v>164</v>
      </c>
      <c r="K648" s="10" t="s">
        <v>321</v>
      </c>
      <c r="L648" s="10" t="s">
        <v>40</v>
      </c>
      <c r="M648" s="12">
        <v>1</v>
      </c>
      <c r="N648" s="15">
        <v>18000.0</v>
      </c>
      <c r="O648" s="15"/>
      <c r="P648" s="17">
        <f>IF(N648&gt;0, O648/N648, 0)</f>
        <v>0</v>
      </c>
      <c r="Q648" s="15">
        <f>N648-O648</f>
        <v>18000</v>
      </c>
      <c r="R648" s="15">
        <f>M648*N648</f>
        <v>18000</v>
      </c>
      <c r="S648" s="15">
        <f>M648*O648</f>
        <v>0</v>
      </c>
      <c r="T648" s="15">
        <f>M648*Q648</f>
        <v>18000</v>
      </c>
      <c r="U648" s="15"/>
      <c r="V648" s="15">
        <f>M648*U648</f>
        <v>0</v>
      </c>
      <c r="W648" s="15">
        <f>T648-V648</f>
        <v>18000</v>
      </c>
      <c r="X648" s="17">
        <f>IF(T648&gt;0, W648/T648, 0)</f>
        <v>1</v>
      </c>
      <c r="Y648" s="8" t="s">
        <v>41</v>
      </c>
      <c r="Z648" s="10" t="s">
        <v>42</v>
      </c>
      <c r="AA648" s="10" t="s">
        <v>43</v>
      </c>
      <c r="AB648" s="10" t="s">
        <v>44</v>
      </c>
      <c r="AC648" s="8" t="s">
        <v>44</v>
      </c>
    </row>
    <row r="649" spans="1:29">
      <c r="A649" s="11">
        <v>642</v>
      </c>
      <c r="B649" s="11" t="s">
        <v>938</v>
      </c>
      <c r="C649" s="11" t="s">
        <v>847</v>
      </c>
      <c r="D649" s="11" t="s">
        <v>655</v>
      </c>
      <c r="E649" s="11" t="s">
        <v>34</v>
      </c>
      <c r="F649" s="11" t="s">
        <v>35</v>
      </c>
      <c r="G649" s="9" t="s">
        <v>36</v>
      </c>
      <c r="H649" s="9" t="s">
        <v>47</v>
      </c>
      <c r="I649" s="9" t="s">
        <v>48</v>
      </c>
      <c r="J649" s="11">
        <v>176</v>
      </c>
      <c r="K649" s="11" t="s">
        <v>427</v>
      </c>
      <c r="L649" s="11" t="s">
        <v>40</v>
      </c>
      <c r="M649" s="13">
        <v>1</v>
      </c>
      <c r="N649" s="16">
        <v>18000.0</v>
      </c>
      <c r="O649" s="16"/>
      <c r="P649" s="18">
        <f>IF(N649&gt;0, O649/N649, 0)</f>
        <v>0</v>
      </c>
      <c r="Q649" s="16">
        <f>N649-O649</f>
        <v>18000</v>
      </c>
      <c r="R649" s="16">
        <f>M649*N649</f>
        <v>18000</v>
      </c>
      <c r="S649" s="16">
        <f>M649*O649</f>
        <v>0</v>
      </c>
      <c r="T649" s="16">
        <f>M649*Q649</f>
        <v>18000</v>
      </c>
      <c r="U649" s="16"/>
      <c r="V649" s="16">
        <f>M649*U649</f>
        <v>0</v>
      </c>
      <c r="W649" s="16">
        <f>T649-V649</f>
        <v>18000</v>
      </c>
      <c r="X649" s="18">
        <f>IF(T649&gt;0, W649/T649, 0)</f>
        <v>1</v>
      </c>
      <c r="Y649" s="9" t="s">
        <v>41</v>
      </c>
      <c r="Z649" s="11" t="s">
        <v>42</v>
      </c>
      <c r="AA649" s="11" t="s">
        <v>43</v>
      </c>
      <c r="AB649" s="11" t="s">
        <v>44</v>
      </c>
      <c r="AC649" s="9" t="s">
        <v>44</v>
      </c>
    </row>
    <row r="650" spans="1:29">
      <c r="A650" s="10">
        <v>643</v>
      </c>
      <c r="B650" s="10" t="s">
        <v>939</v>
      </c>
      <c r="C650" s="10" t="s">
        <v>847</v>
      </c>
      <c r="D650" s="10" t="s">
        <v>655</v>
      </c>
      <c r="E650" s="10" t="s">
        <v>34</v>
      </c>
      <c r="F650" s="10" t="s">
        <v>35</v>
      </c>
      <c r="G650" s="8" t="s">
        <v>36</v>
      </c>
      <c r="H650" s="8" t="s">
        <v>65</v>
      </c>
      <c r="I650" s="8" t="s">
        <v>151</v>
      </c>
      <c r="J650" s="10">
        <v>176</v>
      </c>
      <c r="K650" s="10" t="s">
        <v>236</v>
      </c>
      <c r="L650" s="10" t="s">
        <v>40</v>
      </c>
      <c r="M650" s="12">
        <v>1</v>
      </c>
      <c r="N650" s="15">
        <v>9500.0</v>
      </c>
      <c r="O650" s="15"/>
      <c r="P650" s="17">
        <f>IF(N650&gt;0, O650/N650, 0)</f>
        <v>0</v>
      </c>
      <c r="Q650" s="15">
        <f>N650-O650</f>
        <v>9500</v>
      </c>
      <c r="R650" s="15">
        <f>M650*N650</f>
        <v>9500</v>
      </c>
      <c r="S650" s="15">
        <f>M650*O650</f>
        <v>0</v>
      </c>
      <c r="T650" s="15">
        <f>M650*Q650</f>
        <v>9500</v>
      </c>
      <c r="U650" s="15"/>
      <c r="V650" s="15">
        <f>M650*U650</f>
        <v>0</v>
      </c>
      <c r="W650" s="15">
        <f>T650-V650</f>
        <v>9500</v>
      </c>
      <c r="X650" s="17">
        <f>IF(T650&gt;0, W650/T650, 0)</f>
        <v>1</v>
      </c>
      <c r="Y650" s="8" t="s">
        <v>41</v>
      </c>
      <c r="Z650" s="10" t="s">
        <v>42</v>
      </c>
      <c r="AA650" s="10" t="s">
        <v>43</v>
      </c>
      <c r="AB650" s="10" t="s">
        <v>44</v>
      </c>
      <c r="AC650" s="8" t="s">
        <v>44</v>
      </c>
    </row>
    <row r="651" spans="1:29">
      <c r="A651" s="11">
        <v>644</v>
      </c>
      <c r="B651" s="11" t="s">
        <v>940</v>
      </c>
      <c r="C651" s="11" t="s">
        <v>847</v>
      </c>
      <c r="D651" s="11" t="s">
        <v>655</v>
      </c>
      <c r="E651" s="11" t="s">
        <v>34</v>
      </c>
      <c r="F651" s="11" t="s">
        <v>35</v>
      </c>
      <c r="G651" s="9" t="s">
        <v>36</v>
      </c>
      <c r="H651" s="9" t="s">
        <v>58</v>
      </c>
      <c r="I651" s="9" t="s">
        <v>58</v>
      </c>
      <c r="J651" s="11">
        <v>176</v>
      </c>
      <c r="K651" s="11" t="s">
        <v>668</v>
      </c>
      <c r="L651" s="11" t="s">
        <v>40</v>
      </c>
      <c r="M651" s="13">
        <v>1</v>
      </c>
      <c r="N651" s="16">
        <v>7500.0</v>
      </c>
      <c r="O651" s="16"/>
      <c r="P651" s="18">
        <f>IF(N651&gt;0, O651/N651, 0)</f>
        <v>0</v>
      </c>
      <c r="Q651" s="16">
        <f>N651-O651</f>
        <v>7500</v>
      </c>
      <c r="R651" s="16">
        <f>M651*N651</f>
        <v>7500</v>
      </c>
      <c r="S651" s="16">
        <f>M651*O651</f>
        <v>0</v>
      </c>
      <c r="T651" s="16">
        <f>M651*Q651</f>
        <v>7500</v>
      </c>
      <c r="U651" s="16"/>
      <c r="V651" s="16">
        <f>M651*U651</f>
        <v>0</v>
      </c>
      <c r="W651" s="16">
        <f>T651-V651</f>
        <v>7500</v>
      </c>
      <c r="X651" s="18">
        <f>IF(T651&gt;0, W651/T651, 0)</f>
        <v>1</v>
      </c>
      <c r="Y651" s="9" t="s">
        <v>41</v>
      </c>
      <c r="Z651" s="11" t="s">
        <v>42</v>
      </c>
      <c r="AA651" s="11" t="s">
        <v>43</v>
      </c>
      <c r="AB651" s="11" t="s">
        <v>44</v>
      </c>
      <c r="AC651" s="9" t="s">
        <v>44</v>
      </c>
    </row>
    <row r="652" spans="1:29">
      <c r="A652" s="10">
        <v>645</v>
      </c>
      <c r="B652" s="10" t="s">
        <v>941</v>
      </c>
      <c r="C652" s="10" t="s">
        <v>847</v>
      </c>
      <c r="D652" s="10" t="s">
        <v>655</v>
      </c>
      <c r="E652" s="10" t="s">
        <v>34</v>
      </c>
      <c r="F652" s="10" t="s">
        <v>35</v>
      </c>
      <c r="G652" s="8" t="s">
        <v>36</v>
      </c>
      <c r="H652" s="8" t="s">
        <v>53</v>
      </c>
      <c r="I652" s="8" t="s">
        <v>53</v>
      </c>
      <c r="J652" s="10">
        <v>176</v>
      </c>
      <c r="K652" s="10" t="s">
        <v>421</v>
      </c>
      <c r="L652" s="10" t="s">
        <v>40</v>
      </c>
      <c r="M652" s="12">
        <v>1</v>
      </c>
      <c r="N652" s="15">
        <v>8500.0</v>
      </c>
      <c r="O652" s="15"/>
      <c r="P652" s="17">
        <f>IF(N652&gt;0, O652/N652, 0)</f>
        <v>0</v>
      </c>
      <c r="Q652" s="15">
        <f>N652-O652</f>
        <v>8500</v>
      </c>
      <c r="R652" s="15">
        <f>M652*N652</f>
        <v>8500</v>
      </c>
      <c r="S652" s="15">
        <f>M652*O652</f>
        <v>0</v>
      </c>
      <c r="T652" s="15">
        <f>M652*Q652</f>
        <v>8500</v>
      </c>
      <c r="U652" s="15"/>
      <c r="V652" s="15">
        <f>M652*U652</f>
        <v>0</v>
      </c>
      <c r="W652" s="15">
        <f>T652-V652</f>
        <v>8500</v>
      </c>
      <c r="X652" s="17">
        <f>IF(T652&gt;0, W652/T652, 0)</f>
        <v>1</v>
      </c>
      <c r="Y652" s="8" t="s">
        <v>41</v>
      </c>
      <c r="Z652" s="10" t="s">
        <v>42</v>
      </c>
      <c r="AA652" s="10" t="s">
        <v>43</v>
      </c>
      <c r="AB652" s="10" t="s">
        <v>44</v>
      </c>
      <c r="AC652" s="8" t="s">
        <v>44</v>
      </c>
    </row>
    <row r="653" spans="1:29">
      <c r="A653" s="11">
        <v>646</v>
      </c>
      <c r="B653" s="11" t="s">
        <v>942</v>
      </c>
      <c r="C653" s="11" t="s">
        <v>847</v>
      </c>
      <c r="D653" s="11" t="s">
        <v>655</v>
      </c>
      <c r="E653" s="11" t="s">
        <v>34</v>
      </c>
      <c r="F653" s="11" t="s">
        <v>35</v>
      </c>
      <c r="G653" s="9" t="s">
        <v>36</v>
      </c>
      <c r="H653" s="9" t="s">
        <v>37</v>
      </c>
      <c r="I653" s="9" t="s">
        <v>75</v>
      </c>
      <c r="J653" s="11">
        <v>176</v>
      </c>
      <c r="K653" s="11" t="s">
        <v>423</v>
      </c>
      <c r="L653" s="11" t="s">
        <v>40</v>
      </c>
      <c r="M653" s="13">
        <v>1</v>
      </c>
      <c r="N653" s="16">
        <v>9000.0</v>
      </c>
      <c r="O653" s="16"/>
      <c r="P653" s="18">
        <f>IF(N653&gt;0, O653/N653, 0)</f>
        <v>0</v>
      </c>
      <c r="Q653" s="16">
        <f>N653-O653</f>
        <v>9000</v>
      </c>
      <c r="R653" s="16">
        <f>M653*N653</f>
        <v>9000</v>
      </c>
      <c r="S653" s="16">
        <f>M653*O653</f>
        <v>0</v>
      </c>
      <c r="T653" s="16">
        <f>M653*Q653</f>
        <v>9000</v>
      </c>
      <c r="U653" s="16"/>
      <c r="V653" s="16">
        <f>M653*U653</f>
        <v>0</v>
      </c>
      <c r="W653" s="16">
        <f>T653-V653</f>
        <v>9000</v>
      </c>
      <c r="X653" s="18">
        <f>IF(T653&gt;0, W653/T653, 0)</f>
        <v>1</v>
      </c>
      <c r="Y653" s="9" t="s">
        <v>41</v>
      </c>
      <c r="Z653" s="11" t="s">
        <v>42</v>
      </c>
      <c r="AA653" s="11" t="s">
        <v>43</v>
      </c>
      <c r="AB653" s="11" t="s">
        <v>44</v>
      </c>
      <c r="AC653" s="9" t="s">
        <v>44</v>
      </c>
    </row>
    <row r="654" spans="1:29">
      <c r="A654" s="10">
        <v>647</v>
      </c>
      <c r="B654" s="10" t="s">
        <v>943</v>
      </c>
      <c r="C654" s="10" t="s">
        <v>847</v>
      </c>
      <c r="D654" s="10" t="s">
        <v>655</v>
      </c>
      <c r="E654" s="10" t="s">
        <v>34</v>
      </c>
      <c r="F654" s="10" t="s">
        <v>35</v>
      </c>
      <c r="G654" s="8" t="s">
        <v>36</v>
      </c>
      <c r="H654" s="8" t="s">
        <v>37</v>
      </c>
      <c r="I654" s="8" t="s">
        <v>38</v>
      </c>
      <c r="J654" s="10">
        <v>176</v>
      </c>
      <c r="K654" s="10" t="s">
        <v>355</v>
      </c>
      <c r="L654" s="10" t="s">
        <v>40</v>
      </c>
      <c r="M654" s="12">
        <v>1</v>
      </c>
      <c r="N654" s="15">
        <v>8000.0</v>
      </c>
      <c r="O654" s="15"/>
      <c r="P654" s="17">
        <f>IF(N654&gt;0, O654/N654, 0)</f>
        <v>0</v>
      </c>
      <c r="Q654" s="15">
        <f>N654-O654</f>
        <v>8000</v>
      </c>
      <c r="R654" s="15">
        <f>M654*N654</f>
        <v>8000</v>
      </c>
      <c r="S654" s="15">
        <f>M654*O654</f>
        <v>0</v>
      </c>
      <c r="T654" s="15">
        <f>M654*Q654</f>
        <v>8000</v>
      </c>
      <c r="U654" s="15"/>
      <c r="V654" s="15">
        <f>M654*U654</f>
        <v>0</v>
      </c>
      <c r="W654" s="15">
        <f>T654-V654</f>
        <v>8000</v>
      </c>
      <c r="X654" s="17">
        <f>IF(T654&gt;0, W654/T654, 0)</f>
        <v>1</v>
      </c>
      <c r="Y654" s="8" t="s">
        <v>41</v>
      </c>
      <c r="Z654" s="10" t="s">
        <v>42</v>
      </c>
      <c r="AA654" s="10" t="s">
        <v>43</v>
      </c>
      <c r="AB654" s="10" t="s">
        <v>44</v>
      </c>
      <c r="AC654" s="8" t="s">
        <v>44</v>
      </c>
    </row>
    <row r="655" spans="1:29">
      <c r="A655" s="11">
        <v>648</v>
      </c>
      <c r="B655" s="11" t="s">
        <v>944</v>
      </c>
      <c r="C655" s="11" t="s">
        <v>847</v>
      </c>
      <c r="D655" s="11" t="s">
        <v>655</v>
      </c>
      <c r="E655" s="11" t="s">
        <v>70</v>
      </c>
      <c r="F655" s="11" t="s">
        <v>35</v>
      </c>
      <c r="G655" s="9" t="s">
        <v>36</v>
      </c>
      <c r="H655" s="9" t="s">
        <v>37</v>
      </c>
      <c r="I655" s="9" t="s">
        <v>38</v>
      </c>
      <c r="J655" s="11">
        <v>164</v>
      </c>
      <c r="K655" s="11" t="s">
        <v>79</v>
      </c>
      <c r="L655" s="11" t="s">
        <v>40</v>
      </c>
      <c r="M655" s="13">
        <v>4</v>
      </c>
      <c r="N655" s="16">
        <v>10000.0</v>
      </c>
      <c r="O655" s="16"/>
      <c r="P655" s="18">
        <f>IF(N655&gt;0, O655/N655, 0)</f>
        <v>0</v>
      </c>
      <c r="Q655" s="16">
        <f>N655-O655</f>
        <v>10000</v>
      </c>
      <c r="R655" s="16">
        <f>M655*N655</f>
        <v>40000</v>
      </c>
      <c r="S655" s="16">
        <f>M655*O655</f>
        <v>0</v>
      </c>
      <c r="T655" s="16">
        <f>M655*Q655</f>
        <v>40000</v>
      </c>
      <c r="U655" s="16"/>
      <c r="V655" s="16">
        <f>M655*U655</f>
        <v>0</v>
      </c>
      <c r="W655" s="16">
        <f>T655-V655</f>
        <v>40000</v>
      </c>
      <c r="X655" s="18">
        <f>IF(T655&gt;0, W655/T655, 0)</f>
        <v>1</v>
      </c>
      <c r="Y655" s="9" t="s">
        <v>41</v>
      </c>
      <c r="Z655" s="11" t="s">
        <v>42</v>
      </c>
      <c r="AA655" s="11" t="s">
        <v>73</v>
      </c>
      <c r="AB655" s="11" t="s">
        <v>44</v>
      </c>
      <c r="AC655" s="9" t="s">
        <v>44</v>
      </c>
    </row>
    <row r="656" spans="1:29">
      <c r="A656" s="10">
        <v>649</v>
      </c>
      <c r="B656" s="10" t="s">
        <v>945</v>
      </c>
      <c r="C656" s="10" t="s">
        <v>847</v>
      </c>
      <c r="D656" s="10" t="s">
        <v>655</v>
      </c>
      <c r="E656" s="10" t="s">
        <v>70</v>
      </c>
      <c r="F656" s="10" t="s">
        <v>35</v>
      </c>
      <c r="G656" s="8" t="s">
        <v>36</v>
      </c>
      <c r="H656" s="8" t="s">
        <v>71</v>
      </c>
      <c r="I656" s="8" t="s">
        <v>71</v>
      </c>
      <c r="J656" s="10">
        <v>164</v>
      </c>
      <c r="K656" s="10" t="s">
        <v>72</v>
      </c>
      <c r="L656" s="10" t="s">
        <v>40</v>
      </c>
      <c r="M656" s="12">
        <v>1</v>
      </c>
      <c r="N656" s="15">
        <v>18000.0</v>
      </c>
      <c r="O656" s="15"/>
      <c r="P656" s="17">
        <f>IF(N656&gt;0, O656/N656, 0)</f>
        <v>0</v>
      </c>
      <c r="Q656" s="15">
        <f>N656-O656</f>
        <v>18000</v>
      </c>
      <c r="R656" s="15">
        <f>M656*N656</f>
        <v>18000</v>
      </c>
      <c r="S656" s="15">
        <f>M656*O656</f>
        <v>0</v>
      </c>
      <c r="T656" s="15">
        <f>M656*Q656</f>
        <v>18000</v>
      </c>
      <c r="U656" s="15"/>
      <c r="V656" s="15">
        <f>M656*U656</f>
        <v>0</v>
      </c>
      <c r="W656" s="15">
        <f>T656-V656</f>
        <v>18000</v>
      </c>
      <c r="X656" s="17">
        <f>IF(T656&gt;0, W656/T656, 0)</f>
        <v>1</v>
      </c>
      <c r="Y656" s="8" t="s">
        <v>41</v>
      </c>
      <c r="Z656" s="10" t="s">
        <v>42</v>
      </c>
      <c r="AA656" s="10" t="s">
        <v>73</v>
      </c>
      <c r="AB656" s="10" t="s">
        <v>44</v>
      </c>
      <c r="AC656" s="8" t="s">
        <v>44</v>
      </c>
    </row>
    <row r="657" spans="1:29">
      <c r="A657" s="11">
        <v>650</v>
      </c>
      <c r="B657" s="11" t="s">
        <v>946</v>
      </c>
      <c r="C657" s="11" t="s">
        <v>847</v>
      </c>
      <c r="D657" s="11" t="s">
        <v>655</v>
      </c>
      <c r="E657" s="11" t="s">
        <v>34</v>
      </c>
      <c r="F657" s="11" t="s">
        <v>35</v>
      </c>
      <c r="G657" s="9" t="s">
        <v>36</v>
      </c>
      <c r="H657" s="9" t="s">
        <v>37</v>
      </c>
      <c r="I657" s="9" t="s">
        <v>38</v>
      </c>
      <c r="J657" s="11">
        <v>170</v>
      </c>
      <c r="K657" s="11" t="s">
        <v>145</v>
      </c>
      <c r="L657" s="11" t="s">
        <v>40</v>
      </c>
      <c r="M657" s="13">
        <v>1</v>
      </c>
      <c r="N657" s="16">
        <v>8000.0</v>
      </c>
      <c r="O657" s="16"/>
      <c r="P657" s="18">
        <f>IF(N657&gt;0, O657/N657, 0)</f>
        <v>0</v>
      </c>
      <c r="Q657" s="16">
        <f>N657-O657</f>
        <v>8000</v>
      </c>
      <c r="R657" s="16">
        <f>M657*N657</f>
        <v>8000</v>
      </c>
      <c r="S657" s="16">
        <f>M657*O657</f>
        <v>0</v>
      </c>
      <c r="T657" s="16">
        <f>M657*Q657</f>
        <v>8000</v>
      </c>
      <c r="U657" s="16"/>
      <c r="V657" s="16">
        <f>M657*U657</f>
        <v>0</v>
      </c>
      <c r="W657" s="16">
        <f>T657-V657</f>
        <v>8000</v>
      </c>
      <c r="X657" s="18">
        <f>IF(T657&gt;0, W657/T657, 0)</f>
        <v>1</v>
      </c>
      <c r="Y657" s="9" t="s">
        <v>41</v>
      </c>
      <c r="Z657" s="11" t="s">
        <v>42</v>
      </c>
      <c r="AA657" s="11" t="s">
        <v>43</v>
      </c>
      <c r="AB657" s="11" t="s">
        <v>44</v>
      </c>
      <c r="AC657" s="9" t="s">
        <v>44</v>
      </c>
    </row>
    <row r="658" spans="1:29">
      <c r="A658" s="10">
        <v>651</v>
      </c>
      <c r="B658" s="10" t="s">
        <v>947</v>
      </c>
      <c r="C658" s="10" t="s">
        <v>847</v>
      </c>
      <c r="D658" s="10" t="s">
        <v>655</v>
      </c>
      <c r="E658" s="10" t="s">
        <v>34</v>
      </c>
      <c r="F658" s="10" t="s">
        <v>35</v>
      </c>
      <c r="G658" s="8" t="s">
        <v>36</v>
      </c>
      <c r="H658" s="8" t="s">
        <v>47</v>
      </c>
      <c r="I658" s="8" t="s">
        <v>48</v>
      </c>
      <c r="J658" s="10">
        <v>164</v>
      </c>
      <c r="K658" s="10" t="s">
        <v>321</v>
      </c>
      <c r="L658" s="10" t="s">
        <v>40</v>
      </c>
      <c r="M658" s="12">
        <v>1</v>
      </c>
      <c r="N658" s="15">
        <v>18000.0</v>
      </c>
      <c r="O658" s="15"/>
      <c r="P658" s="17">
        <f>IF(N658&gt;0, O658/N658, 0)</f>
        <v>0</v>
      </c>
      <c r="Q658" s="15">
        <f>N658-O658</f>
        <v>18000</v>
      </c>
      <c r="R658" s="15">
        <f>M658*N658</f>
        <v>18000</v>
      </c>
      <c r="S658" s="15">
        <f>M658*O658</f>
        <v>0</v>
      </c>
      <c r="T658" s="15">
        <f>M658*Q658</f>
        <v>18000</v>
      </c>
      <c r="U658" s="15"/>
      <c r="V658" s="15">
        <f>M658*U658</f>
        <v>0</v>
      </c>
      <c r="W658" s="15">
        <f>T658-V658</f>
        <v>18000</v>
      </c>
      <c r="X658" s="17">
        <f>IF(T658&gt;0, W658/T658, 0)</f>
        <v>1</v>
      </c>
      <c r="Y658" s="8" t="s">
        <v>41</v>
      </c>
      <c r="Z658" s="10" t="s">
        <v>42</v>
      </c>
      <c r="AA658" s="10" t="s">
        <v>43</v>
      </c>
      <c r="AB658" s="10" t="s">
        <v>44</v>
      </c>
      <c r="AC658" s="8" t="s">
        <v>44</v>
      </c>
    </row>
    <row r="659" spans="1:29">
      <c r="A659" s="11">
        <v>652</v>
      </c>
      <c r="B659" s="11" t="s">
        <v>948</v>
      </c>
      <c r="C659" s="11" t="s">
        <v>847</v>
      </c>
      <c r="D659" s="11" t="s">
        <v>655</v>
      </c>
      <c r="E659" s="11" t="s">
        <v>70</v>
      </c>
      <c r="F659" s="11" t="s">
        <v>35</v>
      </c>
      <c r="G659" s="9" t="s">
        <v>52</v>
      </c>
      <c r="H659" s="9" t="s">
        <v>58</v>
      </c>
      <c r="I659" s="9" t="s">
        <v>58</v>
      </c>
      <c r="J659" s="11">
        <v>146</v>
      </c>
      <c r="K659" s="11" t="s">
        <v>755</v>
      </c>
      <c r="L659" s="11" t="s">
        <v>40</v>
      </c>
      <c r="M659" s="13">
        <v>1</v>
      </c>
      <c r="N659" s="16">
        <v>8000.0</v>
      </c>
      <c r="O659" s="16"/>
      <c r="P659" s="18">
        <f>IF(N659&gt;0, O659/N659, 0)</f>
        <v>0</v>
      </c>
      <c r="Q659" s="16">
        <f>N659-O659</f>
        <v>8000</v>
      </c>
      <c r="R659" s="16">
        <f>M659*N659</f>
        <v>8000</v>
      </c>
      <c r="S659" s="16">
        <f>M659*O659</f>
        <v>0</v>
      </c>
      <c r="T659" s="16">
        <f>M659*Q659</f>
        <v>8000</v>
      </c>
      <c r="U659" s="16"/>
      <c r="V659" s="16">
        <f>M659*U659</f>
        <v>0</v>
      </c>
      <c r="W659" s="16">
        <f>T659-V659</f>
        <v>8000</v>
      </c>
      <c r="X659" s="18">
        <f>IF(T659&gt;0, W659/T659, 0)</f>
        <v>1</v>
      </c>
      <c r="Y659" s="9" t="s">
        <v>41</v>
      </c>
      <c r="Z659" s="11" t="s">
        <v>42</v>
      </c>
      <c r="AA659" s="11" t="s">
        <v>73</v>
      </c>
      <c r="AB659" s="11" t="s">
        <v>44</v>
      </c>
      <c r="AC659" s="9" t="s">
        <v>44</v>
      </c>
    </row>
    <row r="660" spans="1:29">
      <c r="A660" s="10">
        <v>653</v>
      </c>
      <c r="B660" s="10" t="s">
        <v>949</v>
      </c>
      <c r="C660" s="10" t="s">
        <v>847</v>
      </c>
      <c r="D660" s="10" t="s">
        <v>655</v>
      </c>
      <c r="E660" s="10" t="s">
        <v>70</v>
      </c>
      <c r="F660" s="10" t="s">
        <v>35</v>
      </c>
      <c r="G660" s="8" t="s">
        <v>52</v>
      </c>
      <c r="H660" s="8" t="s">
        <v>58</v>
      </c>
      <c r="I660" s="8" t="s">
        <v>58</v>
      </c>
      <c r="J660" s="10">
        <v>122</v>
      </c>
      <c r="K660" s="10" t="s">
        <v>115</v>
      </c>
      <c r="L660" s="10" t="s">
        <v>40</v>
      </c>
      <c r="M660" s="12">
        <v>1</v>
      </c>
      <c r="N660" s="15">
        <v>8000.0</v>
      </c>
      <c r="O660" s="15"/>
      <c r="P660" s="17">
        <f>IF(N660&gt;0, O660/N660, 0)</f>
        <v>0</v>
      </c>
      <c r="Q660" s="15">
        <f>N660-O660</f>
        <v>8000</v>
      </c>
      <c r="R660" s="15">
        <f>M660*N660</f>
        <v>8000</v>
      </c>
      <c r="S660" s="15">
        <f>M660*O660</f>
        <v>0</v>
      </c>
      <c r="T660" s="15">
        <f>M660*Q660</f>
        <v>8000</v>
      </c>
      <c r="U660" s="15"/>
      <c r="V660" s="15">
        <f>M660*U660</f>
        <v>0</v>
      </c>
      <c r="W660" s="15">
        <f>T660-V660</f>
        <v>8000</v>
      </c>
      <c r="X660" s="17">
        <f>IF(T660&gt;0, W660/T660, 0)</f>
        <v>1</v>
      </c>
      <c r="Y660" s="8" t="s">
        <v>41</v>
      </c>
      <c r="Z660" s="10" t="s">
        <v>42</v>
      </c>
      <c r="AA660" s="10" t="s">
        <v>73</v>
      </c>
      <c r="AB660" s="10" t="s">
        <v>44</v>
      </c>
      <c r="AC660" s="8" t="s">
        <v>44</v>
      </c>
    </row>
    <row r="661" spans="1:29">
      <c r="A661" s="11">
        <v>654</v>
      </c>
      <c r="B661" s="11" t="s">
        <v>950</v>
      </c>
      <c r="C661" s="11" t="s">
        <v>847</v>
      </c>
      <c r="D661" s="11" t="s">
        <v>655</v>
      </c>
      <c r="E661" s="11" t="s">
        <v>70</v>
      </c>
      <c r="F661" s="11" t="s">
        <v>35</v>
      </c>
      <c r="G661" s="9" t="s">
        <v>52</v>
      </c>
      <c r="H661" s="9" t="s">
        <v>65</v>
      </c>
      <c r="I661" s="9" t="s">
        <v>151</v>
      </c>
      <c r="J661" s="11">
        <v>146</v>
      </c>
      <c r="K661" s="11" t="s">
        <v>170</v>
      </c>
      <c r="L661" s="11" t="s">
        <v>40</v>
      </c>
      <c r="M661" s="13">
        <v>1</v>
      </c>
      <c r="N661" s="16">
        <v>10000.0</v>
      </c>
      <c r="O661" s="16"/>
      <c r="P661" s="18">
        <f>IF(N661&gt;0, O661/N661, 0)</f>
        <v>0</v>
      </c>
      <c r="Q661" s="16">
        <f>N661-O661</f>
        <v>10000</v>
      </c>
      <c r="R661" s="16">
        <f>M661*N661</f>
        <v>10000</v>
      </c>
      <c r="S661" s="16">
        <f>M661*O661</f>
        <v>0</v>
      </c>
      <c r="T661" s="16">
        <f>M661*Q661</f>
        <v>10000</v>
      </c>
      <c r="U661" s="16"/>
      <c r="V661" s="16">
        <f>M661*U661</f>
        <v>0</v>
      </c>
      <c r="W661" s="16">
        <f>T661-V661</f>
        <v>10000</v>
      </c>
      <c r="X661" s="18">
        <f>IF(T661&gt;0, W661/T661, 0)</f>
        <v>1</v>
      </c>
      <c r="Y661" s="9" t="s">
        <v>41</v>
      </c>
      <c r="Z661" s="11" t="s">
        <v>42</v>
      </c>
      <c r="AA661" s="11" t="s">
        <v>73</v>
      </c>
      <c r="AB661" s="11" t="s">
        <v>44</v>
      </c>
      <c r="AC661" s="9" t="s">
        <v>44</v>
      </c>
    </row>
    <row r="662" spans="1:29">
      <c r="A662" s="10">
        <v>655</v>
      </c>
      <c r="B662" s="10" t="s">
        <v>951</v>
      </c>
      <c r="C662" s="10" t="s">
        <v>847</v>
      </c>
      <c r="D662" s="10" t="s">
        <v>655</v>
      </c>
      <c r="E662" s="10" t="s">
        <v>34</v>
      </c>
      <c r="F662" s="10" t="s">
        <v>35</v>
      </c>
      <c r="G662" s="8" t="s">
        <v>52</v>
      </c>
      <c r="H662" s="8" t="s">
        <v>65</v>
      </c>
      <c r="I662" s="8" t="s">
        <v>151</v>
      </c>
      <c r="J662" s="10">
        <v>122</v>
      </c>
      <c r="K662" s="10" t="s">
        <v>244</v>
      </c>
      <c r="L662" s="10" t="s">
        <v>40</v>
      </c>
      <c r="M662" s="12">
        <v>1</v>
      </c>
      <c r="N662" s="15">
        <v>9000.0</v>
      </c>
      <c r="O662" s="15"/>
      <c r="P662" s="17">
        <f>IF(N662&gt;0, O662/N662, 0)</f>
        <v>0</v>
      </c>
      <c r="Q662" s="15">
        <f>N662-O662</f>
        <v>9000</v>
      </c>
      <c r="R662" s="15">
        <f>M662*N662</f>
        <v>9000</v>
      </c>
      <c r="S662" s="15">
        <f>M662*O662</f>
        <v>0</v>
      </c>
      <c r="T662" s="15">
        <f>M662*Q662</f>
        <v>9000</v>
      </c>
      <c r="U662" s="15"/>
      <c r="V662" s="15">
        <f>M662*U662</f>
        <v>0</v>
      </c>
      <c r="W662" s="15">
        <f>T662-V662</f>
        <v>9000</v>
      </c>
      <c r="X662" s="17">
        <f>IF(T662&gt;0, W662/T662, 0)</f>
        <v>1</v>
      </c>
      <c r="Y662" s="8" t="s">
        <v>41</v>
      </c>
      <c r="Z662" s="10" t="s">
        <v>42</v>
      </c>
      <c r="AA662" s="10" t="s">
        <v>43</v>
      </c>
      <c r="AB662" s="10" t="s">
        <v>44</v>
      </c>
      <c r="AC662" s="8" t="s">
        <v>44</v>
      </c>
    </row>
    <row r="663" spans="1:29">
      <c r="A663" s="11">
        <v>656</v>
      </c>
      <c r="B663" s="11" t="s">
        <v>952</v>
      </c>
      <c r="C663" s="11" t="s">
        <v>847</v>
      </c>
      <c r="D663" s="11" t="s">
        <v>655</v>
      </c>
      <c r="E663" s="11" t="s">
        <v>34</v>
      </c>
      <c r="F663" s="11" t="s">
        <v>35</v>
      </c>
      <c r="G663" s="9" t="s">
        <v>52</v>
      </c>
      <c r="H663" s="9" t="s">
        <v>37</v>
      </c>
      <c r="I663" s="9" t="s">
        <v>75</v>
      </c>
      <c r="J663" s="11">
        <v>146</v>
      </c>
      <c r="K663" s="11" t="s">
        <v>343</v>
      </c>
      <c r="L663" s="11" t="s">
        <v>55</v>
      </c>
      <c r="M663" s="13">
        <v>1</v>
      </c>
      <c r="N663" s="16">
        <v>8000.0</v>
      </c>
      <c r="O663" s="16"/>
      <c r="P663" s="18">
        <f>IF(N663&gt;0, O663/N663, 0)</f>
        <v>0</v>
      </c>
      <c r="Q663" s="16">
        <f>N663-O663</f>
        <v>8000</v>
      </c>
      <c r="R663" s="16">
        <f>M663*N663</f>
        <v>8000</v>
      </c>
      <c r="S663" s="16">
        <f>M663*O663</f>
        <v>0</v>
      </c>
      <c r="T663" s="16">
        <f>M663*Q663</f>
        <v>8000</v>
      </c>
      <c r="U663" s="16"/>
      <c r="V663" s="16">
        <f>M663*U663</f>
        <v>0</v>
      </c>
      <c r="W663" s="16">
        <f>T663-V663</f>
        <v>8000</v>
      </c>
      <c r="X663" s="18">
        <f>IF(T663&gt;0, W663/T663, 0)</f>
        <v>1</v>
      </c>
      <c r="Y663" s="9" t="s">
        <v>41</v>
      </c>
      <c r="Z663" s="11" t="s">
        <v>42</v>
      </c>
      <c r="AA663" s="11" t="s">
        <v>43</v>
      </c>
      <c r="AB663" s="11" t="s">
        <v>44</v>
      </c>
      <c r="AC663" s="9" t="s">
        <v>44</v>
      </c>
    </row>
    <row r="664" spans="1:29">
      <c r="A664" s="10">
        <v>657</v>
      </c>
      <c r="B664" s="10" t="s">
        <v>953</v>
      </c>
      <c r="C664" s="10" t="s">
        <v>847</v>
      </c>
      <c r="D664" s="10" t="s">
        <v>655</v>
      </c>
      <c r="E664" s="10" t="s">
        <v>34</v>
      </c>
      <c r="F664" s="10" t="s">
        <v>35</v>
      </c>
      <c r="G664" s="8" t="s">
        <v>52</v>
      </c>
      <c r="H664" s="8" t="s">
        <v>37</v>
      </c>
      <c r="I664" s="8" t="s">
        <v>75</v>
      </c>
      <c r="J664" s="10">
        <v>128</v>
      </c>
      <c r="K664" s="10" t="s">
        <v>188</v>
      </c>
      <c r="L664" s="10" t="s">
        <v>55</v>
      </c>
      <c r="M664" s="12">
        <v>1</v>
      </c>
      <c r="N664" s="15">
        <v>8000.0</v>
      </c>
      <c r="O664" s="15"/>
      <c r="P664" s="17">
        <f>IF(N664&gt;0, O664/N664, 0)</f>
        <v>0</v>
      </c>
      <c r="Q664" s="15">
        <f>N664-O664</f>
        <v>8000</v>
      </c>
      <c r="R664" s="15">
        <f>M664*N664</f>
        <v>8000</v>
      </c>
      <c r="S664" s="15">
        <f>M664*O664</f>
        <v>0</v>
      </c>
      <c r="T664" s="15">
        <f>M664*Q664</f>
        <v>8000</v>
      </c>
      <c r="U664" s="15"/>
      <c r="V664" s="15">
        <f>M664*U664</f>
        <v>0</v>
      </c>
      <c r="W664" s="15">
        <f>T664-V664</f>
        <v>8000</v>
      </c>
      <c r="X664" s="17">
        <f>IF(T664&gt;0, W664/T664, 0)</f>
        <v>1</v>
      </c>
      <c r="Y664" s="8" t="s">
        <v>41</v>
      </c>
      <c r="Z664" s="10" t="s">
        <v>42</v>
      </c>
      <c r="AA664" s="10" t="s">
        <v>43</v>
      </c>
      <c r="AB664" s="10" t="s">
        <v>44</v>
      </c>
      <c r="AC664" s="8" t="s">
        <v>44</v>
      </c>
    </row>
    <row r="665" spans="1:29">
      <c r="A665" s="11">
        <v>658</v>
      </c>
      <c r="B665" s="11" t="s">
        <v>954</v>
      </c>
      <c r="C665" s="11" t="s">
        <v>847</v>
      </c>
      <c r="D665" s="11" t="s">
        <v>655</v>
      </c>
      <c r="E665" s="11" t="s">
        <v>34</v>
      </c>
      <c r="F665" s="11" t="s">
        <v>35</v>
      </c>
      <c r="G665" s="9" t="s">
        <v>52</v>
      </c>
      <c r="H665" s="9" t="s">
        <v>37</v>
      </c>
      <c r="I665" s="9" t="s">
        <v>38</v>
      </c>
      <c r="J665" s="11">
        <v>152</v>
      </c>
      <c r="K665" s="11" t="s">
        <v>154</v>
      </c>
      <c r="L665" s="11" t="s">
        <v>55</v>
      </c>
      <c r="M665" s="13">
        <v>2</v>
      </c>
      <c r="N665" s="16">
        <v>7000.0</v>
      </c>
      <c r="O665" s="16"/>
      <c r="P665" s="18">
        <f>IF(N665&gt;0, O665/N665, 0)</f>
        <v>0</v>
      </c>
      <c r="Q665" s="16">
        <f>N665-O665</f>
        <v>7000</v>
      </c>
      <c r="R665" s="16">
        <f>M665*N665</f>
        <v>14000</v>
      </c>
      <c r="S665" s="16">
        <f>M665*O665</f>
        <v>0</v>
      </c>
      <c r="T665" s="16">
        <f>M665*Q665</f>
        <v>14000</v>
      </c>
      <c r="U665" s="16"/>
      <c r="V665" s="16">
        <f>M665*U665</f>
        <v>0</v>
      </c>
      <c r="W665" s="16">
        <f>T665-V665</f>
        <v>14000</v>
      </c>
      <c r="X665" s="18">
        <f>IF(T665&gt;0, W665/T665, 0)</f>
        <v>1</v>
      </c>
      <c r="Y665" s="9" t="s">
        <v>41</v>
      </c>
      <c r="Z665" s="11" t="s">
        <v>42</v>
      </c>
      <c r="AA665" s="11" t="s">
        <v>43</v>
      </c>
      <c r="AB665" s="11" t="s">
        <v>44</v>
      </c>
      <c r="AC665" s="9" t="s">
        <v>44</v>
      </c>
    </row>
    <row r="666" spans="1:29">
      <c r="A666" s="10">
        <v>659</v>
      </c>
      <c r="B666" s="10" t="s">
        <v>955</v>
      </c>
      <c r="C666" s="10" t="s">
        <v>847</v>
      </c>
      <c r="D666" s="10" t="s">
        <v>655</v>
      </c>
      <c r="E666" s="10" t="s">
        <v>34</v>
      </c>
      <c r="F666" s="10" t="s">
        <v>35</v>
      </c>
      <c r="G666" s="8" t="s">
        <v>52</v>
      </c>
      <c r="H666" s="8" t="s">
        <v>37</v>
      </c>
      <c r="I666" s="8" t="s">
        <v>38</v>
      </c>
      <c r="J666" s="10">
        <v>134</v>
      </c>
      <c r="K666" s="10" t="s">
        <v>180</v>
      </c>
      <c r="L666" s="10" t="s">
        <v>55</v>
      </c>
      <c r="M666" s="12">
        <v>2</v>
      </c>
      <c r="N666" s="15">
        <v>7000.0</v>
      </c>
      <c r="O666" s="15"/>
      <c r="P666" s="17">
        <f>IF(N666&gt;0, O666/N666, 0)</f>
        <v>0</v>
      </c>
      <c r="Q666" s="15">
        <f>N666-O666</f>
        <v>7000</v>
      </c>
      <c r="R666" s="15">
        <f>M666*N666</f>
        <v>14000</v>
      </c>
      <c r="S666" s="15">
        <f>M666*O666</f>
        <v>0</v>
      </c>
      <c r="T666" s="15">
        <f>M666*Q666</f>
        <v>14000</v>
      </c>
      <c r="U666" s="15"/>
      <c r="V666" s="15">
        <f>M666*U666</f>
        <v>0</v>
      </c>
      <c r="W666" s="15">
        <f>T666-V666</f>
        <v>14000</v>
      </c>
      <c r="X666" s="17">
        <f>IF(T666&gt;0, W666/T666, 0)</f>
        <v>1</v>
      </c>
      <c r="Y666" s="8" t="s">
        <v>41</v>
      </c>
      <c r="Z666" s="10" t="s">
        <v>42</v>
      </c>
      <c r="AA666" s="10" t="s">
        <v>43</v>
      </c>
      <c r="AB666" s="10" t="s">
        <v>44</v>
      </c>
      <c r="AC666" s="8" t="s">
        <v>44</v>
      </c>
    </row>
    <row r="667" spans="1:29">
      <c r="A667" s="11">
        <v>660</v>
      </c>
      <c r="B667" s="11" t="s">
        <v>956</v>
      </c>
      <c r="C667" s="11" t="s">
        <v>957</v>
      </c>
      <c r="D667" s="11" t="s">
        <v>655</v>
      </c>
      <c r="E667" s="11" t="s">
        <v>34</v>
      </c>
      <c r="F667" s="11" t="s">
        <v>35</v>
      </c>
      <c r="G667" s="9" t="s">
        <v>52</v>
      </c>
      <c r="H667" s="9" t="s">
        <v>53</v>
      </c>
      <c r="I667" s="9" t="s">
        <v>53</v>
      </c>
      <c r="J667" s="11">
        <v>128</v>
      </c>
      <c r="K667" s="11" t="s">
        <v>393</v>
      </c>
      <c r="L667" s="11" t="s">
        <v>55</v>
      </c>
      <c r="M667" s="13">
        <v>1</v>
      </c>
      <c r="N667" s="16">
        <v>8000.0</v>
      </c>
      <c r="O667" s="16"/>
      <c r="P667" s="18">
        <f>IF(N667&gt;0, O667/N667, 0)</f>
        <v>0</v>
      </c>
      <c r="Q667" s="16">
        <f>N667-O667</f>
        <v>8000</v>
      </c>
      <c r="R667" s="16">
        <f>M667*N667</f>
        <v>8000</v>
      </c>
      <c r="S667" s="16">
        <f>M667*O667</f>
        <v>0</v>
      </c>
      <c r="T667" s="16">
        <f>M667*Q667</f>
        <v>8000</v>
      </c>
      <c r="U667" s="16"/>
      <c r="V667" s="16">
        <f>M667*U667</f>
        <v>0</v>
      </c>
      <c r="W667" s="16">
        <f>T667-V667</f>
        <v>8000</v>
      </c>
      <c r="X667" s="18">
        <f>IF(T667&gt;0, W667/T667, 0)</f>
        <v>1</v>
      </c>
      <c r="Y667" s="9" t="s">
        <v>41</v>
      </c>
      <c r="Z667" s="11" t="s">
        <v>42</v>
      </c>
      <c r="AA667" s="11" t="s">
        <v>43</v>
      </c>
      <c r="AB667" s="11" t="s">
        <v>44</v>
      </c>
      <c r="AC667" s="9" t="s">
        <v>44</v>
      </c>
    </row>
    <row r="668" spans="1:29">
      <c r="A668" s="10">
        <v>661</v>
      </c>
      <c r="B668" s="10" t="s">
        <v>958</v>
      </c>
      <c r="C668" s="10" t="s">
        <v>957</v>
      </c>
      <c r="D668" s="10" t="s">
        <v>655</v>
      </c>
      <c r="E668" s="10" t="s">
        <v>34</v>
      </c>
      <c r="F668" s="10" t="s">
        <v>35</v>
      </c>
      <c r="G668" s="8" t="s">
        <v>52</v>
      </c>
      <c r="H668" s="8" t="s">
        <v>53</v>
      </c>
      <c r="I668" s="8" t="s">
        <v>53</v>
      </c>
      <c r="J668" s="10">
        <v>146</v>
      </c>
      <c r="K668" s="10" t="s">
        <v>257</v>
      </c>
      <c r="L668" s="10" t="s">
        <v>55</v>
      </c>
      <c r="M668" s="12">
        <v>1</v>
      </c>
      <c r="N668" s="15">
        <v>8000.0</v>
      </c>
      <c r="O668" s="15"/>
      <c r="P668" s="17">
        <f>IF(N668&gt;0, O668/N668, 0)</f>
        <v>0</v>
      </c>
      <c r="Q668" s="15">
        <f>N668-O668</f>
        <v>8000</v>
      </c>
      <c r="R668" s="15">
        <f>M668*N668</f>
        <v>8000</v>
      </c>
      <c r="S668" s="15">
        <f>M668*O668</f>
        <v>0</v>
      </c>
      <c r="T668" s="15">
        <f>M668*Q668</f>
        <v>8000</v>
      </c>
      <c r="U668" s="15"/>
      <c r="V668" s="15">
        <f>M668*U668</f>
        <v>0</v>
      </c>
      <c r="W668" s="15">
        <f>T668-V668</f>
        <v>8000</v>
      </c>
      <c r="X668" s="17">
        <f>IF(T668&gt;0, W668/T668, 0)</f>
        <v>1</v>
      </c>
      <c r="Y668" s="8" t="s">
        <v>41</v>
      </c>
      <c r="Z668" s="10" t="s">
        <v>42</v>
      </c>
      <c r="AA668" s="10" t="s">
        <v>43</v>
      </c>
      <c r="AB668" s="10" t="s">
        <v>44</v>
      </c>
      <c r="AC668" s="8" t="s">
        <v>44</v>
      </c>
    </row>
    <row r="669" spans="1:29">
      <c r="A669" s="11">
        <v>662</v>
      </c>
      <c r="B669" s="11" t="s">
        <v>959</v>
      </c>
      <c r="C669" s="11" t="s">
        <v>957</v>
      </c>
      <c r="D669" s="11" t="s">
        <v>655</v>
      </c>
      <c r="E669" s="11" t="s">
        <v>34</v>
      </c>
      <c r="F669" s="11" t="s">
        <v>35</v>
      </c>
      <c r="G669" s="9" t="s">
        <v>52</v>
      </c>
      <c r="H669" s="9" t="s">
        <v>37</v>
      </c>
      <c r="I669" s="9" t="s">
        <v>38</v>
      </c>
      <c r="J669" s="11">
        <v>122</v>
      </c>
      <c r="K669" s="11" t="s">
        <v>107</v>
      </c>
      <c r="L669" s="11" t="s">
        <v>55</v>
      </c>
      <c r="M669" s="13">
        <v>1</v>
      </c>
      <c r="N669" s="16">
        <v>7000.0</v>
      </c>
      <c r="O669" s="16"/>
      <c r="P669" s="18">
        <f>IF(N669&gt;0, O669/N669, 0)</f>
        <v>0</v>
      </c>
      <c r="Q669" s="16">
        <f>N669-O669</f>
        <v>7000</v>
      </c>
      <c r="R669" s="16">
        <f>M669*N669</f>
        <v>7000</v>
      </c>
      <c r="S669" s="16">
        <f>M669*O669</f>
        <v>0</v>
      </c>
      <c r="T669" s="16">
        <f>M669*Q669</f>
        <v>7000</v>
      </c>
      <c r="U669" s="16"/>
      <c r="V669" s="16">
        <f>M669*U669</f>
        <v>0</v>
      </c>
      <c r="W669" s="16">
        <f>T669-V669</f>
        <v>7000</v>
      </c>
      <c r="X669" s="18">
        <f>IF(T669&gt;0, W669/T669, 0)</f>
        <v>1</v>
      </c>
      <c r="Y669" s="9" t="s">
        <v>41</v>
      </c>
      <c r="Z669" s="11" t="s">
        <v>42</v>
      </c>
      <c r="AA669" s="11" t="s">
        <v>43</v>
      </c>
      <c r="AB669" s="11" t="s">
        <v>44</v>
      </c>
      <c r="AC669" s="9" t="s">
        <v>44</v>
      </c>
    </row>
    <row r="670" spans="1:29">
      <c r="A670" s="10">
        <v>663</v>
      </c>
      <c r="B670" s="10" t="s">
        <v>960</v>
      </c>
      <c r="C670" s="10" t="s">
        <v>957</v>
      </c>
      <c r="D670" s="10" t="s">
        <v>655</v>
      </c>
      <c r="E670" s="10" t="s">
        <v>34</v>
      </c>
      <c r="F670" s="10" t="s">
        <v>35</v>
      </c>
      <c r="G670" s="8" t="s">
        <v>52</v>
      </c>
      <c r="H670" s="8" t="s">
        <v>58</v>
      </c>
      <c r="I670" s="8" t="s">
        <v>58</v>
      </c>
      <c r="J670" s="10">
        <v>110</v>
      </c>
      <c r="K670" s="10" t="s">
        <v>961</v>
      </c>
      <c r="L670" s="10" t="s">
        <v>40</v>
      </c>
      <c r="M670" s="12">
        <v>1</v>
      </c>
      <c r="N670" s="15">
        <v>7000.0</v>
      </c>
      <c r="O670" s="15"/>
      <c r="P670" s="17">
        <f>IF(N670&gt;0, O670/N670, 0)</f>
        <v>0</v>
      </c>
      <c r="Q670" s="15">
        <f>N670-O670</f>
        <v>7000</v>
      </c>
      <c r="R670" s="15">
        <f>M670*N670</f>
        <v>7000</v>
      </c>
      <c r="S670" s="15">
        <f>M670*O670</f>
        <v>0</v>
      </c>
      <c r="T670" s="15">
        <f>M670*Q670</f>
        <v>7000</v>
      </c>
      <c r="U670" s="15"/>
      <c r="V670" s="15">
        <f>M670*U670</f>
        <v>0</v>
      </c>
      <c r="W670" s="15">
        <f>T670-V670</f>
        <v>7000</v>
      </c>
      <c r="X670" s="17">
        <f>IF(T670&gt;0, W670/T670, 0)</f>
        <v>1</v>
      </c>
      <c r="Y670" s="8" t="s">
        <v>41</v>
      </c>
      <c r="Z670" s="10" t="s">
        <v>42</v>
      </c>
      <c r="AA670" s="10" t="s">
        <v>43</v>
      </c>
      <c r="AB670" s="10" t="s">
        <v>44</v>
      </c>
      <c r="AC670" s="8" t="s">
        <v>44</v>
      </c>
    </row>
    <row r="671" spans="1:29">
      <c r="A671" s="11">
        <v>664</v>
      </c>
      <c r="B671" s="11" t="s">
        <v>962</v>
      </c>
      <c r="C671" s="11" t="s">
        <v>957</v>
      </c>
      <c r="D671" s="11" t="s">
        <v>655</v>
      </c>
      <c r="E671" s="11" t="s">
        <v>34</v>
      </c>
      <c r="F671" s="11" t="s">
        <v>35</v>
      </c>
      <c r="G671" s="9" t="s">
        <v>52</v>
      </c>
      <c r="H671" s="9" t="s">
        <v>53</v>
      </c>
      <c r="I671" s="9" t="s">
        <v>53</v>
      </c>
      <c r="J671" s="11">
        <v>128</v>
      </c>
      <c r="K671" s="11" t="s">
        <v>393</v>
      </c>
      <c r="L671" s="11" t="s">
        <v>55</v>
      </c>
      <c r="M671" s="13">
        <v>1</v>
      </c>
      <c r="N671" s="16">
        <v>8000.0</v>
      </c>
      <c r="O671" s="16"/>
      <c r="P671" s="18">
        <f>IF(N671&gt;0, O671/N671, 0)</f>
        <v>0</v>
      </c>
      <c r="Q671" s="16">
        <f>N671-O671</f>
        <v>8000</v>
      </c>
      <c r="R671" s="16">
        <f>M671*N671</f>
        <v>8000</v>
      </c>
      <c r="S671" s="16">
        <f>M671*O671</f>
        <v>0</v>
      </c>
      <c r="T671" s="16">
        <f>M671*Q671</f>
        <v>8000</v>
      </c>
      <c r="U671" s="16"/>
      <c r="V671" s="16">
        <f>M671*U671</f>
        <v>0</v>
      </c>
      <c r="W671" s="16">
        <f>T671-V671</f>
        <v>8000</v>
      </c>
      <c r="X671" s="18">
        <f>IF(T671&gt;0, W671/T671, 0)</f>
        <v>1</v>
      </c>
      <c r="Y671" s="9" t="s">
        <v>41</v>
      </c>
      <c r="Z671" s="11" t="s">
        <v>42</v>
      </c>
      <c r="AA671" s="11" t="s">
        <v>43</v>
      </c>
      <c r="AB671" s="11" t="s">
        <v>44</v>
      </c>
      <c r="AC671" s="9" t="s">
        <v>44</v>
      </c>
    </row>
    <row r="672" spans="1:29">
      <c r="A672" s="10">
        <v>665</v>
      </c>
      <c r="B672" s="10" t="s">
        <v>963</v>
      </c>
      <c r="C672" s="10" t="s">
        <v>957</v>
      </c>
      <c r="D672" s="10" t="s">
        <v>655</v>
      </c>
      <c r="E672" s="10" t="s">
        <v>34</v>
      </c>
      <c r="F672" s="10" t="s">
        <v>35</v>
      </c>
      <c r="G672" s="8" t="s">
        <v>52</v>
      </c>
      <c r="H672" s="8" t="s">
        <v>37</v>
      </c>
      <c r="I672" s="8" t="s">
        <v>75</v>
      </c>
      <c r="J672" s="10">
        <v>128</v>
      </c>
      <c r="K672" s="10" t="s">
        <v>188</v>
      </c>
      <c r="L672" s="10" t="s">
        <v>55</v>
      </c>
      <c r="M672" s="12">
        <v>2</v>
      </c>
      <c r="N672" s="15">
        <v>8000.0</v>
      </c>
      <c r="O672" s="15"/>
      <c r="P672" s="17">
        <f>IF(N672&gt;0, O672/N672, 0)</f>
        <v>0</v>
      </c>
      <c r="Q672" s="15">
        <f>N672-O672</f>
        <v>8000</v>
      </c>
      <c r="R672" s="15">
        <f>M672*N672</f>
        <v>16000</v>
      </c>
      <c r="S672" s="15">
        <f>M672*O672</f>
        <v>0</v>
      </c>
      <c r="T672" s="15">
        <f>M672*Q672</f>
        <v>16000</v>
      </c>
      <c r="U672" s="15"/>
      <c r="V672" s="15">
        <f>M672*U672</f>
        <v>0</v>
      </c>
      <c r="W672" s="15">
        <f>T672-V672</f>
        <v>16000</v>
      </c>
      <c r="X672" s="17">
        <f>IF(T672&gt;0, W672/T672, 0)</f>
        <v>1</v>
      </c>
      <c r="Y672" s="8" t="s">
        <v>41</v>
      </c>
      <c r="Z672" s="10" t="s">
        <v>42</v>
      </c>
      <c r="AA672" s="10" t="s">
        <v>43</v>
      </c>
      <c r="AB672" s="10" t="s">
        <v>44</v>
      </c>
      <c r="AC672" s="8" t="s">
        <v>44</v>
      </c>
    </row>
    <row r="673" spans="1:29">
      <c r="A673" s="11">
        <v>666</v>
      </c>
      <c r="B673" s="11" t="s">
        <v>964</v>
      </c>
      <c r="C673" s="11" t="s">
        <v>957</v>
      </c>
      <c r="D673" s="11" t="s">
        <v>655</v>
      </c>
      <c r="E673" s="11" t="s">
        <v>34</v>
      </c>
      <c r="F673" s="11" t="s">
        <v>35</v>
      </c>
      <c r="G673" s="9" t="s">
        <v>52</v>
      </c>
      <c r="H673" s="9" t="s">
        <v>47</v>
      </c>
      <c r="I673" s="9" t="s">
        <v>48</v>
      </c>
      <c r="J673" s="11">
        <v>128</v>
      </c>
      <c r="K673" s="11" t="s">
        <v>186</v>
      </c>
      <c r="L673" s="11" t="s">
        <v>40</v>
      </c>
      <c r="M673" s="13">
        <v>1</v>
      </c>
      <c r="N673" s="16">
        <v>18000.0</v>
      </c>
      <c r="O673" s="16"/>
      <c r="P673" s="18">
        <f>IF(N673&gt;0, O673/N673, 0)</f>
        <v>0</v>
      </c>
      <c r="Q673" s="16">
        <f>N673-O673</f>
        <v>18000</v>
      </c>
      <c r="R673" s="16">
        <f>M673*N673</f>
        <v>18000</v>
      </c>
      <c r="S673" s="16">
        <f>M673*O673</f>
        <v>0</v>
      </c>
      <c r="T673" s="16">
        <f>M673*Q673</f>
        <v>18000</v>
      </c>
      <c r="U673" s="16"/>
      <c r="V673" s="16">
        <f>M673*U673</f>
        <v>0</v>
      </c>
      <c r="W673" s="16">
        <f>T673-V673</f>
        <v>18000</v>
      </c>
      <c r="X673" s="18">
        <f>IF(T673&gt;0, W673/T673, 0)</f>
        <v>1</v>
      </c>
      <c r="Y673" s="9" t="s">
        <v>41</v>
      </c>
      <c r="Z673" s="11" t="s">
        <v>42</v>
      </c>
      <c r="AA673" s="11" t="s">
        <v>43</v>
      </c>
      <c r="AB673" s="11" t="s">
        <v>44</v>
      </c>
      <c r="AC673" s="9" t="s">
        <v>44</v>
      </c>
    </row>
    <row r="674" spans="1:29">
      <c r="A674" s="10">
        <v>667</v>
      </c>
      <c r="B674" s="10" t="s">
        <v>965</v>
      </c>
      <c r="C674" s="10" t="s">
        <v>957</v>
      </c>
      <c r="D674" s="10" t="s">
        <v>655</v>
      </c>
      <c r="E674" s="10" t="s">
        <v>70</v>
      </c>
      <c r="F674" s="10" t="s">
        <v>35</v>
      </c>
      <c r="G674" s="8" t="s">
        <v>36</v>
      </c>
      <c r="H674" s="8" t="s">
        <v>37</v>
      </c>
      <c r="I674" s="8" t="s">
        <v>38</v>
      </c>
      <c r="J674" s="10">
        <v>188</v>
      </c>
      <c r="K674" s="10" t="s">
        <v>371</v>
      </c>
      <c r="L674" s="10" t="s">
        <v>40</v>
      </c>
      <c r="M674" s="12">
        <v>1</v>
      </c>
      <c r="N674" s="15">
        <v>10000.0</v>
      </c>
      <c r="O674" s="15"/>
      <c r="P674" s="17">
        <f>IF(N674&gt;0, O674/N674, 0)</f>
        <v>0</v>
      </c>
      <c r="Q674" s="15">
        <f>N674-O674</f>
        <v>10000</v>
      </c>
      <c r="R674" s="15">
        <f>M674*N674</f>
        <v>10000</v>
      </c>
      <c r="S674" s="15">
        <f>M674*O674</f>
        <v>0</v>
      </c>
      <c r="T674" s="15">
        <f>M674*Q674</f>
        <v>10000</v>
      </c>
      <c r="U674" s="15"/>
      <c r="V674" s="15">
        <f>M674*U674</f>
        <v>0</v>
      </c>
      <c r="W674" s="15">
        <f>T674-V674</f>
        <v>10000</v>
      </c>
      <c r="X674" s="17">
        <f>IF(T674&gt;0, W674/T674, 0)</f>
        <v>1</v>
      </c>
      <c r="Y674" s="8" t="s">
        <v>41</v>
      </c>
      <c r="Z674" s="10" t="s">
        <v>42</v>
      </c>
      <c r="AA674" s="10" t="s">
        <v>73</v>
      </c>
      <c r="AB674" s="10" t="s">
        <v>44</v>
      </c>
      <c r="AC674" s="8" t="s">
        <v>44</v>
      </c>
    </row>
    <row r="675" spans="1:29">
      <c r="A675" s="11">
        <v>668</v>
      </c>
      <c r="B675" s="11" t="s">
        <v>966</v>
      </c>
      <c r="C675" s="11" t="s">
        <v>957</v>
      </c>
      <c r="D675" s="11" t="s">
        <v>655</v>
      </c>
      <c r="E675" s="11" t="s">
        <v>70</v>
      </c>
      <c r="F675" s="11" t="s">
        <v>35</v>
      </c>
      <c r="G675" s="9" t="s">
        <v>52</v>
      </c>
      <c r="H675" s="9" t="s">
        <v>37</v>
      </c>
      <c r="I675" s="9" t="s">
        <v>38</v>
      </c>
      <c r="J675" s="11">
        <v>134</v>
      </c>
      <c r="K675" s="11" t="s">
        <v>180</v>
      </c>
      <c r="L675" s="11" t="s">
        <v>55</v>
      </c>
      <c r="M675" s="13">
        <v>1</v>
      </c>
      <c r="N675" s="16">
        <v>9000.0</v>
      </c>
      <c r="O675" s="16"/>
      <c r="P675" s="18">
        <f>IF(N675&gt;0, O675/N675, 0)</f>
        <v>0</v>
      </c>
      <c r="Q675" s="16">
        <f>N675-O675</f>
        <v>9000</v>
      </c>
      <c r="R675" s="16">
        <f>M675*N675</f>
        <v>9000</v>
      </c>
      <c r="S675" s="16">
        <f>M675*O675</f>
        <v>0</v>
      </c>
      <c r="T675" s="16">
        <f>M675*Q675</f>
        <v>9000</v>
      </c>
      <c r="U675" s="16"/>
      <c r="V675" s="16">
        <f>M675*U675</f>
        <v>0</v>
      </c>
      <c r="W675" s="16">
        <f>T675-V675</f>
        <v>9000</v>
      </c>
      <c r="X675" s="18">
        <f>IF(T675&gt;0, W675/T675, 0)</f>
        <v>1</v>
      </c>
      <c r="Y675" s="9" t="s">
        <v>41</v>
      </c>
      <c r="Z675" s="11" t="s">
        <v>42</v>
      </c>
      <c r="AA675" s="11" t="s">
        <v>73</v>
      </c>
      <c r="AB675" s="11" t="s">
        <v>44</v>
      </c>
      <c r="AC675" s="9" t="s">
        <v>44</v>
      </c>
    </row>
    <row r="676" spans="1:29">
      <c r="A676" s="10">
        <v>669</v>
      </c>
      <c r="B676" s="10" t="s">
        <v>967</v>
      </c>
      <c r="C676" s="10" t="s">
        <v>957</v>
      </c>
      <c r="D676" s="10" t="s">
        <v>655</v>
      </c>
      <c r="E676" s="10" t="s">
        <v>34</v>
      </c>
      <c r="F676" s="10" t="s">
        <v>35</v>
      </c>
      <c r="G676" s="8" t="s">
        <v>36</v>
      </c>
      <c r="H676" s="8" t="s">
        <v>65</v>
      </c>
      <c r="I676" s="8" t="s">
        <v>151</v>
      </c>
      <c r="J676" s="10">
        <v>188</v>
      </c>
      <c r="K676" s="10" t="s">
        <v>172</v>
      </c>
      <c r="L676" s="10" t="s">
        <v>40</v>
      </c>
      <c r="M676" s="12">
        <v>1</v>
      </c>
      <c r="N676" s="15">
        <v>9500.0</v>
      </c>
      <c r="O676" s="15"/>
      <c r="P676" s="17">
        <f>IF(N676&gt;0, O676/N676, 0)</f>
        <v>0</v>
      </c>
      <c r="Q676" s="15">
        <f>N676-O676</f>
        <v>9500</v>
      </c>
      <c r="R676" s="15">
        <f>M676*N676</f>
        <v>9500</v>
      </c>
      <c r="S676" s="15">
        <f>M676*O676</f>
        <v>0</v>
      </c>
      <c r="T676" s="15">
        <f>M676*Q676</f>
        <v>9500</v>
      </c>
      <c r="U676" s="15"/>
      <c r="V676" s="15">
        <f>M676*U676</f>
        <v>0</v>
      </c>
      <c r="W676" s="15">
        <f>T676-V676</f>
        <v>9500</v>
      </c>
      <c r="X676" s="17">
        <f>IF(T676&gt;0, W676/T676, 0)</f>
        <v>1</v>
      </c>
      <c r="Y676" s="8" t="s">
        <v>41</v>
      </c>
      <c r="Z676" s="10" t="s">
        <v>42</v>
      </c>
      <c r="AA676" s="10" t="s">
        <v>43</v>
      </c>
      <c r="AB676" s="10" t="s">
        <v>44</v>
      </c>
      <c r="AC676" s="8" t="s">
        <v>44</v>
      </c>
    </row>
    <row r="677" spans="1:29">
      <c r="A677" s="11">
        <v>670</v>
      </c>
      <c r="B677" s="11" t="s">
        <v>968</v>
      </c>
      <c r="C677" s="11" t="s">
        <v>957</v>
      </c>
      <c r="D677" s="11" t="s">
        <v>655</v>
      </c>
      <c r="E677" s="11" t="s">
        <v>34</v>
      </c>
      <c r="F677" s="11" t="s">
        <v>35</v>
      </c>
      <c r="G677" s="9" t="s">
        <v>52</v>
      </c>
      <c r="H677" s="9" t="s">
        <v>71</v>
      </c>
      <c r="I677" s="9" t="s">
        <v>71</v>
      </c>
      <c r="J677" s="11">
        <v>128</v>
      </c>
      <c r="K677" s="11" t="s">
        <v>112</v>
      </c>
      <c r="L677" s="11" t="s">
        <v>40</v>
      </c>
      <c r="M677" s="13">
        <v>1</v>
      </c>
      <c r="N677" s="16">
        <v>16000.0</v>
      </c>
      <c r="O677" s="16"/>
      <c r="P677" s="18">
        <f>IF(N677&gt;0, O677/N677, 0)</f>
        <v>0</v>
      </c>
      <c r="Q677" s="16">
        <f>N677-O677</f>
        <v>16000</v>
      </c>
      <c r="R677" s="16">
        <f>M677*N677</f>
        <v>16000</v>
      </c>
      <c r="S677" s="16">
        <f>M677*O677</f>
        <v>0</v>
      </c>
      <c r="T677" s="16">
        <f>M677*Q677</f>
        <v>16000</v>
      </c>
      <c r="U677" s="16"/>
      <c r="V677" s="16">
        <f>M677*U677</f>
        <v>0</v>
      </c>
      <c r="W677" s="16">
        <f>T677-V677</f>
        <v>16000</v>
      </c>
      <c r="X677" s="18">
        <f>IF(T677&gt;0, W677/T677, 0)</f>
        <v>1</v>
      </c>
      <c r="Y677" s="9" t="s">
        <v>41</v>
      </c>
      <c r="Z677" s="11" t="s">
        <v>42</v>
      </c>
      <c r="AA677" s="11" t="s">
        <v>43</v>
      </c>
      <c r="AB677" s="11" t="s">
        <v>44</v>
      </c>
      <c r="AC677" s="9" t="s">
        <v>44</v>
      </c>
    </row>
    <row r="678" spans="1:29">
      <c r="A678" s="10">
        <v>671</v>
      </c>
      <c r="B678" s="10" t="s">
        <v>969</v>
      </c>
      <c r="C678" s="10" t="s">
        <v>957</v>
      </c>
      <c r="D678" s="10" t="s">
        <v>655</v>
      </c>
      <c r="E678" s="10" t="s">
        <v>34</v>
      </c>
      <c r="F678" s="10" t="s">
        <v>35</v>
      </c>
      <c r="G678" s="8" t="s">
        <v>52</v>
      </c>
      <c r="H678" s="8" t="s">
        <v>58</v>
      </c>
      <c r="I678" s="8" t="s">
        <v>58</v>
      </c>
      <c r="J678" s="10">
        <v>110</v>
      </c>
      <c r="K678" s="10" t="s">
        <v>961</v>
      </c>
      <c r="L678" s="10" t="s">
        <v>40</v>
      </c>
      <c r="M678" s="12">
        <v>1</v>
      </c>
      <c r="N678" s="15">
        <v>7000.0</v>
      </c>
      <c r="O678" s="15"/>
      <c r="P678" s="17">
        <f>IF(N678&gt;0, O678/N678, 0)</f>
        <v>0</v>
      </c>
      <c r="Q678" s="15">
        <f>N678-O678</f>
        <v>7000</v>
      </c>
      <c r="R678" s="15">
        <f>M678*N678</f>
        <v>7000</v>
      </c>
      <c r="S678" s="15">
        <f>M678*O678</f>
        <v>0</v>
      </c>
      <c r="T678" s="15">
        <f>M678*Q678</f>
        <v>7000</v>
      </c>
      <c r="U678" s="15"/>
      <c r="V678" s="15">
        <f>M678*U678</f>
        <v>0</v>
      </c>
      <c r="W678" s="15">
        <f>T678-V678</f>
        <v>7000</v>
      </c>
      <c r="X678" s="17">
        <f>IF(T678&gt;0, W678/T678, 0)</f>
        <v>1</v>
      </c>
      <c r="Y678" s="8" t="s">
        <v>41</v>
      </c>
      <c r="Z678" s="10" t="s">
        <v>42</v>
      </c>
      <c r="AA678" s="10" t="s">
        <v>43</v>
      </c>
      <c r="AB678" s="10" t="s">
        <v>44</v>
      </c>
      <c r="AC678" s="8" t="s">
        <v>44</v>
      </c>
    </row>
    <row r="679" spans="1:29">
      <c r="A679" s="11">
        <v>672</v>
      </c>
      <c r="B679" s="11" t="s">
        <v>970</v>
      </c>
      <c r="C679" s="11" t="s">
        <v>957</v>
      </c>
      <c r="D679" s="11" t="s">
        <v>655</v>
      </c>
      <c r="E679" s="11" t="s">
        <v>34</v>
      </c>
      <c r="F679" s="11" t="s">
        <v>35</v>
      </c>
      <c r="G679" s="9" t="s">
        <v>52</v>
      </c>
      <c r="H679" s="9" t="s">
        <v>37</v>
      </c>
      <c r="I679" s="9" t="s">
        <v>75</v>
      </c>
      <c r="J679" s="11">
        <v>122</v>
      </c>
      <c r="K679" s="11" t="s">
        <v>104</v>
      </c>
      <c r="L679" s="11" t="s">
        <v>55</v>
      </c>
      <c r="M679" s="13">
        <v>1</v>
      </c>
      <c r="N679" s="16">
        <v>8000.0</v>
      </c>
      <c r="O679" s="16"/>
      <c r="P679" s="18">
        <f>IF(N679&gt;0, O679/N679, 0)</f>
        <v>0</v>
      </c>
      <c r="Q679" s="16">
        <f>N679-O679</f>
        <v>8000</v>
      </c>
      <c r="R679" s="16">
        <f>M679*N679</f>
        <v>8000</v>
      </c>
      <c r="S679" s="16">
        <f>M679*O679</f>
        <v>0</v>
      </c>
      <c r="T679" s="16">
        <f>M679*Q679</f>
        <v>8000</v>
      </c>
      <c r="U679" s="16"/>
      <c r="V679" s="16">
        <f>M679*U679</f>
        <v>0</v>
      </c>
      <c r="W679" s="16">
        <f>T679-V679</f>
        <v>8000</v>
      </c>
      <c r="X679" s="18">
        <f>IF(T679&gt;0, W679/T679, 0)</f>
        <v>1</v>
      </c>
      <c r="Y679" s="9" t="s">
        <v>41</v>
      </c>
      <c r="Z679" s="11" t="s">
        <v>42</v>
      </c>
      <c r="AA679" s="11" t="s">
        <v>43</v>
      </c>
      <c r="AB679" s="11" t="s">
        <v>44</v>
      </c>
      <c r="AC679" s="9" t="s">
        <v>44</v>
      </c>
    </row>
    <row r="680" spans="1:29">
      <c r="A680" s="10">
        <v>673</v>
      </c>
      <c r="B680" s="10" t="s">
        <v>971</v>
      </c>
      <c r="C680" s="10" t="s">
        <v>957</v>
      </c>
      <c r="D680" s="10" t="s">
        <v>655</v>
      </c>
      <c r="E680" s="10" t="s">
        <v>34</v>
      </c>
      <c r="F680" s="10" t="s">
        <v>35</v>
      </c>
      <c r="G680" s="8" t="s">
        <v>52</v>
      </c>
      <c r="H680" s="8" t="s">
        <v>53</v>
      </c>
      <c r="I680" s="8" t="s">
        <v>53</v>
      </c>
      <c r="J680" s="10">
        <v>122</v>
      </c>
      <c r="K680" s="10" t="s">
        <v>84</v>
      </c>
      <c r="L680" s="10" t="s">
        <v>55</v>
      </c>
      <c r="M680" s="12">
        <v>1</v>
      </c>
      <c r="N680" s="15">
        <v>8000.0</v>
      </c>
      <c r="O680" s="15"/>
      <c r="P680" s="17">
        <f>IF(N680&gt;0, O680/N680, 0)</f>
        <v>0</v>
      </c>
      <c r="Q680" s="15">
        <f>N680-O680</f>
        <v>8000</v>
      </c>
      <c r="R680" s="15">
        <f>M680*N680</f>
        <v>8000</v>
      </c>
      <c r="S680" s="15">
        <f>M680*O680</f>
        <v>0</v>
      </c>
      <c r="T680" s="15">
        <f>M680*Q680</f>
        <v>8000</v>
      </c>
      <c r="U680" s="15"/>
      <c r="V680" s="15">
        <f>M680*U680</f>
        <v>0</v>
      </c>
      <c r="W680" s="15">
        <f>T680-V680</f>
        <v>8000</v>
      </c>
      <c r="X680" s="17">
        <f>IF(T680&gt;0, W680/T680, 0)</f>
        <v>1</v>
      </c>
      <c r="Y680" s="8" t="s">
        <v>41</v>
      </c>
      <c r="Z680" s="10" t="s">
        <v>42</v>
      </c>
      <c r="AA680" s="10" t="s">
        <v>43</v>
      </c>
      <c r="AB680" s="10" t="s">
        <v>44</v>
      </c>
      <c r="AC680" s="8" t="s">
        <v>44</v>
      </c>
    </row>
    <row r="681" spans="1:29">
      <c r="A681" s="11">
        <v>674</v>
      </c>
      <c r="B681" s="11" t="s">
        <v>972</v>
      </c>
      <c r="C681" s="11" t="s">
        <v>957</v>
      </c>
      <c r="D681" s="11" t="s">
        <v>655</v>
      </c>
      <c r="E681" s="11" t="s">
        <v>34</v>
      </c>
      <c r="F681" s="11" t="s">
        <v>35</v>
      </c>
      <c r="G681" s="9" t="s">
        <v>52</v>
      </c>
      <c r="H681" s="9" t="s">
        <v>37</v>
      </c>
      <c r="I681" s="9" t="s">
        <v>38</v>
      </c>
      <c r="J681" s="11">
        <v>134</v>
      </c>
      <c r="K681" s="11" t="s">
        <v>180</v>
      </c>
      <c r="L681" s="11" t="s">
        <v>55</v>
      </c>
      <c r="M681" s="13">
        <v>1</v>
      </c>
      <c r="N681" s="16">
        <v>7000.0</v>
      </c>
      <c r="O681" s="16"/>
      <c r="P681" s="18">
        <f>IF(N681&gt;0, O681/N681, 0)</f>
        <v>0</v>
      </c>
      <c r="Q681" s="16">
        <f>N681-O681</f>
        <v>7000</v>
      </c>
      <c r="R681" s="16">
        <f>M681*N681</f>
        <v>7000</v>
      </c>
      <c r="S681" s="16">
        <f>M681*O681</f>
        <v>0</v>
      </c>
      <c r="T681" s="16">
        <f>M681*Q681</f>
        <v>7000</v>
      </c>
      <c r="U681" s="16"/>
      <c r="V681" s="16">
        <f>M681*U681</f>
        <v>0</v>
      </c>
      <c r="W681" s="16">
        <f>T681-V681</f>
        <v>7000</v>
      </c>
      <c r="X681" s="18">
        <f>IF(T681&gt;0, W681/T681, 0)</f>
        <v>1</v>
      </c>
      <c r="Y681" s="9" t="s">
        <v>41</v>
      </c>
      <c r="Z681" s="11" t="s">
        <v>42</v>
      </c>
      <c r="AA681" s="11" t="s">
        <v>43</v>
      </c>
      <c r="AB681" s="11" t="s">
        <v>44</v>
      </c>
      <c r="AC681" s="9" t="s">
        <v>44</v>
      </c>
    </row>
    <row r="682" spans="1:29">
      <c r="A682" s="10">
        <v>675</v>
      </c>
      <c r="B682" s="10" t="s">
        <v>973</v>
      </c>
      <c r="C682" s="10" t="s">
        <v>957</v>
      </c>
      <c r="D682" s="10" t="s">
        <v>655</v>
      </c>
      <c r="E682" s="10" t="s">
        <v>34</v>
      </c>
      <c r="F682" s="10" t="s">
        <v>35</v>
      </c>
      <c r="G682" s="8" t="s">
        <v>52</v>
      </c>
      <c r="H682" s="8" t="s">
        <v>71</v>
      </c>
      <c r="I682" s="8" t="s">
        <v>71</v>
      </c>
      <c r="J682" s="10">
        <v>116</v>
      </c>
      <c r="K682" s="10" t="s">
        <v>89</v>
      </c>
      <c r="L682" s="10" t="s">
        <v>40</v>
      </c>
      <c r="M682" s="12">
        <v>1</v>
      </c>
      <c r="N682" s="15">
        <v>16000.0</v>
      </c>
      <c r="O682" s="15"/>
      <c r="P682" s="17">
        <f>IF(N682&gt;0, O682/N682, 0)</f>
        <v>0</v>
      </c>
      <c r="Q682" s="15">
        <f>N682-O682</f>
        <v>16000</v>
      </c>
      <c r="R682" s="15">
        <f>M682*N682</f>
        <v>16000</v>
      </c>
      <c r="S682" s="15">
        <f>M682*O682</f>
        <v>0</v>
      </c>
      <c r="T682" s="15">
        <f>M682*Q682</f>
        <v>16000</v>
      </c>
      <c r="U682" s="15"/>
      <c r="V682" s="15">
        <f>M682*U682</f>
        <v>0</v>
      </c>
      <c r="W682" s="15">
        <f>T682-V682</f>
        <v>16000</v>
      </c>
      <c r="X682" s="17">
        <f>IF(T682&gt;0, W682/T682, 0)</f>
        <v>1</v>
      </c>
      <c r="Y682" s="8" t="s">
        <v>41</v>
      </c>
      <c r="Z682" s="10" t="s">
        <v>42</v>
      </c>
      <c r="AA682" s="10" t="s">
        <v>43</v>
      </c>
      <c r="AB682" s="10" t="s">
        <v>44</v>
      </c>
      <c r="AC682" s="8" t="s">
        <v>44</v>
      </c>
    </row>
    <row r="683" spans="1:29">
      <c r="A683" s="11">
        <v>676</v>
      </c>
      <c r="B683" s="11" t="s">
        <v>974</v>
      </c>
      <c r="C683" s="11" t="s">
        <v>957</v>
      </c>
      <c r="D683" s="11" t="s">
        <v>655</v>
      </c>
      <c r="E683" s="11" t="s">
        <v>34</v>
      </c>
      <c r="F683" s="11" t="s">
        <v>35</v>
      </c>
      <c r="G683" s="9" t="s">
        <v>52</v>
      </c>
      <c r="H683" s="9" t="s">
        <v>71</v>
      </c>
      <c r="I683" s="9" t="s">
        <v>71</v>
      </c>
      <c r="J683" s="11">
        <v>152</v>
      </c>
      <c r="K683" s="11" t="s">
        <v>353</v>
      </c>
      <c r="L683" s="11" t="s">
        <v>40</v>
      </c>
      <c r="M683" s="13">
        <v>2</v>
      </c>
      <c r="N683" s="16">
        <v>16000.0</v>
      </c>
      <c r="O683" s="16"/>
      <c r="P683" s="18">
        <f>IF(N683&gt;0, O683/N683, 0)</f>
        <v>0</v>
      </c>
      <c r="Q683" s="16">
        <f>N683-O683</f>
        <v>16000</v>
      </c>
      <c r="R683" s="16">
        <f>M683*N683</f>
        <v>32000</v>
      </c>
      <c r="S683" s="16">
        <f>M683*O683</f>
        <v>0</v>
      </c>
      <c r="T683" s="16">
        <f>M683*Q683</f>
        <v>32000</v>
      </c>
      <c r="U683" s="16"/>
      <c r="V683" s="16">
        <f>M683*U683</f>
        <v>0</v>
      </c>
      <c r="W683" s="16">
        <f>T683-V683</f>
        <v>32000</v>
      </c>
      <c r="X683" s="18">
        <f>IF(T683&gt;0, W683/T683, 0)</f>
        <v>1</v>
      </c>
      <c r="Y683" s="9" t="s">
        <v>41</v>
      </c>
      <c r="Z683" s="11" t="s">
        <v>42</v>
      </c>
      <c r="AA683" s="11" t="s">
        <v>43</v>
      </c>
      <c r="AB683" s="11" t="s">
        <v>44</v>
      </c>
      <c r="AC683" s="9" t="s">
        <v>44</v>
      </c>
    </row>
    <row r="684" spans="1:29">
      <c r="A684" s="10">
        <v>677</v>
      </c>
      <c r="B684" s="10" t="s">
        <v>975</v>
      </c>
      <c r="C684" s="10" t="s">
        <v>957</v>
      </c>
      <c r="D684" s="10" t="s">
        <v>655</v>
      </c>
      <c r="E684" s="10" t="s">
        <v>34</v>
      </c>
      <c r="F684" s="10" t="s">
        <v>35</v>
      </c>
      <c r="G684" s="8" t="s">
        <v>52</v>
      </c>
      <c r="H684" s="8" t="s">
        <v>53</v>
      </c>
      <c r="I684" s="8" t="s">
        <v>53</v>
      </c>
      <c r="J684" s="10">
        <v>152</v>
      </c>
      <c r="K684" s="10" t="s">
        <v>405</v>
      </c>
      <c r="L684" s="10" t="s">
        <v>55</v>
      </c>
      <c r="M684" s="12">
        <v>1</v>
      </c>
      <c r="N684" s="15">
        <v>8000.0</v>
      </c>
      <c r="O684" s="15"/>
      <c r="P684" s="17">
        <f>IF(N684&gt;0, O684/N684, 0)</f>
        <v>0</v>
      </c>
      <c r="Q684" s="15">
        <f>N684-O684</f>
        <v>8000</v>
      </c>
      <c r="R684" s="15">
        <f>M684*N684</f>
        <v>8000</v>
      </c>
      <c r="S684" s="15">
        <f>M684*O684</f>
        <v>0</v>
      </c>
      <c r="T684" s="15">
        <f>M684*Q684</f>
        <v>8000</v>
      </c>
      <c r="U684" s="15"/>
      <c r="V684" s="15">
        <f>M684*U684</f>
        <v>0</v>
      </c>
      <c r="W684" s="15">
        <f>T684-V684</f>
        <v>8000</v>
      </c>
      <c r="X684" s="17">
        <f>IF(T684&gt;0, W684/T684, 0)</f>
        <v>1</v>
      </c>
      <c r="Y684" s="8" t="s">
        <v>41</v>
      </c>
      <c r="Z684" s="10" t="s">
        <v>42</v>
      </c>
      <c r="AA684" s="10" t="s">
        <v>43</v>
      </c>
      <c r="AB684" s="10" t="s">
        <v>44</v>
      </c>
      <c r="AC684" s="8" t="s">
        <v>44</v>
      </c>
    </row>
    <row r="685" spans="1:29">
      <c r="A685" s="11">
        <v>678</v>
      </c>
      <c r="B685" s="11" t="s">
        <v>976</v>
      </c>
      <c r="C685" s="11" t="s">
        <v>957</v>
      </c>
      <c r="D685" s="11" t="s">
        <v>655</v>
      </c>
      <c r="E685" s="11" t="s">
        <v>34</v>
      </c>
      <c r="F685" s="11" t="s">
        <v>35</v>
      </c>
      <c r="G685" s="9" t="s">
        <v>52</v>
      </c>
      <c r="H685" s="9" t="s">
        <v>37</v>
      </c>
      <c r="I685" s="9" t="s">
        <v>38</v>
      </c>
      <c r="J685" s="11">
        <v>152</v>
      </c>
      <c r="K685" s="11" t="s">
        <v>154</v>
      </c>
      <c r="L685" s="11" t="s">
        <v>55</v>
      </c>
      <c r="M685" s="13">
        <v>1</v>
      </c>
      <c r="N685" s="16">
        <v>7000.0</v>
      </c>
      <c r="O685" s="16"/>
      <c r="P685" s="18">
        <f>IF(N685&gt;0, O685/N685, 0)</f>
        <v>0</v>
      </c>
      <c r="Q685" s="16">
        <f>N685-O685</f>
        <v>7000</v>
      </c>
      <c r="R685" s="16">
        <f>M685*N685</f>
        <v>7000</v>
      </c>
      <c r="S685" s="16">
        <f>M685*O685</f>
        <v>0</v>
      </c>
      <c r="T685" s="16">
        <f>M685*Q685</f>
        <v>7000</v>
      </c>
      <c r="U685" s="16"/>
      <c r="V685" s="16">
        <f>M685*U685</f>
        <v>0</v>
      </c>
      <c r="W685" s="16">
        <f>T685-V685</f>
        <v>7000</v>
      </c>
      <c r="X685" s="18">
        <f>IF(T685&gt;0, W685/T685, 0)</f>
        <v>1</v>
      </c>
      <c r="Y685" s="9" t="s">
        <v>41</v>
      </c>
      <c r="Z685" s="11" t="s">
        <v>42</v>
      </c>
      <c r="AA685" s="11" t="s">
        <v>43</v>
      </c>
      <c r="AB685" s="11" t="s">
        <v>44</v>
      </c>
      <c r="AC685" s="9" t="s">
        <v>44</v>
      </c>
    </row>
    <row r="686" spans="1:29">
      <c r="A686" s="10">
        <v>679</v>
      </c>
      <c r="B686" s="10" t="s">
        <v>977</v>
      </c>
      <c r="C686" s="10" t="s">
        <v>957</v>
      </c>
      <c r="D686" s="10" t="s">
        <v>655</v>
      </c>
      <c r="E686" s="10" t="s">
        <v>70</v>
      </c>
      <c r="F686" s="10" t="s">
        <v>35</v>
      </c>
      <c r="G686" s="8" t="s">
        <v>36</v>
      </c>
      <c r="H686" s="8" t="s">
        <v>37</v>
      </c>
      <c r="I686" s="8" t="s">
        <v>38</v>
      </c>
      <c r="J686" s="10">
        <v>152</v>
      </c>
      <c r="K686" s="10" t="s">
        <v>729</v>
      </c>
      <c r="L686" s="10" t="s">
        <v>40</v>
      </c>
      <c r="M686" s="12">
        <v>2</v>
      </c>
      <c r="N686" s="15">
        <v>10000.0</v>
      </c>
      <c r="O686" s="15"/>
      <c r="P686" s="17">
        <f>IF(N686&gt;0, O686/N686, 0)</f>
        <v>0</v>
      </c>
      <c r="Q686" s="15">
        <f>N686-O686</f>
        <v>10000</v>
      </c>
      <c r="R686" s="15">
        <f>M686*N686</f>
        <v>20000</v>
      </c>
      <c r="S686" s="15">
        <f>M686*O686</f>
        <v>0</v>
      </c>
      <c r="T686" s="15">
        <f>M686*Q686</f>
        <v>20000</v>
      </c>
      <c r="U686" s="15"/>
      <c r="V686" s="15">
        <f>M686*U686</f>
        <v>0</v>
      </c>
      <c r="W686" s="15">
        <f>T686-V686</f>
        <v>20000</v>
      </c>
      <c r="X686" s="17">
        <f>IF(T686&gt;0, W686/T686, 0)</f>
        <v>1</v>
      </c>
      <c r="Y686" s="8" t="s">
        <v>41</v>
      </c>
      <c r="Z686" s="10" t="s">
        <v>42</v>
      </c>
      <c r="AA686" s="10" t="s">
        <v>73</v>
      </c>
      <c r="AB686" s="10" t="s">
        <v>44</v>
      </c>
      <c r="AC686" s="8" t="s">
        <v>44</v>
      </c>
    </row>
    <row r="687" spans="1:29">
      <c r="A687" s="11">
        <v>680</v>
      </c>
      <c r="B687" s="11" t="s">
        <v>978</v>
      </c>
      <c r="C687" s="11" t="s">
        <v>957</v>
      </c>
      <c r="D687" s="11" t="s">
        <v>655</v>
      </c>
      <c r="E687" s="11" t="s">
        <v>34</v>
      </c>
      <c r="F687" s="11" t="s">
        <v>35</v>
      </c>
      <c r="G687" s="9" t="s">
        <v>36</v>
      </c>
      <c r="H687" s="9" t="s">
        <v>47</v>
      </c>
      <c r="I687" s="9" t="s">
        <v>48</v>
      </c>
      <c r="J687" s="11">
        <v>158</v>
      </c>
      <c r="K687" s="11" t="s">
        <v>49</v>
      </c>
      <c r="L687" s="11" t="s">
        <v>40</v>
      </c>
      <c r="M687" s="13">
        <v>1</v>
      </c>
      <c r="N687" s="16">
        <v>18000.0</v>
      </c>
      <c r="O687" s="16"/>
      <c r="P687" s="18">
        <f>IF(N687&gt;0, O687/N687, 0)</f>
        <v>0</v>
      </c>
      <c r="Q687" s="16">
        <f>N687-O687</f>
        <v>18000</v>
      </c>
      <c r="R687" s="16">
        <f>M687*N687</f>
        <v>18000</v>
      </c>
      <c r="S687" s="16">
        <f>M687*O687</f>
        <v>0</v>
      </c>
      <c r="T687" s="16">
        <f>M687*Q687</f>
        <v>18000</v>
      </c>
      <c r="U687" s="16"/>
      <c r="V687" s="16">
        <f>M687*U687</f>
        <v>0</v>
      </c>
      <c r="W687" s="16">
        <f>T687-V687</f>
        <v>18000</v>
      </c>
      <c r="X687" s="18">
        <f>IF(T687&gt;0, W687/T687, 0)</f>
        <v>1</v>
      </c>
      <c r="Y687" s="9" t="s">
        <v>41</v>
      </c>
      <c r="Z687" s="11" t="s">
        <v>42</v>
      </c>
      <c r="AA687" s="11" t="s">
        <v>43</v>
      </c>
      <c r="AB687" s="11" t="s">
        <v>44</v>
      </c>
      <c r="AC687" s="9" t="s">
        <v>44</v>
      </c>
    </row>
    <row r="688" spans="1:29">
      <c r="A688" s="10">
        <v>681</v>
      </c>
      <c r="B688" s="10" t="s">
        <v>979</v>
      </c>
      <c r="C688" s="10" t="s">
        <v>957</v>
      </c>
      <c r="D688" s="10" t="s">
        <v>655</v>
      </c>
      <c r="E688" s="10" t="s">
        <v>34</v>
      </c>
      <c r="F688" s="10" t="s">
        <v>35</v>
      </c>
      <c r="G688" s="8" t="s">
        <v>36</v>
      </c>
      <c r="H688" s="8" t="s">
        <v>37</v>
      </c>
      <c r="I688" s="8" t="s">
        <v>38</v>
      </c>
      <c r="J688" s="10">
        <v>170</v>
      </c>
      <c r="K688" s="10" t="s">
        <v>145</v>
      </c>
      <c r="L688" s="10" t="s">
        <v>40</v>
      </c>
      <c r="M688" s="12">
        <v>1</v>
      </c>
      <c r="N688" s="15">
        <v>8000.0</v>
      </c>
      <c r="O688" s="15"/>
      <c r="P688" s="17">
        <f>IF(N688&gt;0, O688/N688, 0)</f>
        <v>0</v>
      </c>
      <c r="Q688" s="15">
        <f>N688-O688</f>
        <v>8000</v>
      </c>
      <c r="R688" s="15">
        <f>M688*N688</f>
        <v>8000</v>
      </c>
      <c r="S688" s="15">
        <f>M688*O688</f>
        <v>0</v>
      </c>
      <c r="T688" s="15">
        <f>M688*Q688</f>
        <v>8000</v>
      </c>
      <c r="U688" s="15"/>
      <c r="V688" s="15">
        <f>M688*U688</f>
        <v>0</v>
      </c>
      <c r="W688" s="15">
        <f>T688-V688</f>
        <v>8000</v>
      </c>
      <c r="X688" s="17">
        <f>IF(T688&gt;0, W688/T688, 0)</f>
        <v>1</v>
      </c>
      <c r="Y688" s="8" t="s">
        <v>41</v>
      </c>
      <c r="Z688" s="10" t="s">
        <v>42</v>
      </c>
      <c r="AA688" s="10" t="s">
        <v>43</v>
      </c>
      <c r="AB688" s="10" t="s">
        <v>44</v>
      </c>
      <c r="AC688" s="8" t="s">
        <v>44</v>
      </c>
    </row>
    <row r="689" spans="1:29">
      <c r="A689" s="11">
        <v>682</v>
      </c>
      <c r="B689" s="11" t="s">
        <v>980</v>
      </c>
      <c r="C689" s="11" t="s">
        <v>957</v>
      </c>
      <c r="D689" s="11" t="s">
        <v>655</v>
      </c>
      <c r="E689" s="11" t="s">
        <v>70</v>
      </c>
      <c r="F689" s="11" t="s">
        <v>35</v>
      </c>
      <c r="G689" s="9" t="s">
        <v>52</v>
      </c>
      <c r="H689" s="9" t="s">
        <v>65</v>
      </c>
      <c r="I689" s="9" t="s">
        <v>151</v>
      </c>
      <c r="J689" s="11">
        <v>140</v>
      </c>
      <c r="K689" s="11" t="s">
        <v>224</v>
      </c>
      <c r="L689" s="11" t="s">
        <v>40</v>
      </c>
      <c r="M689" s="13">
        <v>1</v>
      </c>
      <c r="N689" s="16">
        <v>10000.0</v>
      </c>
      <c r="O689" s="16"/>
      <c r="P689" s="18">
        <f>IF(N689&gt;0, O689/N689, 0)</f>
        <v>0</v>
      </c>
      <c r="Q689" s="16">
        <f>N689-O689</f>
        <v>10000</v>
      </c>
      <c r="R689" s="16">
        <f>M689*N689</f>
        <v>10000</v>
      </c>
      <c r="S689" s="16">
        <f>M689*O689</f>
        <v>0</v>
      </c>
      <c r="T689" s="16">
        <f>M689*Q689</f>
        <v>10000</v>
      </c>
      <c r="U689" s="16"/>
      <c r="V689" s="16">
        <f>M689*U689</f>
        <v>0</v>
      </c>
      <c r="W689" s="16">
        <f>T689-V689</f>
        <v>10000</v>
      </c>
      <c r="X689" s="18">
        <f>IF(T689&gt;0, W689/T689, 0)</f>
        <v>1</v>
      </c>
      <c r="Y689" s="9" t="s">
        <v>41</v>
      </c>
      <c r="Z689" s="11" t="s">
        <v>42</v>
      </c>
      <c r="AA689" s="11" t="s">
        <v>73</v>
      </c>
      <c r="AB689" s="11" t="s">
        <v>44</v>
      </c>
      <c r="AC689" s="9" t="s">
        <v>44</v>
      </c>
    </row>
    <row r="690" spans="1:29">
      <c r="A690" s="10">
        <v>683</v>
      </c>
      <c r="B690" s="10" t="s">
        <v>981</v>
      </c>
      <c r="C690" s="10" t="s">
        <v>957</v>
      </c>
      <c r="D690" s="10" t="s">
        <v>655</v>
      </c>
      <c r="E690" s="10" t="s">
        <v>70</v>
      </c>
      <c r="F690" s="10" t="s">
        <v>35</v>
      </c>
      <c r="G690" s="8" t="s">
        <v>52</v>
      </c>
      <c r="H690" s="8" t="s">
        <v>58</v>
      </c>
      <c r="I690" s="8" t="s">
        <v>58</v>
      </c>
      <c r="J690" s="10">
        <v>140</v>
      </c>
      <c r="K690" s="10" t="s">
        <v>600</v>
      </c>
      <c r="L690" s="10" t="s">
        <v>40</v>
      </c>
      <c r="M690" s="12">
        <v>1</v>
      </c>
      <c r="N690" s="15">
        <v>8000.0</v>
      </c>
      <c r="O690" s="15"/>
      <c r="P690" s="17">
        <f>IF(N690&gt;0, O690/N690, 0)</f>
        <v>0</v>
      </c>
      <c r="Q690" s="15">
        <f>N690-O690</f>
        <v>8000</v>
      </c>
      <c r="R690" s="15">
        <f>M690*N690</f>
        <v>8000</v>
      </c>
      <c r="S690" s="15">
        <f>M690*O690</f>
        <v>0</v>
      </c>
      <c r="T690" s="15">
        <f>M690*Q690</f>
        <v>8000</v>
      </c>
      <c r="U690" s="15"/>
      <c r="V690" s="15">
        <f>M690*U690</f>
        <v>0</v>
      </c>
      <c r="W690" s="15">
        <f>T690-V690</f>
        <v>8000</v>
      </c>
      <c r="X690" s="17">
        <f>IF(T690&gt;0, W690/T690, 0)</f>
        <v>1</v>
      </c>
      <c r="Y690" s="8" t="s">
        <v>41</v>
      </c>
      <c r="Z690" s="10" t="s">
        <v>42</v>
      </c>
      <c r="AA690" s="10" t="s">
        <v>73</v>
      </c>
      <c r="AB690" s="10" t="s">
        <v>44</v>
      </c>
      <c r="AC690" s="8" t="s">
        <v>44</v>
      </c>
    </row>
    <row r="691" spans="1:29">
      <c r="A691" s="11">
        <v>684</v>
      </c>
      <c r="B691" s="11" t="s">
        <v>982</v>
      </c>
      <c r="C691" s="11" t="s">
        <v>957</v>
      </c>
      <c r="D691" s="11" t="s">
        <v>655</v>
      </c>
      <c r="E691" s="11" t="s">
        <v>34</v>
      </c>
      <c r="F691" s="11" t="s">
        <v>35</v>
      </c>
      <c r="G691" s="9" t="s">
        <v>52</v>
      </c>
      <c r="H691" s="9" t="s">
        <v>53</v>
      </c>
      <c r="I691" s="9" t="s">
        <v>53</v>
      </c>
      <c r="J691" s="11">
        <v>146</v>
      </c>
      <c r="K691" s="11" t="s">
        <v>257</v>
      </c>
      <c r="L691" s="11" t="s">
        <v>55</v>
      </c>
      <c r="M691" s="13">
        <v>1</v>
      </c>
      <c r="N691" s="16">
        <v>8000.0</v>
      </c>
      <c r="O691" s="16"/>
      <c r="P691" s="18">
        <f>IF(N691&gt;0, O691/N691, 0)</f>
        <v>0</v>
      </c>
      <c r="Q691" s="16">
        <f>N691-O691</f>
        <v>8000</v>
      </c>
      <c r="R691" s="16">
        <f>M691*N691</f>
        <v>8000</v>
      </c>
      <c r="S691" s="16">
        <f>M691*O691</f>
        <v>0</v>
      </c>
      <c r="T691" s="16">
        <f>M691*Q691</f>
        <v>8000</v>
      </c>
      <c r="U691" s="16"/>
      <c r="V691" s="16">
        <f>M691*U691</f>
        <v>0</v>
      </c>
      <c r="W691" s="16">
        <f>T691-V691</f>
        <v>8000</v>
      </c>
      <c r="X691" s="18">
        <f>IF(T691&gt;0, W691/T691, 0)</f>
        <v>1</v>
      </c>
      <c r="Y691" s="9" t="s">
        <v>41</v>
      </c>
      <c r="Z691" s="11" t="s">
        <v>42</v>
      </c>
      <c r="AA691" s="11" t="s">
        <v>43</v>
      </c>
      <c r="AB691" s="11" t="s">
        <v>44</v>
      </c>
      <c r="AC691" s="9" t="s">
        <v>44</v>
      </c>
    </row>
    <row r="692" spans="1:29">
      <c r="A692" s="10">
        <v>685</v>
      </c>
      <c r="B692" s="10" t="s">
        <v>983</v>
      </c>
      <c r="C692" s="10" t="s">
        <v>957</v>
      </c>
      <c r="D692" s="10" t="s">
        <v>655</v>
      </c>
      <c r="E692" s="10" t="s">
        <v>34</v>
      </c>
      <c r="F692" s="10" t="s">
        <v>35</v>
      </c>
      <c r="G692" s="8" t="s">
        <v>52</v>
      </c>
      <c r="H692" s="8" t="s">
        <v>37</v>
      </c>
      <c r="I692" s="8" t="s">
        <v>38</v>
      </c>
      <c r="J692" s="10">
        <v>146</v>
      </c>
      <c r="K692" s="10" t="s">
        <v>260</v>
      </c>
      <c r="L692" s="10" t="s">
        <v>55</v>
      </c>
      <c r="M692" s="12">
        <v>2</v>
      </c>
      <c r="N692" s="15">
        <v>7000.0</v>
      </c>
      <c r="O692" s="15"/>
      <c r="P692" s="17">
        <f>IF(N692&gt;0, O692/N692, 0)</f>
        <v>0</v>
      </c>
      <c r="Q692" s="15">
        <f>N692-O692</f>
        <v>7000</v>
      </c>
      <c r="R692" s="15">
        <f>M692*N692</f>
        <v>14000</v>
      </c>
      <c r="S692" s="15">
        <f>M692*O692</f>
        <v>0</v>
      </c>
      <c r="T692" s="15">
        <f>M692*Q692</f>
        <v>14000</v>
      </c>
      <c r="U692" s="15"/>
      <c r="V692" s="15">
        <f>M692*U692</f>
        <v>0</v>
      </c>
      <c r="W692" s="15">
        <f>T692-V692</f>
        <v>14000</v>
      </c>
      <c r="X692" s="17">
        <f>IF(T692&gt;0, W692/T692, 0)</f>
        <v>1</v>
      </c>
      <c r="Y692" s="8" t="s">
        <v>41</v>
      </c>
      <c r="Z692" s="10" t="s">
        <v>42</v>
      </c>
      <c r="AA692" s="10" t="s">
        <v>43</v>
      </c>
      <c r="AB692" s="10" t="s">
        <v>44</v>
      </c>
      <c r="AC692" s="8" t="s">
        <v>44</v>
      </c>
    </row>
    <row r="693" spans="1:29">
      <c r="A693" s="11">
        <v>686</v>
      </c>
      <c r="B693" s="11" t="s">
        <v>984</v>
      </c>
      <c r="C693" s="11" t="s">
        <v>957</v>
      </c>
      <c r="D693" s="11" t="s">
        <v>655</v>
      </c>
      <c r="E693" s="11" t="s">
        <v>34</v>
      </c>
      <c r="F693" s="11" t="s">
        <v>35</v>
      </c>
      <c r="G693" s="9" t="s">
        <v>52</v>
      </c>
      <c r="H693" s="9" t="s">
        <v>71</v>
      </c>
      <c r="I693" s="9" t="s">
        <v>71</v>
      </c>
      <c r="J693" s="11">
        <v>140</v>
      </c>
      <c r="K693" s="11" t="s">
        <v>228</v>
      </c>
      <c r="L693" s="11" t="s">
        <v>40</v>
      </c>
      <c r="M693" s="13">
        <v>1</v>
      </c>
      <c r="N693" s="16">
        <v>16000.0</v>
      </c>
      <c r="O693" s="16"/>
      <c r="P693" s="18">
        <f>IF(N693&gt;0, O693/N693, 0)</f>
        <v>0</v>
      </c>
      <c r="Q693" s="16">
        <f>N693-O693</f>
        <v>16000</v>
      </c>
      <c r="R693" s="16">
        <f>M693*N693</f>
        <v>16000</v>
      </c>
      <c r="S693" s="16">
        <f>M693*O693</f>
        <v>0</v>
      </c>
      <c r="T693" s="16">
        <f>M693*Q693</f>
        <v>16000</v>
      </c>
      <c r="U693" s="16"/>
      <c r="V693" s="16">
        <f>M693*U693</f>
        <v>0</v>
      </c>
      <c r="W693" s="16">
        <f>T693-V693</f>
        <v>16000</v>
      </c>
      <c r="X693" s="18">
        <f>IF(T693&gt;0, W693/T693, 0)</f>
        <v>1</v>
      </c>
      <c r="Y693" s="9" t="s">
        <v>41</v>
      </c>
      <c r="Z693" s="11" t="s">
        <v>42</v>
      </c>
      <c r="AA693" s="11" t="s">
        <v>43</v>
      </c>
      <c r="AB693" s="11" t="s">
        <v>44</v>
      </c>
      <c r="AC693" s="9" t="s">
        <v>44</v>
      </c>
    </row>
    <row r="694" spans="1:29">
      <c r="A694" s="10">
        <v>687</v>
      </c>
      <c r="B694" s="10" t="s">
        <v>985</v>
      </c>
      <c r="C694" s="10" t="s">
        <v>957</v>
      </c>
      <c r="D694" s="10" t="s">
        <v>655</v>
      </c>
      <c r="E694" s="10" t="s">
        <v>34</v>
      </c>
      <c r="F694" s="10" t="s">
        <v>35</v>
      </c>
      <c r="G694" s="8" t="s">
        <v>52</v>
      </c>
      <c r="H694" s="8" t="s">
        <v>47</v>
      </c>
      <c r="I694" s="8" t="s">
        <v>48</v>
      </c>
      <c r="J694" s="10">
        <v>146</v>
      </c>
      <c r="K694" s="10" t="s">
        <v>142</v>
      </c>
      <c r="L694" s="10" t="s">
        <v>40</v>
      </c>
      <c r="M694" s="12">
        <v>1</v>
      </c>
      <c r="N694" s="15">
        <v>18000.0</v>
      </c>
      <c r="O694" s="15"/>
      <c r="P694" s="17">
        <f>IF(N694&gt;0, O694/N694, 0)</f>
        <v>0</v>
      </c>
      <c r="Q694" s="15">
        <f>N694-O694</f>
        <v>18000</v>
      </c>
      <c r="R694" s="15">
        <f>M694*N694</f>
        <v>18000</v>
      </c>
      <c r="S694" s="15">
        <f>M694*O694</f>
        <v>0</v>
      </c>
      <c r="T694" s="15">
        <f>M694*Q694</f>
        <v>18000</v>
      </c>
      <c r="U694" s="15"/>
      <c r="V694" s="15">
        <f>M694*U694</f>
        <v>0</v>
      </c>
      <c r="W694" s="15">
        <f>T694-V694</f>
        <v>18000</v>
      </c>
      <c r="X694" s="17">
        <f>IF(T694&gt;0, W694/T694, 0)</f>
        <v>1</v>
      </c>
      <c r="Y694" s="8" t="s">
        <v>41</v>
      </c>
      <c r="Z694" s="10" t="s">
        <v>42</v>
      </c>
      <c r="AA694" s="10" t="s">
        <v>43</v>
      </c>
      <c r="AB694" s="10" t="s">
        <v>44</v>
      </c>
      <c r="AC694" s="8" t="s">
        <v>44</v>
      </c>
    </row>
    <row r="695" spans="1:29">
      <c r="A695" s="11">
        <v>688</v>
      </c>
      <c r="B695" s="11" t="s">
        <v>986</v>
      </c>
      <c r="C695" s="11" t="s">
        <v>957</v>
      </c>
      <c r="D695" s="11" t="s">
        <v>655</v>
      </c>
      <c r="E695" s="11" t="s">
        <v>34</v>
      </c>
      <c r="F695" s="11" t="s">
        <v>35</v>
      </c>
      <c r="G695" s="9" t="s">
        <v>52</v>
      </c>
      <c r="H695" s="9" t="s">
        <v>37</v>
      </c>
      <c r="I695" s="9" t="s">
        <v>38</v>
      </c>
      <c r="J695" s="11">
        <v>128</v>
      </c>
      <c r="K695" s="11" t="s">
        <v>159</v>
      </c>
      <c r="L695" s="11" t="s">
        <v>55</v>
      </c>
      <c r="M695" s="13">
        <v>2</v>
      </c>
      <c r="N695" s="16">
        <v>7000.0</v>
      </c>
      <c r="O695" s="16"/>
      <c r="P695" s="18">
        <f>IF(N695&gt;0, O695/N695, 0)</f>
        <v>0</v>
      </c>
      <c r="Q695" s="16">
        <f>N695-O695</f>
        <v>7000</v>
      </c>
      <c r="R695" s="16">
        <f>M695*N695</f>
        <v>14000</v>
      </c>
      <c r="S695" s="16">
        <f>M695*O695</f>
        <v>0</v>
      </c>
      <c r="T695" s="16">
        <f>M695*Q695</f>
        <v>14000</v>
      </c>
      <c r="U695" s="16"/>
      <c r="V695" s="16">
        <f>M695*U695</f>
        <v>0</v>
      </c>
      <c r="W695" s="16">
        <f>T695-V695</f>
        <v>14000</v>
      </c>
      <c r="X695" s="18">
        <f>IF(T695&gt;0, W695/T695, 0)</f>
        <v>1</v>
      </c>
      <c r="Y695" s="9" t="s">
        <v>41</v>
      </c>
      <c r="Z695" s="11" t="s">
        <v>42</v>
      </c>
      <c r="AA695" s="11" t="s">
        <v>43</v>
      </c>
      <c r="AB695" s="11" t="s">
        <v>44</v>
      </c>
      <c r="AC695" s="9" t="s">
        <v>44</v>
      </c>
    </row>
    <row r="696" spans="1:29">
      <c r="A696" s="10">
        <v>689</v>
      </c>
      <c r="B696" s="10" t="s">
        <v>987</v>
      </c>
      <c r="C696" s="10" t="s">
        <v>957</v>
      </c>
      <c r="D696" s="10" t="s">
        <v>655</v>
      </c>
      <c r="E696" s="10" t="s">
        <v>34</v>
      </c>
      <c r="F696" s="10" t="s">
        <v>35</v>
      </c>
      <c r="G696" s="8" t="s">
        <v>52</v>
      </c>
      <c r="H696" s="8" t="s">
        <v>37</v>
      </c>
      <c r="I696" s="8" t="s">
        <v>38</v>
      </c>
      <c r="J696" s="10">
        <v>146</v>
      </c>
      <c r="K696" s="10" t="s">
        <v>260</v>
      </c>
      <c r="L696" s="10" t="s">
        <v>55</v>
      </c>
      <c r="M696" s="12">
        <v>1</v>
      </c>
      <c r="N696" s="15">
        <v>7000.0</v>
      </c>
      <c r="O696" s="15"/>
      <c r="P696" s="17">
        <f>IF(N696&gt;0, O696/N696, 0)</f>
        <v>0</v>
      </c>
      <c r="Q696" s="15">
        <f>N696-O696</f>
        <v>7000</v>
      </c>
      <c r="R696" s="15">
        <f>M696*N696</f>
        <v>7000</v>
      </c>
      <c r="S696" s="15">
        <f>M696*O696</f>
        <v>0</v>
      </c>
      <c r="T696" s="15">
        <f>M696*Q696</f>
        <v>7000</v>
      </c>
      <c r="U696" s="15"/>
      <c r="V696" s="15">
        <f>M696*U696</f>
        <v>0</v>
      </c>
      <c r="W696" s="15">
        <f>T696-V696</f>
        <v>7000</v>
      </c>
      <c r="X696" s="17">
        <f>IF(T696&gt;0, W696/T696, 0)</f>
        <v>1</v>
      </c>
      <c r="Y696" s="8" t="s">
        <v>41</v>
      </c>
      <c r="Z696" s="10" t="s">
        <v>42</v>
      </c>
      <c r="AA696" s="10" t="s">
        <v>43</v>
      </c>
      <c r="AB696" s="10" t="s">
        <v>44</v>
      </c>
      <c r="AC696" s="8" t="s">
        <v>44</v>
      </c>
    </row>
    <row r="697" spans="1:29">
      <c r="A697" s="11">
        <v>690</v>
      </c>
      <c r="B697" s="11" t="s">
        <v>988</v>
      </c>
      <c r="C697" s="11" t="s">
        <v>957</v>
      </c>
      <c r="D697" s="11" t="s">
        <v>655</v>
      </c>
      <c r="E697" s="11" t="s">
        <v>34</v>
      </c>
      <c r="F697" s="11" t="s">
        <v>35</v>
      </c>
      <c r="G697" s="9" t="s">
        <v>52</v>
      </c>
      <c r="H697" s="9" t="s">
        <v>37</v>
      </c>
      <c r="I697" s="9" t="s">
        <v>38</v>
      </c>
      <c r="J697" s="11">
        <v>122</v>
      </c>
      <c r="K697" s="11" t="s">
        <v>107</v>
      </c>
      <c r="L697" s="11" t="s">
        <v>55</v>
      </c>
      <c r="M697" s="13">
        <v>2</v>
      </c>
      <c r="N697" s="16">
        <v>7000.0</v>
      </c>
      <c r="O697" s="16"/>
      <c r="P697" s="18">
        <f>IF(N697&gt;0, O697/N697, 0)</f>
        <v>0</v>
      </c>
      <c r="Q697" s="16">
        <f>N697-O697</f>
        <v>7000</v>
      </c>
      <c r="R697" s="16">
        <f>M697*N697</f>
        <v>14000</v>
      </c>
      <c r="S697" s="16">
        <f>M697*O697</f>
        <v>0</v>
      </c>
      <c r="T697" s="16">
        <f>M697*Q697</f>
        <v>14000</v>
      </c>
      <c r="U697" s="16"/>
      <c r="V697" s="16">
        <f>M697*U697</f>
        <v>0</v>
      </c>
      <c r="W697" s="16">
        <f>T697-V697</f>
        <v>14000</v>
      </c>
      <c r="X697" s="18">
        <f>IF(T697&gt;0, W697/T697, 0)</f>
        <v>1</v>
      </c>
      <c r="Y697" s="9" t="s">
        <v>41</v>
      </c>
      <c r="Z697" s="11" t="s">
        <v>42</v>
      </c>
      <c r="AA697" s="11" t="s">
        <v>43</v>
      </c>
      <c r="AB697" s="11" t="s">
        <v>44</v>
      </c>
      <c r="AC697" s="9" t="s">
        <v>44</v>
      </c>
    </row>
    <row r="698" spans="1:29">
      <c r="A698" s="10">
        <v>691</v>
      </c>
      <c r="B698" s="10" t="s">
        <v>989</v>
      </c>
      <c r="C698" s="10" t="s">
        <v>957</v>
      </c>
      <c r="D698" s="10" t="s">
        <v>655</v>
      </c>
      <c r="E698" s="10" t="s">
        <v>70</v>
      </c>
      <c r="F698" s="10" t="s">
        <v>35</v>
      </c>
      <c r="G698" s="8" t="s">
        <v>36</v>
      </c>
      <c r="H698" s="8" t="s">
        <v>37</v>
      </c>
      <c r="I698" s="8" t="s">
        <v>38</v>
      </c>
      <c r="J698" s="10">
        <v>158</v>
      </c>
      <c r="K698" s="10" t="s">
        <v>39</v>
      </c>
      <c r="L698" s="10" t="s">
        <v>40</v>
      </c>
      <c r="M698" s="12">
        <v>2</v>
      </c>
      <c r="N698" s="15">
        <v>10000.0</v>
      </c>
      <c r="O698" s="15"/>
      <c r="P698" s="17">
        <f>IF(N698&gt;0, O698/N698, 0)</f>
        <v>0</v>
      </c>
      <c r="Q698" s="15">
        <f>N698-O698</f>
        <v>10000</v>
      </c>
      <c r="R698" s="15">
        <f>M698*N698</f>
        <v>20000</v>
      </c>
      <c r="S698" s="15">
        <f>M698*O698</f>
        <v>0</v>
      </c>
      <c r="T698" s="15">
        <f>M698*Q698</f>
        <v>20000</v>
      </c>
      <c r="U698" s="15"/>
      <c r="V698" s="15">
        <f>M698*U698</f>
        <v>0</v>
      </c>
      <c r="W698" s="15">
        <f>T698-V698</f>
        <v>20000</v>
      </c>
      <c r="X698" s="17">
        <f>IF(T698&gt;0, W698/T698, 0)</f>
        <v>1</v>
      </c>
      <c r="Y698" s="8" t="s">
        <v>41</v>
      </c>
      <c r="Z698" s="10" t="s">
        <v>42</v>
      </c>
      <c r="AA698" s="10" t="s">
        <v>73</v>
      </c>
      <c r="AB698" s="10" t="s">
        <v>44</v>
      </c>
      <c r="AC698" s="8" t="s">
        <v>44</v>
      </c>
    </row>
    <row r="699" spans="1:29">
      <c r="A699" s="11">
        <v>692</v>
      </c>
      <c r="B699" s="11" t="s">
        <v>990</v>
      </c>
      <c r="C699" s="11" t="s">
        <v>957</v>
      </c>
      <c r="D699" s="11" t="s">
        <v>655</v>
      </c>
      <c r="E699" s="11" t="s">
        <v>34</v>
      </c>
      <c r="F699" s="11" t="s">
        <v>35</v>
      </c>
      <c r="G699" s="9" t="s">
        <v>36</v>
      </c>
      <c r="H699" s="9" t="s">
        <v>47</v>
      </c>
      <c r="I699" s="9" t="s">
        <v>48</v>
      </c>
      <c r="J699" s="11">
        <v>158</v>
      </c>
      <c r="K699" s="11" t="s">
        <v>49</v>
      </c>
      <c r="L699" s="11" t="s">
        <v>40</v>
      </c>
      <c r="M699" s="13">
        <v>1</v>
      </c>
      <c r="N699" s="16">
        <v>18000.0</v>
      </c>
      <c r="O699" s="16"/>
      <c r="P699" s="18">
        <f>IF(N699&gt;0, O699/N699, 0)</f>
        <v>0</v>
      </c>
      <c r="Q699" s="16">
        <f>N699-O699</f>
        <v>18000</v>
      </c>
      <c r="R699" s="16">
        <f>M699*N699</f>
        <v>18000</v>
      </c>
      <c r="S699" s="16">
        <f>M699*O699</f>
        <v>0</v>
      </c>
      <c r="T699" s="16">
        <f>M699*Q699</f>
        <v>18000</v>
      </c>
      <c r="U699" s="16"/>
      <c r="V699" s="16">
        <f>M699*U699</f>
        <v>0</v>
      </c>
      <c r="W699" s="16">
        <f>T699-V699</f>
        <v>18000</v>
      </c>
      <c r="X699" s="18">
        <f>IF(T699&gt;0, W699/T699, 0)</f>
        <v>1</v>
      </c>
      <c r="Y699" s="9" t="s">
        <v>41</v>
      </c>
      <c r="Z699" s="11" t="s">
        <v>42</v>
      </c>
      <c r="AA699" s="11" t="s">
        <v>43</v>
      </c>
      <c r="AB699" s="11" t="s">
        <v>44</v>
      </c>
      <c r="AC699" s="9" t="s">
        <v>44</v>
      </c>
    </row>
    <row r="700" spans="1:29">
      <c r="A700" s="10">
        <v>693</v>
      </c>
      <c r="B700" s="10" t="s">
        <v>991</v>
      </c>
      <c r="C700" s="10" t="s">
        <v>957</v>
      </c>
      <c r="D700" s="10" t="s">
        <v>655</v>
      </c>
      <c r="E700" s="10" t="s">
        <v>34</v>
      </c>
      <c r="F700" s="10" t="s">
        <v>35</v>
      </c>
      <c r="G700" s="8" t="s">
        <v>52</v>
      </c>
      <c r="H700" s="8" t="s">
        <v>58</v>
      </c>
      <c r="I700" s="8" t="s">
        <v>58</v>
      </c>
      <c r="J700" s="10">
        <v>110</v>
      </c>
      <c r="K700" s="10" t="s">
        <v>961</v>
      </c>
      <c r="L700" s="10" t="s">
        <v>40</v>
      </c>
      <c r="M700" s="12">
        <v>1</v>
      </c>
      <c r="N700" s="15">
        <v>7000.0</v>
      </c>
      <c r="O700" s="15"/>
      <c r="P700" s="17">
        <f>IF(N700&gt;0, O700/N700, 0)</f>
        <v>0</v>
      </c>
      <c r="Q700" s="15">
        <f>N700-O700</f>
        <v>7000</v>
      </c>
      <c r="R700" s="15">
        <f>M700*N700</f>
        <v>7000</v>
      </c>
      <c r="S700" s="15">
        <f>M700*O700</f>
        <v>0</v>
      </c>
      <c r="T700" s="15">
        <f>M700*Q700</f>
        <v>7000</v>
      </c>
      <c r="U700" s="15"/>
      <c r="V700" s="15">
        <f>M700*U700</f>
        <v>0</v>
      </c>
      <c r="W700" s="15">
        <f>T700-V700</f>
        <v>7000</v>
      </c>
      <c r="X700" s="17">
        <f>IF(T700&gt;0, W700/T700, 0)</f>
        <v>1</v>
      </c>
      <c r="Y700" s="8" t="s">
        <v>41</v>
      </c>
      <c r="Z700" s="10" t="s">
        <v>42</v>
      </c>
      <c r="AA700" s="10" t="s">
        <v>43</v>
      </c>
      <c r="AB700" s="10" t="s">
        <v>44</v>
      </c>
      <c r="AC700" s="8" t="s">
        <v>44</v>
      </c>
    </row>
    <row r="701" spans="1:29">
      <c r="A701" s="11">
        <v>694</v>
      </c>
      <c r="B701" s="11" t="s">
        <v>992</v>
      </c>
      <c r="C701" s="11" t="s">
        <v>957</v>
      </c>
      <c r="D701" s="11" t="s">
        <v>655</v>
      </c>
      <c r="E701" s="11" t="s">
        <v>34</v>
      </c>
      <c r="F701" s="11" t="s">
        <v>35</v>
      </c>
      <c r="G701" s="9" t="s">
        <v>52</v>
      </c>
      <c r="H701" s="9" t="s">
        <v>53</v>
      </c>
      <c r="I701" s="9" t="s">
        <v>53</v>
      </c>
      <c r="J701" s="11">
        <v>110</v>
      </c>
      <c r="K701" s="11" t="s">
        <v>233</v>
      </c>
      <c r="L701" s="11" t="s">
        <v>55</v>
      </c>
      <c r="M701" s="13">
        <v>1</v>
      </c>
      <c r="N701" s="16">
        <v>8000.0</v>
      </c>
      <c r="O701" s="16"/>
      <c r="P701" s="18">
        <f>IF(N701&gt;0, O701/N701, 0)</f>
        <v>0</v>
      </c>
      <c r="Q701" s="16">
        <f>N701-O701</f>
        <v>8000</v>
      </c>
      <c r="R701" s="16">
        <f>M701*N701</f>
        <v>8000</v>
      </c>
      <c r="S701" s="16">
        <f>M701*O701</f>
        <v>0</v>
      </c>
      <c r="T701" s="16">
        <f>M701*Q701</f>
        <v>8000</v>
      </c>
      <c r="U701" s="16"/>
      <c r="V701" s="16">
        <f>M701*U701</f>
        <v>0</v>
      </c>
      <c r="W701" s="16">
        <f>T701-V701</f>
        <v>8000</v>
      </c>
      <c r="X701" s="18">
        <f>IF(T701&gt;0, W701/T701, 0)</f>
        <v>1</v>
      </c>
      <c r="Y701" s="9" t="s">
        <v>41</v>
      </c>
      <c r="Z701" s="11" t="s">
        <v>42</v>
      </c>
      <c r="AA701" s="11" t="s">
        <v>43</v>
      </c>
      <c r="AB701" s="11" t="s">
        <v>44</v>
      </c>
      <c r="AC701" s="9" t="s">
        <v>44</v>
      </c>
    </row>
    <row r="702" spans="1:29">
      <c r="A702" s="10">
        <v>695</v>
      </c>
      <c r="B702" s="10" t="s">
        <v>993</v>
      </c>
      <c r="C702" s="10" t="s">
        <v>957</v>
      </c>
      <c r="D702" s="10" t="s">
        <v>655</v>
      </c>
      <c r="E702" s="10" t="s">
        <v>34</v>
      </c>
      <c r="F702" s="10" t="s">
        <v>35</v>
      </c>
      <c r="G702" s="8" t="s">
        <v>52</v>
      </c>
      <c r="H702" s="8" t="s">
        <v>37</v>
      </c>
      <c r="I702" s="8" t="s">
        <v>38</v>
      </c>
      <c r="J702" s="10">
        <v>116</v>
      </c>
      <c r="K702" s="10" t="s">
        <v>94</v>
      </c>
      <c r="L702" s="10" t="s">
        <v>55</v>
      </c>
      <c r="M702" s="12">
        <v>1</v>
      </c>
      <c r="N702" s="15">
        <v>7000.0</v>
      </c>
      <c r="O702" s="15"/>
      <c r="P702" s="17">
        <f>IF(N702&gt;0, O702/N702, 0)</f>
        <v>0</v>
      </c>
      <c r="Q702" s="15">
        <f>N702-O702</f>
        <v>7000</v>
      </c>
      <c r="R702" s="15">
        <f>M702*N702</f>
        <v>7000</v>
      </c>
      <c r="S702" s="15">
        <f>M702*O702</f>
        <v>0</v>
      </c>
      <c r="T702" s="15">
        <f>M702*Q702</f>
        <v>7000</v>
      </c>
      <c r="U702" s="15"/>
      <c r="V702" s="15">
        <f>M702*U702</f>
        <v>0</v>
      </c>
      <c r="W702" s="15">
        <f>T702-V702</f>
        <v>7000</v>
      </c>
      <c r="X702" s="17">
        <f>IF(T702&gt;0, W702/T702, 0)</f>
        <v>1</v>
      </c>
      <c r="Y702" s="8" t="s">
        <v>41</v>
      </c>
      <c r="Z702" s="10" t="s">
        <v>42</v>
      </c>
      <c r="AA702" s="10" t="s">
        <v>43</v>
      </c>
      <c r="AB702" s="10" t="s">
        <v>44</v>
      </c>
      <c r="AC702" s="8" t="s">
        <v>44</v>
      </c>
    </row>
    <row r="703" spans="1:29">
      <c r="A703" s="11">
        <v>696</v>
      </c>
      <c r="B703" s="11" t="s">
        <v>994</v>
      </c>
      <c r="C703" s="11" t="s">
        <v>957</v>
      </c>
      <c r="D703" s="11" t="s">
        <v>655</v>
      </c>
      <c r="E703" s="11" t="s">
        <v>34</v>
      </c>
      <c r="F703" s="11" t="s">
        <v>35</v>
      </c>
      <c r="G703" s="9" t="s">
        <v>36</v>
      </c>
      <c r="H703" s="9" t="s">
        <v>53</v>
      </c>
      <c r="I703" s="9" t="s">
        <v>53</v>
      </c>
      <c r="J703" s="11">
        <v>158</v>
      </c>
      <c r="K703" s="11" t="s">
        <v>124</v>
      </c>
      <c r="L703" s="11" t="s">
        <v>40</v>
      </c>
      <c r="M703" s="13">
        <v>1</v>
      </c>
      <c r="N703" s="16">
        <v>8500.0</v>
      </c>
      <c r="O703" s="16"/>
      <c r="P703" s="18">
        <f>IF(N703&gt;0, O703/N703, 0)</f>
        <v>0</v>
      </c>
      <c r="Q703" s="16">
        <f>N703-O703</f>
        <v>8500</v>
      </c>
      <c r="R703" s="16">
        <f>M703*N703</f>
        <v>8500</v>
      </c>
      <c r="S703" s="16">
        <f>M703*O703</f>
        <v>0</v>
      </c>
      <c r="T703" s="16">
        <f>M703*Q703</f>
        <v>8500</v>
      </c>
      <c r="U703" s="16"/>
      <c r="V703" s="16">
        <f>M703*U703</f>
        <v>0</v>
      </c>
      <c r="W703" s="16">
        <f>T703-V703</f>
        <v>8500</v>
      </c>
      <c r="X703" s="18">
        <f>IF(T703&gt;0, W703/T703, 0)</f>
        <v>1</v>
      </c>
      <c r="Y703" s="9" t="s">
        <v>41</v>
      </c>
      <c r="Z703" s="11" t="s">
        <v>42</v>
      </c>
      <c r="AA703" s="11" t="s">
        <v>43</v>
      </c>
      <c r="AB703" s="11" t="s">
        <v>44</v>
      </c>
      <c r="AC703" s="9" t="s">
        <v>44</v>
      </c>
    </row>
    <row r="704" spans="1:29">
      <c r="A704" s="10">
        <v>697</v>
      </c>
      <c r="B704" s="10" t="s">
        <v>995</v>
      </c>
      <c r="C704" s="10" t="s">
        <v>957</v>
      </c>
      <c r="D704" s="10" t="s">
        <v>655</v>
      </c>
      <c r="E704" s="10" t="s">
        <v>34</v>
      </c>
      <c r="F704" s="10" t="s">
        <v>35</v>
      </c>
      <c r="G704" s="8" t="s">
        <v>52</v>
      </c>
      <c r="H704" s="8" t="s">
        <v>71</v>
      </c>
      <c r="I704" s="8" t="s">
        <v>71</v>
      </c>
      <c r="J704" s="10">
        <v>152</v>
      </c>
      <c r="K704" s="10" t="s">
        <v>353</v>
      </c>
      <c r="L704" s="10" t="s">
        <v>40</v>
      </c>
      <c r="M704" s="12">
        <v>1</v>
      </c>
      <c r="N704" s="15">
        <v>16500.0</v>
      </c>
      <c r="O704" s="15"/>
      <c r="P704" s="17">
        <f>IF(N704&gt;0, O704/N704, 0)</f>
        <v>0</v>
      </c>
      <c r="Q704" s="15">
        <f>N704-O704</f>
        <v>16500</v>
      </c>
      <c r="R704" s="15">
        <f>M704*N704</f>
        <v>16500</v>
      </c>
      <c r="S704" s="15">
        <f>M704*O704</f>
        <v>0</v>
      </c>
      <c r="T704" s="15">
        <f>M704*Q704</f>
        <v>16500</v>
      </c>
      <c r="U704" s="15"/>
      <c r="V704" s="15">
        <f>M704*U704</f>
        <v>0</v>
      </c>
      <c r="W704" s="15">
        <f>T704-V704</f>
        <v>16500</v>
      </c>
      <c r="X704" s="17">
        <f>IF(T704&gt;0, W704/T704, 0)</f>
        <v>1</v>
      </c>
      <c r="Y704" s="8" t="s">
        <v>41</v>
      </c>
      <c r="Z704" s="10" t="s">
        <v>42</v>
      </c>
      <c r="AA704" s="10" t="s">
        <v>43</v>
      </c>
      <c r="AB704" s="10" t="s">
        <v>44</v>
      </c>
      <c r="AC704" s="8" t="s">
        <v>44</v>
      </c>
    </row>
    <row r="705" spans="1:29">
      <c r="A705" s="11">
        <v>698</v>
      </c>
      <c r="B705" s="11" t="s">
        <v>996</v>
      </c>
      <c r="C705" s="11" t="s">
        <v>957</v>
      </c>
      <c r="D705" s="11" t="s">
        <v>655</v>
      </c>
      <c r="E705" s="11" t="s">
        <v>70</v>
      </c>
      <c r="F705" s="11" t="s">
        <v>35</v>
      </c>
      <c r="G705" s="9" t="s">
        <v>52</v>
      </c>
      <c r="H705" s="9" t="s">
        <v>71</v>
      </c>
      <c r="I705" s="9" t="s">
        <v>71</v>
      </c>
      <c r="J705" s="11">
        <v>122</v>
      </c>
      <c r="K705" s="11" t="s">
        <v>101</v>
      </c>
      <c r="L705" s="11" t="s">
        <v>40</v>
      </c>
      <c r="M705" s="13">
        <v>1</v>
      </c>
      <c r="N705" s="16">
        <v>17000.0</v>
      </c>
      <c r="O705" s="16"/>
      <c r="P705" s="18">
        <f>IF(N705&gt;0, O705/N705, 0)</f>
        <v>0</v>
      </c>
      <c r="Q705" s="16">
        <f>N705-O705</f>
        <v>17000</v>
      </c>
      <c r="R705" s="16">
        <f>M705*N705</f>
        <v>17000</v>
      </c>
      <c r="S705" s="16">
        <f>M705*O705</f>
        <v>0</v>
      </c>
      <c r="T705" s="16">
        <f>M705*Q705</f>
        <v>17000</v>
      </c>
      <c r="U705" s="16"/>
      <c r="V705" s="16">
        <f>M705*U705</f>
        <v>0</v>
      </c>
      <c r="W705" s="16">
        <f>T705-V705</f>
        <v>17000</v>
      </c>
      <c r="X705" s="18">
        <f>IF(T705&gt;0, W705/T705, 0)</f>
        <v>1</v>
      </c>
      <c r="Y705" s="9" t="s">
        <v>41</v>
      </c>
      <c r="Z705" s="11" t="s">
        <v>42</v>
      </c>
      <c r="AA705" s="11" t="s">
        <v>73</v>
      </c>
      <c r="AB705" s="11" t="s">
        <v>44</v>
      </c>
      <c r="AC705" s="9" t="s">
        <v>44</v>
      </c>
    </row>
    <row r="706" spans="1:29">
      <c r="A706" s="10">
        <v>699</v>
      </c>
      <c r="B706" s="10" t="s">
        <v>997</v>
      </c>
      <c r="C706" s="10" t="s">
        <v>957</v>
      </c>
      <c r="D706" s="10" t="s">
        <v>655</v>
      </c>
      <c r="E706" s="10" t="s">
        <v>34</v>
      </c>
      <c r="F706" s="10" t="s">
        <v>35</v>
      </c>
      <c r="G706" s="8" t="s">
        <v>52</v>
      </c>
      <c r="H706" s="8" t="s">
        <v>71</v>
      </c>
      <c r="I706" s="8" t="s">
        <v>71</v>
      </c>
      <c r="J706" s="10">
        <v>128</v>
      </c>
      <c r="K706" s="10" t="s">
        <v>112</v>
      </c>
      <c r="L706" s="10" t="s">
        <v>40</v>
      </c>
      <c r="M706" s="12">
        <v>1</v>
      </c>
      <c r="N706" s="15">
        <v>16000.0</v>
      </c>
      <c r="O706" s="15"/>
      <c r="P706" s="17">
        <f>IF(N706&gt;0, O706/N706, 0)</f>
        <v>0</v>
      </c>
      <c r="Q706" s="15">
        <f>N706-O706</f>
        <v>16000</v>
      </c>
      <c r="R706" s="15">
        <f>M706*N706</f>
        <v>16000</v>
      </c>
      <c r="S706" s="15">
        <f>M706*O706</f>
        <v>0</v>
      </c>
      <c r="T706" s="15">
        <f>M706*Q706</f>
        <v>16000</v>
      </c>
      <c r="U706" s="15"/>
      <c r="V706" s="15">
        <f>M706*U706</f>
        <v>0</v>
      </c>
      <c r="W706" s="15">
        <f>T706-V706</f>
        <v>16000</v>
      </c>
      <c r="X706" s="17">
        <f>IF(T706&gt;0, W706/T706, 0)</f>
        <v>1</v>
      </c>
      <c r="Y706" s="8" t="s">
        <v>41</v>
      </c>
      <c r="Z706" s="10" t="s">
        <v>42</v>
      </c>
      <c r="AA706" s="10" t="s">
        <v>43</v>
      </c>
      <c r="AB706" s="10" t="s">
        <v>44</v>
      </c>
      <c r="AC706" s="8" t="s">
        <v>44</v>
      </c>
    </row>
    <row r="707" spans="1:29">
      <c r="A707" s="11">
        <v>700</v>
      </c>
      <c r="B707" s="11" t="s">
        <v>998</v>
      </c>
      <c r="C707" s="11" t="s">
        <v>957</v>
      </c>
      <c r="D707" s="11" t="s">
        <v>655</v>
      </c>
      <c r="E707" s="11" t="s">
        <v>34</v>
      </c>
      <c r="F707" s="11" t="s">
        <v>35</v>
      </c>
      <c r="G707" s="9" t="s">
        <v>52</v>
      </c>
      <c r="H707" s="9" t="s">
        <v>53</v>
      </c>
      <c r="I707" s="9" t="s">
        <v>53</v>
      </c>
      <c r="J707" s="11">
        <v>128</v>
      </c>
      <c r="K707" s="11" t="s">
        <v>393</v>
      </c>
      <c r="L707" s="11" t="s">
        <v>55</v>
      </c>
      <c r="M707" s="13">
        <v>1</v>
      </c>
      <c r="N707" s="16">
        <v>8000.0</v>
      </c>
      <c r="O707" s="16"/>
      <c r="P707" s="18">
        <f>IF(N707&gt;0, O707/N707, 0)</f>
        <v>0</v>
      </c>
      <c r="Q707" s="16">
        <f>N707-O707</f>
        <v>8000</v>
      </c>
      <c r="R707" s="16">
        <f>M707*N707</f>
        <v>8000</v>
      </c>
      <c r="S707" s="16">
        <f>M707*O707</f>
        <v>0</v>
      </c>
      <c r="T707" s="16">
        <f>M707*Q707</f>
        <v>8000</v>
      </c>
      <c r="U707" s="16"/>
      <c r="V707" s="16">
        <f>M707*U707</f>
        <v>0</v>
      </c>
      <c r="W707" s="16">
        <f>T707-V707</f>
        <v>8000</v>
      </c>
      <c r="X707" s="18">
        <f>IF(T707&gt;0, W707/T707, 0)</f>
        <v>1</v>
      </c>
      <c r="Y707" s="9" t="s">
        <v>41</v>
      </c>
      <c r="Z707" s="11" t="s">
        <v>42</v>
      </c>
      <c r="AA707" s="11" t="s">
        <v>43</v>
      </c>
      <c r="AB707" s="11" t="s">
        <v>44</v>
      </c>
      <c r="AC707" s="9" t="s">
        <v>44</v>
      </c>
    </row>
    <row r="708" spans="1:29">
      <c r="A708" s="10">
        <v>701</v>
      </c>
      <c r="B708" s="10" t="s">
        <v>999</v>
      </c>
      <c r="C708" s="10" t="s">
        <v>957</v>
      </c>
      <c r="D708" s="10" t="s">
        <v>655</v>
      </c>
      <c r="E708" s="10" t="s">
        <v>34</v>
      </c>
      <c r="F708" s="10" t="s">
        <v>35</v>
      </c>
      <c r="G708" s="8" t="s">
        <v>52</v>
      </c>
      <c r="H708" s="8" t="s">
        <v>53</v>
      </c>
      <c r="I708" s="8" t="s">
        <v>53</v>
      </c>
      <c r="J708" s="10">
        <v>122</v>
      </c>
      <c r="K708" s="10" t="s">
        <v>84</v>
      </c>
      <c r="L708" s="10" t="s">
        <v>55</v>
      </c>
      <c r="M708" s="12">
        <v>1</v>
      </c>
      <c r="N708" s="15">
        <v>8000.0</v>
      </c>
      <c r="O708" s="15"/>
      <c r="P708" s="17">
        <f>IF(N708&gt;0, O708/N708, 0)</f>
        <v>0</v>
      </c>
      <c r="Q708" s="15">
        <f>N708-O708</f>
        <v>8000</v>
      </c>
      <c r="R708" s="15">
        <f>M708*N708</f>
        <v>8000</v>
      </c>
      <c r="S708" s="15">
        <f>M708*O708</f>
        <v>0</v>
      </c>
      <c r="T708" s="15">
        <f>M708*Q708</f>
        <v>8000</v>
      </c>
      <c r="U708" s="15"/>
      <c r="V708" s="15">
        <f>M708*U708</f>
        <v>0</v>
      </c>
      <c r="W708" s="15">
        <f>T708-V708</f>
        <v>8000</v>
      </c>
      <c r="X708" s="17">
        <f>IF(T708&gt;0, W708/T708, 0)</f>
        <v>1</v>
      </c>
      <c r="Y708" s="8" t="s">
        <v>41</v>
      </c>
      <c r="Z708" s="10" t="s">
        <v>42</v>
      </c>
      <c r="AA708" s="10" t="s">
        <v>43</v>
      </c>
      <c r="AB708" s="10" t="s">
        <v>44</v>
      </c>
      <c r="AC708" s="8" t="s">
        <v>44</v>
      </c>
    </row>
    <row r="709" spans="1:29">
      <c r="A709" s="11">
        <v>702</v>
      </c>
      <c r="B709" s="11" t="s">
        <v>1000</v>
      </c>
      <c r="C709" s="11" t="s">
        <v>957</v>
      </c>
      <c r="D709" s="11" t="s">
        <v>655</v>
      </c>
      <c r="E709" s="11" t="s">
        <v>34</v>
      </c>
      <c r="F709" s="11" t="s">
        <v>35</v>
      </c>
      <c r="G709" s="9" t="s">
        <v>52</v>
      </c>
      <c r="H709" s="9" t="s">
        <v>37</v>
      </c>
      <c r="I709" s="9" t="s">
        <v>38</v>
      </c>
      <c r="J709" s="11">
        <v>122</v>
      </c>
      <c r="K709" s="11" t="s">
        <v>107</v>
      </c>
      <c r="L709" s="11" t="s">
        <v>55</v>
      </c>
      <c r="M709" s="13">
        <v>1</v>
      </c>
      <c r="N709" s="16">
        <v>7000.0</v>
      </c>
      <c r="O709" s="16"/>
      <c r="P709" s="18">
        <f>IF(N709&gt;0, O709/N709, 0)</f>
        <v>0</v>
      </c>
      <c r="Q709" s="16">
        <f>N709-O709</f>
        <v>7000</v>
      </c>
      <c r="R709" s="16">
        <f>M709*N709</f>
        <v>7000</v>
      </c>
      <c r="S709" s="16">
        <f>M709*O709</f>
        <v>0</v>
      </c>
      <c r="T709" s="16">
        <f>M709*Q709</f>
        <v>7000</v>
      </c>
      <c r="U709" s="16"/>
      <c r="V709" s="16">
        <f>M709*U709</f>
        <v>0</v>
      </c>
      <c r="W709" s="16">
        <f>T709-V709</f>
        <v>7000</v>
      </c>
      <c r="X709" s="18">
        <f>IF(T709&gt;0, W709/T709, 0)</f>
        <v>1</v>
      </c>
      <c r="Y709" s="9" t="s">
        <v>41</v>
      </c>
      <c r="Z709" s="11" t="s">
        <v>42</v>
      </c>
      <c r="AA709" s="11" t="s">
        <v>43</v>
      </c>
      <c r="AB709" s="11" t="s">
        <v>44</v>
      </c>
      <c r="AC709" s="9" t="s">
        <v>44</v>
      </c>
    </row>
    <row r="710" spans="1:29">
      <c r="A710" s="10">
        <v>703</v>
      </c>
      <c r="B710" s="10" t="s">
        <v>1001</v>
      </c>
      <c r="C710" s="10" t="s">
        <v>957</v>
      </c>
      <c r="D710" s="10" t="s">
        <v>655</v>
      </c>
      <c r="E710" s="10" t="s">
        <v>34</v>
      </c>
      <c r="F710" s="10" t="s">
        <v>35</v>
      </c>
      <c r="G710" s="8" t="s">
        <v>52</v>
      </c>
      <c r="H710" s="8" t="s">
        <v>37</v>
      </c>
      <c r="I710" s="8" t="s">
        <v>38</v>
      </c>
      <c r="J710" s="10">
        <v>128</v>
      </c>
      <c r="K710" s="10" t="s">
        <v>159</v>
      </c>
      <c r="L710" s="10" t="s">
        <v>55</v>
      </c>
      <c r="M710" s="12">
        <v>1</v>
      </c>
      <c r="N710" s="15">
        <v>7000.0</v>
      </c>
      <c r="O710" s="15"/>
      <c r="P710" s="17">
        <f>IF(N710&gt;0, O710/N710, 0)</f>
        <v>0</v>
      </c>
      <c r="Q710" s="15">
        <f>N710-O710</f>
        <v>7000</v>
      </c>
      <c r="R710" s="15">
        <f>M710*N710</f>
        <v>7000</v>
      </c>
      <c r="S710" s="15">
        <f>M710*O710</f>
        <v>0</v>
      </c>
      <c r="T710" s="15">
        <f>M710*Q710</f>
        <v>7000</v>
      </c>
      <c r="U710" s="15"/>
      <c r="V710" s="15">
        <f>M710*U710</f>
        <v>0</v>
      </c>
      <c r="W710" s="15">
        <f>T710-V710</f>
        <v>7000</v>
      </c>
      <c r="X710" s="17">
        <f>IF(T710&gt;0, W710/T710, 0)</f>
        <v>1</v>
      </c>
      <c r="Y710" s="8" t="s">
        <v>41</v>
      </c>
      <c r="Z710" s="10" t="s">
        <v>42</v>
      </c>
      <c r="AA710" s="10" t="s">
        <v>43</v>
      </c>
      <c r="AB710" s="10" t="s">
        <v>44</v>
      </c>
      <c r="AC710" s="8" t="s">
        <v>44</v>
      </c>
    </row>
    <row r="711" spans="1:29">
      <c r="A711" s="11">
        <v>704</v>
      </c>
      <c r="B711" s="11" t="s">
        <v>1002</v>
      </c>
      <c r="C711" s="11" t="s">
        <v>957</v>
      </c>
      <c r="D711" s="11" t="s">
        <v>655</v>
      </c>
      <c r="E711" s="11" t="s">
        <v>34</v>
      </c>
      <c r="F711" s="11" t="s">
        <v>35</v>
      </c>
      <c r="G711" s="9" t="s">
        <v>36</v>
      </c>
      <c r="H711" s="9" t="s">
        <v>58</v>
      </c>
      <c r="I711" s="9" t="s">
        <v>58</v>
      </c>
      <c r="J711" s="11">
        <v>164</v>
      </c>
      <c r="K711" s="11" t="s">
        <v>59</v>
      </c>
      <c r="L711" s="11" t="s">
        <v>40</v>
      </c>
      <c r="M711" s="13">
        <v>1</v>
      </c>
      <c r="N711" s="16">
        <v>7500.0</v>
      </c>
      <c r="O711" s="16"/>
      <c r="P711" s="18">
        <f>IF(N711&gt;0, O711/N711, 0)</f>
        <v>0</v>
      </c>
      <c r="Q711" s="16">
        <f>N711-O711</f>
        <v>7500</v>
      </c>
      <c r="R711" s="16">
        <f>M711*N711</f>
        <v>7500</v>
      </c>
      <c r="S711" s="16">
        <f>M711*O711</f>
        <v>0</v>
      </c>
      <c r="T711" s="16">
        <f>M711*Q711</f>
        <v>7500</v>
      </c>
      <c r="U711" s="16"/>
      <c r="V711" s="16">
        <f>M711*U711</f>
        <v>0</v>
      </c>
      <c r="W711" s="16">
        <f>T711-V711</f>
        <v>7500</v>
      </c>
      <c r="X711" s="18">
        <f>IF(T711&gt;0, W711/T711, 0)</f>
        <v>1</v>
      </c>
      <c r="Y711" s="9" t="s">
        <v>41</v>
      </c>
      <c r="Z711" s="11" t="s">
        <v>42</v>
      </c>
      <c r="AA711" s="11" t="s">
        <v>43</v>
      </c>
      <c r="AB711" s="11" t="s">
        <v>44</v>
      </c>
      <c r="AC711" s="9" t="s">
        <v>44</v>
      </c>
    </row>
    <row r="712" spans="1:29">
      <c r="A712" s="10">
        <v>705</v>
      </c>
      <c r="B712" s="10" t="s">
        <v>1003</v>
      </c>
      <c r="C712" s="10" t="s">
        <v>957</v>
      </c>
      <c r="D712" s="10" t="s">
        <v>655</v>
      </c>
      <c r="E712" s="10" t="s">
        <v>34</v>
      </c>
      <c r="F712" s="10" t="s">
        <v>35</v>
      </c>
      <c r="G712" s="8" t="s">
        <v>36</v>
      </c>
      <c r="H712" s="8" t="s">
        <v>37</v>
      </c>
      <c r="I712" s="8" t="s">
        <v>38</v>
      </c>
      <c r="J712" s="10">
        <v>176</v>
      </c>
      <c r="K712" s="10" t="s">
        <v>355</v>
      </c>
      <c r="L712" s="10" t="s">
        <v>40</v>
      </c>
      <c r="M712" s="12">
        <v>2</v>
      </c>
      <c r="N712" s="15">
        <v>8000.0</v>
      </c>
      <c r="O712" s="15"/>
      <c r="P712" s="17">
        <f>IF(N712&gt;0, O712/N712, 0)</f>
        <v>0</v>
      </c>
      <c r="Q712" s="15">
        <f>N712-O712</f>
        <v>8000</v>
      </c>
      <c r="R712" s="15">
        <f>M712*N712</f>
        <v>16000</v>
      </c>
      <c r="S712" s="15">
        <f>M712*O712</f>
        <v>0</v>
      </c>
      <c r="T712" s="15">
        <f>M712*Q712</f>
        <v>16000</v>
      </c>
      <c r="U712" s="15"/>
      <c r="V712" s="15">
        <f>M712*U712</f>
        <v>0</v>
      </c>
      <c r="W712" s="15">
        <f>T712-V712</f>
        <v>16000</v>
      </c>
      <c r="X712" s="17">
        <f>IF(T712&gt;0, W712/T712, 0)</f>
        <v>1</v>
      </c>
      <c r="Y712" s="8" t="s">
        <v>41</v>
      </c>
      <c r="Z712" s="10" t="s">
        <v>42</v>
      </c>
      <c r="AA712" s="10" t="s">
        <v>43</v>
      </c>
      <c r="AB712" s="10" t="s">
        <v>44</v>
      </c>
      <c r="AC712" s="8" t="s">
        <v>44</v>
      </c>
    </row>
    <row r="713" spans="1:29">
      <c r="A713" s="11">
        <v>706</v>
      </c>
      <c r="B713" s="11" t="s">
        <v>1004</v>
      </c>
      <c r="C713" s="11" t="s">
        <v>957</v>
      </c>
      <c r="D713" s="11" t="s">
        <v>655</v>
      </c>
      <c r="E713" s="11" t="s">
        <v>34</v>
      </c>
      <c r="F713" s="11" t="s">
        <v>35</v>
      </c>
      <c r="G713" s="9" t="s">
        <v>36</v>
      </c>
      <c r="H713" s="9" t="s">
        <v>37</v>
      </c>
      <c r="I713" s="9" t="s">
        <v>38</v>
      </c>
      <c r="J713" s="11">
        <v>170</v>
      </c>
      <c r="K713" s="11" t="s">
        <v>145</v>
      </c>
      <c r="L713" s="11" t="s">
        <v>40</v>
      </c>
      <c r="M713" s="13">
        <v>2</v>
      </c>
      <c r="N713" s="16">
        <v>8000.0</v>
      </c>
      <c r="O713" s="16"/>
      <c r="P713" s="18">
        <f>IF(N713&gt;0, O713/N713, 0)</f>
        <v>0</v>
      </c>
      <c r="Q713" s="16">
        <f>N713-O713</f>
        <v>8000</v>
      </c>
      <c r="R713" s="16">
        <f>M713*N713</f>
        <v>16000</v>
      </c>
      <c r="S713" s="16">
        <f>M713*O713</f>
        <v>0</v>
      </c>
      <c r="T713" s="16">
        <f>M713*Q713</f>
        <v>16000</v>
      </c>
      <c r="U713" s="16"/>
      <c r="V713" s="16">
        <f>M713*U713</f>
        <v>0</v>
      </c>
      <c r="W713" s="16">
        <f>T713-V713</f>
        <v>16000</v>
      </c>
      <c r="X713" s="18">
        <f>IF(T713&gt;0, W713/T713, 0)</f>
        <v>1</v>
      </c>
      <c r="Y713" s="9" t="s">
        <v>41</v>
      </c>
      <c r="Z713" s="11" t="s">
        <v>42</v>
      </c>
      <c r="AA713" s="11" t="s">
        <v>43</v>
      </c>
      <c r="AB713" s="11" t="s">
        <v>44</v>
      </c>
      <c r="AC713" s="9" t="s">
        <v>44</v>
      </c>
    </row>
    <row r="714" spans="1:29">
      <c r="A714" s="10">
        <v>707</v>
      </c>
      <c r="B714" s="10" t="s">
        <v>1005</v>
      </c>
      <c r="C714" s="10" t="s">
        <v>957</v>
      </c>
      <c r="D714" s="10" t="s">
        <v>655</v>
      </c>
      <c r="E714" s="10" t="s">
        <v>70</v>
      </c>
      <c r="F714" s="10" t="s">
        <v>35</v>
      </c>
      <c r="G714" s="8" t="s">
        <v>52</v>
      </c>
      <c r="H714" s="8" t="s">
        <v>71</v>
      </c>
      <c r="I714" s="8" t="s">
        <v>71</v>
      </c>
      <c r="J714" s="10">
        <v>170</v>
      </c>
      <c r="K714" s="10" t="s">
        <v>1006</v>
      </c>
      <c r="L714" s="10" t="s">
        <v>40</v>
      </c>
      <c r="M714" s="12">
        <v>1</v>
      </c>
      <c r="N714" s="15">
        <v>18000.0</v>
      </c>
      <c r="O714" s="15"/>
      <c r="P714" s="17">
        <f>IF(N714&gt;0, O714/N714, 0)</f>
        <v>0</v>
      </c>
      <c r="Q714" s="15">
        <f>N714-O714</f>
        <v>18000</v>
      </c>
      <c r="R714" s="15">
        <f>M714*N714</f>
        <v>18000</v>
      </c>
      <c r="S714" s="15">
        <f>M714*O714</f>
        <v>0</v>
      </c>
      <c r="T714" s="15">
        <f>M714*Q714</f>
        <v>18000</v>
      </c>
      <c r="U714" s="15"/>
      <c r="V714" s="15">
        <f>M714*U714</f>
        <v>0</v>
      </c>
      <c r="W714" s="15">
        <f>T714-V714</f>
        <v>18000</v>
      </c>
      <c r="X714" s="17">
        <f>IF(T714&gt;0, W714/T714, 0)</f>
        <v>1</v>
      </c>
      <c r="Y714" s="8" t="s">
        <v>41</v>
      </c>
      <c r="Z714" s="10" t="s">
        <v>42</v>
      </c>
      <c r="AA714" s="10" t="s">
        <v>73</v>
      </c>
      <c r="AB714" s="10" t="s">
        <v>44</v>
      </c>
      <c r="AC714" s="8" t="s">
        <v>44</v>
      </c>
    </row>
    <row r="715" spans="1:29">
      <c r="A715" s="11">
        <v>708</v>
      </c>
      <c r="B715" s="11" t="s">
        <v>1007</v>
      </c>
      <c r="C715" s="11" t="s">
        <v>957</v>
      </c>
      <c r="D715" s="11" t="s">
        <v>655</v>
      </c>
      <c r="E715" s="11" t="s">
        <v>34</v>
      </c>
      <c r="F715" s="11" t="s">
        <v>35</v>
      </c>
      <c r="G715" s="9" t="s">
        <v>52</v>
      </c>
      <c r="H715" s="9" t="s">
        <v>37</v>
      </c>
      <c r="I715" s="9" t="s">
        <v>38</v>
      </c>
      <c r="J715" s="11">
        <v>170</v>
      </c>
      <c r="K715" s="11" t="s">
        <v>645</v>
      </c>
      <c r="L715" s="11" t="s">
        <v>55</v>
      </c>
      <c r="M715" s="13">
        <v>2</v>
      </c>
      <c r="N715" s="16">
        <v>8000.0</v>
      </c>
      <c r="O715" s="16"/>
      <c r="P715" s="18">
        <f>IF(N715&gt;0, O715/N715, 0)</f>
        <v>0</v>
      </c>
      <c r="Q715" s="16">
        <f>N715-O715</f>
        <v>8000</v>
      </c>
      <c r="R715" s="16">
        <f>M715*N715</f>
        <v>16000</v>
      </c>
      <c r="S715" s="16">
        <f>M715*O715</f>
        <v>0</v>
      </c>
      <c r="T715" s="16">
        <f>M715*Q715</f>
        <v>16000</v>
      </c>
      <c r="U715" s="16"/>
      <c r="V715" s="16">
        <f>M715*U715</f>
        <v>0</v>
      </c>
      <c r="W715" s="16">
        <f>T715-V715</f>
        <v>16000</v>
      </c>
      <c r="X715" s="18">
        <f>IF(T715&gt;0, W715/T715, 0)</f>
        <v>1</v>
      </c>
      <c r="Y715" s="9" t="s">
        <v>41</v>
      </c>
      <c r="Z715" s="11" t="s">
        <v>42</v>
      </c>
      <c r="AA715" s="11" t="s">
        <v>43</v>
      </c>
      <c r="AB715" s="11" t="s">
        <v>44</v>
      </c>
      <c r="AC715" s="9" t="s">
        <v>44</v>
      </c>
    </row>
    <row r="716" spans="1:29">
      <c r="A716" s="10">
        <v>709</v>
      </c>
      <c r="B716" s="10" t="s">
        <v>1008</v>
      </c>
      <c r="C716" s="10" t="s">
        <v>957</v>
      </c>
      <c r="D716" s="10" t="s">
        <v>655</v>
      </c>
      <c r="E716" s="10" t="s">
        <v>34</v>
      </c>
      <c r="F716" s="10" t="s">
        <v>35</v>
      </c>
      <c r="G716" s="8" t="s">
        <v>52</v>
      </c>
      <c r="H716" s="8" t="s">
        <v>37</v>
      </c>
      <c r="I716" s="8" t="s">
        <v>38</v>
      </c>
      <c r="J716" s="10">
        <v>170</v>
      </c>
      <c r="K716" s="10" t="s">
        <v>645</v>
      </c>
      <c r="L716" s="10" t="s">
        <v>55</v>
      </c>
      <c r="M716" s="12">
        <v>1</v>
      </c>
      <c r="N716" s="15">
        <v>8000.0</v>
      </c>
      <c r="O716" s="15"/>
      <c r="P716" s="17">
        <f>IF(N716&gt;0, O716/N716, 0)</f>
        <v>0</v>
      </c>
      <c r="Q716" s="15">
        <f>N716-O716</f>
        <v>8000</v>
      </c>
      <c r="R716" s="15">
        <f>M716*N716</f>
        <v>8000</v>
      </c>
      <c r="S716" s="15">
        <f>M716*O716</f>
        <v>0</v>
      </c>
      <c r="T716" s="15">
        <f>M716*Q716</f>
        <v>8000</v>
      </c>
      <c r="U716" s="15"/>
      <c r="V716" s="15">
        <f>M716*U716</f>
        <v>0</v>
      </c>
      <c r="W716" s="15">
        <f>T716-V716</f>
        <v>8000</v>
      </c>
      <c r="X716" s="17">
        <f>IF(T716&gt;0, W716/T716, 0)</f>
        <v>1</v>
      </c>
      <c r="Y716" s="8" t="s">
        <v>41</v>
      </c>
      <c r="Z716" s="10" t="s">
        <v>42</v>
      </c>
      <c r="AA716" s="10" t="s">
        <v>43</v>
      </c>
      <c r="AB716" s="10" t="s">
        <v>44</v>
      </c>
      <c r="AC716" s="8" t="s">
        <v>44</v>
      </c>
    </row>
    <row r="717" spans="1:29">
      <c r="A717" s="11">
        <v>710</v>
      </c>
      <c r="B717" s="11" t="s">
        <v>1009</v>
      </c>
      <c r="C717" s="11" t="s">
        <v>957</v>
      </c>
      <c r="D717" s="11" t="s">
        <v>655</v>
      </c>
      <c r="E717" s="11" t="s">
        <v>34</v>
      </c>
      <c r="F717" s="11" t="s">
        <v>35</v>
      </c>
      <c r="G717" s="9" t="s">
        <v>52</v>
      </c>
      <c r="H717" s="9" t="s">
        <v>47</v>
      </c>
      <c r="I717" s="9" t="s">
        <v>48</v>
      </c>
      <c r="J717" s="11">
        <v>146</v>
      </c>
      <c r="K717" s="11" t="s">
        <v>142</v>
      </c>
      <c r="L717" s="11" t="s">
        <v>40</v>
      </c>
      <c r="M717" s="13">
        <v>1</v>
      </c>
      <c r="N717" s="16">
        <v>18000.0</v>
      </c>
      <c r="O717" s="16"/>
      <c r="P717" s="18">
        <f>IF(N717&gt;0, O717/N717, 0)</f>
        <v>0</v>
      </c>
      <c r="Q717" s="16">
        <f>N717-O717</f>
        <v>18000</v>
      </c>
      <c r="R717" s="16">
        <f>M717*N717</f>
        <v>18000</v>
      </c>
      <c r="S717" s="16">
        <f>M717*O717</f>
        <v>0</v>
      </c>
      <c r="T717" s="16">
        <f>M717*Q717</f>
        <v>18000</v>
      </c>
      <c r="U717" s="16"/>
      <c r="V717" s="16">
        <f>M717*U717</f>
        <v>0</v>
      </c>
      <c r="W717" s="16">
        <f>T717-V717</f>
        <v>18000</v>
      </c>
      <c r="X717" s="18">
        <f>IF(T717&gt;0, W717/T717, 0)</f>
        <v>1</v>
      </c>
      <c r="Y717" s="9" t="s">
        <v>41</v>
      </c>
      <c r="Z717" s="11" t="s">
        <v>42</v>
      </c>
      <c r="AA717" s="11" t="s">
        <v>43</v>
      </c>
      <c r="AB717" s="11" t="s">
        <v>44</v>
      </c>
      <c r="AC717" s="9" t="s">
        <v>44</v>
      </c>
    </row>
    <row r="718" spans="1:29">
      <c r="A718" s="10">
        <v>711</v>
      </c>
      <c r="B718" s="10" t="s">
        <v>1010</v>
      </c>
      <c r="C718" s="10" t="s">
        <v>957</v>
      </c>
      <c r="D718" s="10" t="s">
        <v>655</v>
      </c>
      <c r="E718" s="10" t="s">
        <v>34</v>
      </c>
      <c r="F718" s="10" t="s">
        <v>35</v>
      </c>
      <c r="G718" s="8" t="s">
        <v>52</v>
      </c>
      <c r="H718" s="8" t="s">
        <v>37</v>
      </c>
      <c r="I718" s="8" t="s">
        <v>38</v>
      </c>
      <c r="J718" s="10">
        <v>134</v>
      </c>
      <c r="K718" s="10" t="s">
        <v>180</v>
      </c>
      <c r="L718" s="10" t="s">
        <v>55</v>
      </c>
      <c r="M718" s="12">
        <v>4</v>
      </c>
      <c r="N718" s="15">
        <v>7000.0</v>
      </c>
      <c r="O718" s="15"/>
      <c r="P718" s="17">
        <f>IF(N718&gt;0, O718/N718, 0)</f>
        <v>0</v>
      </c>
      <c r="Q718" s="15">
        <f>N718-O718</f>
        <v>7000</v>
      </c>
      <c r="R718" s="15">
        <f>M718*N718</f>
        <v>28000</v>
      </c>
      <c r="S718" s="15">
        <f>M718*O718</f>
        <v>0</v>
      </c>
      <c r="T718" s="15">
        <f>M718*Q718</f>
        <v>28000</v>
      </c>
      <c r="U718" s="15"/>
      <c r="V718" s="15">
        <f>M718*U718</f>
        <v>0</v>
      </c>
      <c r="W718" s="15">
        <f>T718-V718</f>
        <v>28000</v>
      </c>
      <c r="X718" s="17">
        <f>IF(T718&gt;0, W718/T718, 0)</f>
        <v>1</v>
      </c>
      <c r="Y718" s="8" t="s">
        <v>41</v>
      </c>
      <c r="Z718" s="10" t="s">
        <v>42</v>
      </c>
      <c r="AA718" s="10" t="s">
        <v>43</v>
      </c>
      <c r="AB718" s="10" t="s">
        <v>44</v>
      </c>
      <c r="AC718" s="8" t="s">
        <v>44</v>
      </c>
    </row>
    <row r="719" spans="1:29">
      <c r="A719" s="11">
        <v>712</v>
      </c>
      <c r="B719" s="11" t="s">
        <v>1011</v>
      </c>
      <c r="C719" s="11" t="s">
        <v>957</v>
      </c>
      <c r="D719" s="11" t="s">
        <v>655</v>
      </c>
      <c r="E719" s="11" t="s">
        <v>34</v>
      </c>
      <c r="F719" s="11" t="s">
        <v>35</v>
      </c>
      <c r="G719" s="9" t="s">
        <v>52</v>
      </c>
      <c r="H719" s="9" t="s">
        <v>53</v>
      </c>
      <c r="I719" s="9" t="s">
        <v>53</v>
      </c>
      <c r="J719" s="11">
        <v>128</v>
      </c>
      <c r="K719" s="11" t="s">
        <v>393</v>
      </c>
      <c r="L719" s="11" t="s">
        <v>55</v>
      </c>
      <c r="M719" s="13">
        <v>1</v>
      </c>
      <c r="N719" s="16">
        <v>8000.0</v>
      </c>
      <c r="O719" s="16"/>
      <c r="P719" s="18">
        <f>IF(N719&gt;0, O719/N719, 0)</f>
        <v>0</v>
      </c>
      <c r="Q719" s="16">
        <f>N719-O719</f>
        <v>8000</v>
      </c>
      <c r="R719" s="16">
        <f>M719*N719</f>
        <v>8000</v>
      </c>
      <c r="S719" s="16">
        <f>M719*O719</f>
        <v>0</v>
      </c>
      <c r="T719" s="16">
        <f>M719*Q719</f>
        <v>8000</v>
      </c>
      <c r="U719" s="16"/>
      <c r="V719" s="16">
        <f>M719*U719</f>
        <v>0</v>
      </c>
      <c r="W719" s="16">
        <f>T719-V719</f>
        <v>8000</v>
      </c>
      <c r="X719" s="18">
        <f>IF(T719&gt;0, W719/T719, 0)</f>
        <v>1</v>
      </c>
      <c r="Y719" s="9" t="s">
        <v>41</v>
      </c>
      <c r="Z719" s="11" t="s">
        <v>42</v>
      </c>
      <c r="AA719" s="11" t="s">
        <v>43</v>
      </c>
      <c r="AB719" s="11" t="s">
        <v>44</v>
      </c>
      <c r="AC719" s="9" t="s">
        <v>44</v>
      </c>
    </row>
    <row r="720" spans="1:29">
      <c r="A720" s="10">
        <v>713</v>
      </c>
      <c r="B720" s="10" t="s">
        <v>1012</v>
      </c>
      <c r="C720" s="10" t="s">
        <v>957</v>
      </c>
      <c r="D720" s="10" t="s">
        <v>655</v>
      </c>
      <c r="E720" s="10" t="s">
        <v>34</v>
      </c>
      <c r="F720" s="10" t="s">
        <v>35</v>
      </c>
      <c r="G720" s="8" t="s">
        <v>52</v>
      </c>
      <c r="H720" s="8" t="s">
        <v>47</v>
      </c>
      <c r="I720" s="8" t="s">
        <v>48</v>
      </c>
      <c r="J720" s="10">
        <v>140</v>
      </c>
      <c r="K720" s="10" t="s">
        <v>417</v>
      </c>
      <c r="L720" s="10" t="s">
        <v>40</v>
      </c>
      <c r="M720" s="12">
        <v>1</v>
      </c>
      <c r="N720" s="15">
        <v>18000.0</v>
      </c>
      <c r="O720" s="15"/>
      <c r="P720" s="17">
        <f>IF(N720&gt;0, O720/N720, 0)</f>
        <v>0</v>
      </c>
      <c r="Q720" s="15">
        <f>N720-O720</f>
        <v>18000</v>
      </c>
      <c r="R720" s="15">
        <f>M720*N720</f>
        <v>18000</v>
      </c>
      <c r="S720" s="15">
        <f>M720*O720</f>
        <v>0</v>
      </c>
      <c r="T720" s="15">
        <f>M720*Q720</f>
        <v>18000</v>
      </c>
      <c r="U720" s="15"/>
      <c r="V720" s="15">
        <f>M720*U720</f>
        <v>0</v>
      </c>
      <c r="W720" s="15">
        <f>T720-V720</f>
        <v>18000</v>
      </c>
      <c r="X720" s="17">
        <f>IF(T720&gt;0, W720/T720, 0)</f>
        <v>1</v>
      </c>
      <c r="Y720" s="8" t="s">
        <v>41</v>
      </c>
      <c r="Z720" s="10" t="s">
        <v>42</v>
      </c>
      <c r="AA720" s="10" t="s">
        <v>43</v>
      </c>
      <c r="AB720" s="10" t="s">
        <v>44</v>
      </c>
      <c r="AC720" s="8" t="s">
        <v>44</v>
      </c>
    </row>
    <row r="721" spans="1:29">
      <c r="A721" s="11">
        <v>714</v>
      </c>
      <c r="B721" s="11" t="s">
        <v>1013</v>
      </c>
      <c r="C721" s="11" t="s">
        <v>957</v>
      </c>
      <c r="D721" s="11" t="s">
        <v>655</v>
      </c>
      <c r="E721" s="11" t="s">
        <v>34</v>
      </c>
      <c r="F721" s="11" t="s">
        <v>35</v>
      </c>
      <c r="G721" s="9" t="s">
        <v>52</v>
      </c>
      <c r="H721" s="9" t="s">
        <v>37</v>
      </c>
      <c r="I721" s="9" t="s">
        <v>38</v>
      </c>
      <c r="J721" s="11">
        <v>134</v>
      </c>
      <c r="K721" s="11" t="s">
        <v>180</v>
      </c>
      <c r="L721" s="11" t="s">
        <v>55</v>
      </c>
      <c r="M721" s="13">
        <v>3</v>
      </c>
      <c r="N721" s="16">
        <v>7000.0</v>
      </c>
      <c r="O721" s="16"/>
      <c r="P721" s="18">
        <f>IF(N721&gt;0, O721/N721, 0)</f>
        <v>0</v>
      </c>
      <c r="Q721" s="16">
        <f>N721-O721</f>
        <v>7000</v>
      </c>
      <c r="R721" s="16">
        <f>M721*N721</f>
        <v>21000</v>
      </c>
      <c r="S721" s="16">
        <f>M721*O721</f>
        <v>0</v>
      </c>
      <c r="T721" s="16">
        <f>M721*Q721</f>
        <v>21000</v>
      </c>
      <c r="U721" s="16"/>
      <c r="V721" s="16">
        <f>M721*U721</f>
        <v>0</v>
      </c>
      <c r="W721" s="16">
        <f>T721-V721</f>
        <v>21000</v>
      </c>
      <c r="X721" s="18">
        <f>IF(T721&gt;0, W721/T721, 0)</f>
        <v>1</v>
      </c>
      <c r="Y721" s="9" t="s">
        <v>41</v>
      </c>
      <c r="Z721" s="11" t="s">
        <v>42</v>
      </c>
      <c r="AA721" s="11" t="s">
        <v>43</v>
      </c>
      <c r="AB721" s="11" t="s">
        <v>44</v>
      </c>
      <c r="AC721" s="9" t="s">
        <v>44</v>
      </c>
    </row>
    <row r="722" spans="1:29">
      <c r="A722" s="10">
        <v>715</v>
      </c>
      <c r="B722" s="10" t="s">
        <v>1014</v>
      </c>
      <c r="C722" s="10" t="s">
        <v>957</v>
      </c>
      <c r="D722" s="10" t="s">
        <v>655</v>
      </c>
      <c r="E722" s="10" t="s">
        <v>34</v>
      </c>
      <c r="F722" s="10" t="s">
        <v>35</v>
      </c>
      <c r="G722" s="8" t="s">
        <v>52</v>
      </c>
      <c r="H722" s="8" t="s">
        <v>53</v>
      </c>
      <c r="I722" s="8" t="s">
        <v>53</v>
      </c>
      <c r="J722" s="10">
        <v>134</v>
      </c>
      <c r="K722" s="10" t="s">
        <v>178</v>
      </c>
      <c r="L722" s="10" t="s">
        <v>55</v>
      </c>
      <c r="M722" s="12">
        <v>2</v>
      </c>
      <c r="N722" s="15">
        <v>8000.0</v>
      </c>
      <c r="O722" s="15"/>
      <c r="P722" s="17">
        <f>IF(N722&gt;0, O722/N722, 0)</f>
        <v>0</v>
      </c>
      <c r="Q722" s="15">
        <f>N722-O722</f>
        <v>8000</v>
      </c>
      <c r="R722" s="15">
        <f>M722*N722</f>
        <v>16000</v>
      </c>
      <c r="S722" s="15">
        <f>M722*O722</f>
        <v>0</v>
      </c>
      <c r="T722" s="15">
        <f>M722*Q722</f>
        <v>16000</v>
      </c>
      <c r="U722" s="15"/>
      <c r="V722" s="15">
        <f>M722*U722</f>
        <v>0</v>
      </c>
      <c r="W722" s="15">
        <f>T722-V722</f>
        <v>16000</v>
      </c>
      <c r="X722" s="17">
        <f>IF(T722&gt;0, W722/T722, 0)</f>
        <v>1</v>
      </c>
      <c r="Y722" s="8" t="s">
        <v>41</v>
      </c>
      <c r="Z722" s="10" t="s">
        <v>42</v>
      </c>
      <c r="AA722" s="10" t="s">
        <v>43</v>
      </c>
      <c r="AB722" s="10" t="s">
        <v>44</v>
      </c>
      <c r="AC722" s="8" t="s">
        <v>44</v>
      </c>
    </row>
    <row r="723" spans="1:29">
      <c r="A723" s="11">
        <v>716</v>
      </c>
      <c r="B723" s="11" t="s">
        <v>1015</v>
      </c>
      <c r="C723" s="11" t="s">
        <v>957</v>
      </c>
      <c r="D723" s="11" t="s">
        <v>655</v>
      </c>
      <c r="E723" s="11" t="s">
        <v>34</v>
      </c>
      <c r="F723" s="11" t="s">
        <v>35</v>
      </c>
      <c r="G723" s="9" t="s">
        <v>52</v>
      </c>
      <c r="H723" s="9" t="s">
        <v>71</v>
      </c>
      <c r="I723" s="9" t="s">
        <v>71</v>
      </c>
      <c r="J723" s="11">
        <v>140</v>
      </c>
      <c r="K723" s="11" t="s">
        <v>228</v>
      </c>
      <c r="L723" s="11" t="s">
        <v>40</v>
      </c>
      <c r="M723" s="13">
        <v>1</v>
      </c>
      <c r="N723" s="16">
        <v>16000.0</v>
      </c>
      <c r="O723" s="16"/>
      <c r="P723" s="18">
        <f>IF(N723&gt;0, O723/N723, 0)</f>
        <v>0</v>
      </c>
      <c r="Q723" s="16">
        <f>N723-O723</f>
        <v>16000</v>
      </c>
      <c r="R723" s="16">
        <f>M723*N723</f>
        <v>16000</v>
      </c>
      <c r="S723" s="16">
        <f>M723*O723</f>
        <v>0</v>
      </c>
      <c r="T723" s="16">
        <f>M723*Q723</f>
        <v>16000</v>
      </c>
      <c r="U723" s="16"/>
      <c r="V723" s="16">
        <f>M723*U723</f>
        <v>0</v>
      </c>
      <c r="W723" s="16">
        <f>T723-V723</f>
        <v>16000</v>
      </c>
      <c r="X723" s="18">
        <f>IF(T723&gt;0, W723/T723, 0)</f>
        <v>1</v>
      </c>
      <c r="Y723" s="9" t="s">
        <v>41</v>
      </c>
      <c r="Z723" s="11" t="s">
        <v>42</v>
      </c>
      <c r="AA723" s="11" t="s">
        <v>43</v>
      </c>
      <c r="AB723" s="11" t="s">
        <v>44</v>
      </c>
      <c r="AC723" s="9" t="s">
        <v>44</v>
      </c>
    </row>
    <row r="724" spans="1:29">
      <c r="A724" s="10">
        <v>717</v>
      </c>
      <c r="B724" s="10" t="s">
        <v>1016</v>
      </c>
      <c r="C724" s="10" t="s">
        <v>957</v>
      </c>
      <c r="D724" s="10" t="s">
        <v>655</v>
      </c>
      <c r="E724" s="10" t="s">
        <v>34</v>
      </c>
      <c r="F724" s="10" t="s">
        <v>35</v>
      </c>
      <c r="G724" s="8" t="s">
        <v>36</v>
      </c>
      <c r="H724" s="8" t="s">
        <v>37</v>
      </c>
      <c r="I724" s="8" t="s">
        <v>38</v>
      </c>
      <c r="J724" s="10">
        <v>170</v>
      </c>
      <c r="K724" s="10" t="s">
        <v>145</v>
      </c>
      <c r="L724" s="10" t="s">
        <v>40</v>
      </c>
      <c r="M724" s="12">
        <v>1</v>
      </c>
      <c r="N724" s="15">
        <v>8000.0</v>
      </c>
      <c r="O724" s="15"/>
      <c r="P724" s="17">
        <f>IF(N724&gt;0, O724/N724, 0)</f>
        <v>0</v>
      </c>
      <c r="Q724" s="15">
        <f>N724-O724</f>
        <v>8000</v>
      </c>
      <c r="R724" s="15">
        <f>M724*N724</f>
        <v>8000</v>
      </c>
      <c r="S724" s="15">
        <f>M724*O724</f>
        <v>0</v>
      </c>
      <c r="T724" s="15">
        <f>M724*Q724</f>
        <v>8000</v>
      </c>
      <c r="U724" s="15"/>
      <c r="V724" s="15">
        <f>M724*U724</f>
        <v>0</v>
      </c>
      <c r="W724" s="15">
        <f>T724-V724</f>
        <v>8000</v>
      </c>
      <c r="X724" s="17">
        <f>IF(T724&gt;0, W724/T724, 0)</f>
        <v>1</v>
      </c>
      <c r="Y724" s="8" t="s">
        <v>41</v>
      </c>
      <c r="Z724" s="10" t="s">
        <v>42</v>
      </c>
      <c r="AA724" s="10" t="s">
        <v>43</v>
      </c>
      <c r="AB724" s="10" t="s">
        <v>44</v>
      </c>
      <c r="AC724" s="8" t="s">
        <v>44</v>
      </c>
    </row>
    <row r="725" spans="1:29">
      <c r="A725" s="11">
        <v>718</v>
      </c>
      <c r="B725" s="11" t="s">
        <v>1017</v>
      </c>
      <c r="C725" s="11" t="s">
        <v>957</v>
      </c>
      <c r="D725" s="11" t="s">
        <v>655</v>
      </c>
      <c r="E725" s="11" t="s">
        <v>34</v>
      </c>
      <c r="F725" s="11" t="s">
        <v>35</v>
      </c>
      <c r="G725" s="9" t="s">
        <v>36</v>
      </c>
      <c r="H725" s="9" t="s">
        <v>53</v>
      </c>
      <c r="I725" s="9" t="s">
        <v>53</v>
      </c>
      <c r="J725" s="11">
        <v>164</v>
      </c>
      <c r="K725" s="11" t="s">
        <v>63</v>
      </c>
      <c r="L725" s="11" t="s">
        <v>40</v>
      </c>
      <c r="M725" s="13">
        <v>1</v>
      </c>
      <c r="N725" s="16">
        <v>8500.0</v>
      </c>
      <c r="O725" s="16"/>
      <c r="P725" s="18">
        <f>IF(N725&gt;0, O725/N725, 0)</f>
        <v>0</v>
      </c>
      <c r="Q725" s="16">
        <f>N725-O725</f>
        <v>8500</v>
      </c>
      <c r="R725" s="16">
        <f>M725*N725</f>
        <v>8500</v>
      </c>
      <c r="S725" s="16">
        <f>M725*O725</f>
        <v>0</v>
      </c>
      <c r="T725" s="16">
        <f>M725*Q725</f>
        <v>8500</v>
      </c>
      <c r="U725" s="16"/>
      <c r="V725" s="16">
        <f>M725*U725</f>
        <v>0</v>
      </c>
      <c r="W725" s="16">
        <f>T725-V725</f>
        <v>8500</v>
      </c>
      <c r="X725" s="18">
        <f>IF(T725&gt;0, W725/T725, 0)</f>
        <v>1</v>
      </c>
      <c r="Y725" s="9" t="s">
        <v>41</v>
      </c>
      <c r="Z725" s="11" t="s">
        <v>42</v>
      </c>
      <c r="AA725" s="11" t="s">
        <v>43</v>
      </c>
      <c r="AB725" s="11" t="s">
        <v>44</v>
      </c>
      <c r="AC725" s="9" t="s">
        <v>44</v>
      </c>
    </row>
    <row r="726" spans="1:29">
      <c r="A726" s="10">
        <v>719</v>
      </c>
      <c r="B726" s="10" t="s">
        <v>1018</v>
      </c>
      <c r="C726" s="10" t="s">
        <v>957</v>
      </c>
      <c r="D726" s="10" t="s">
        <v>655</v>
      </c>
      <c r="E726" s="10" t="s">
        <v>34</v>
      </c>
      <c r="F726" s="10" t="s">
        <v>35</v>
      </c>
      <c r="G726" s="8" t="s">
        <v>36</v>
      </c>
      <c r="H726" s="8" t="s">
        <v>58</v>
      </c>
      <c r="I726" s="8" t="s">
        <v>58</v>
      </c>
      <c r="J726" s="10">
        <v>170</v>
      </c>
      <c r="K726" s="10" t="s">
        <v>215</v>
      </c>
      <c r="L726" s="10" t="s">
        <v>40</v>
      </c>
      <c r="M726" s="12">
        <v>1</v>
      </c>
      <c r="N726" s="15">
        <v>9500.0</v>
      </c>
      <c r="O726" s="15"/>
      <c r="P726" s="17">
        <f>IF(N726&gt;0, O726/N726, 0)</f>
        <v>0</v>
      </c>
      <c r="Q726" s="15">
        <f>N726-O726</f>
        <v>9500</v>
      </c>
      <c r="R726" s="15">
        <f>M726*N726</f>
        <v>9500</v>
      </c>
      <c r="S726" s="15">
        <f>M726*O726</f>
        <v>0</v>
      </c>
      <c r="T726" s="15">
        <f>M726*Q726</f>
        <v>9500</v>
      </c>
      <c r="U726" s="15"/>
      <c r="V726" s="15">
        <f>M726*U726</f>
        <v>0</v>
      </c>
      <c r="W726" s="15">
        <f>T726-V726</f>
        <v>9500</v>
      </c>
      <c r="X726" s="17">
        <f>IF(T726&gt;0, W726/T726, 0)</f>
        <v>1</v>
      </c>
      <c r="Y726" s="8" t="s">
        <v>41</v>
      </c>
      <c r="Z726" s="10" t="s">
        <v>42</v>
      </c>
      <c r="AA726" s="10" t="s">
        <v>43</v>
      </c>
      <c r="AB726" s="10" t="s">
        <v>44</v>
      </c>
      <c r="AC726" s="8" t="s">
        <v>44</v>
      </c>
    </row>
    <row r="727" spans="1:29">
      <c r="A727" s="11">
        <v>720</v>
      </c>
      <c r="B727" s="11" t="s">
        <v>1019</v>
      </c>
      <c r="C727" s="11" t="s">
        <v>957</v>
      </c>
      <c r="D727" s="11" t="s">
        <v>655</v>
      </c>
      <c r="E727" s="11" t="s">
        <v>34</v>
      </c>
      <c r="F727" s="11" t="s">
        <v>35</v>
      </c>
      <c r="G727" s="9" t="s">
        <v>52</v>
      </c>
      <c r="H727" s="9" t="s">
        <v>37</v>
      </c>
      <c r="I727" s="9" t="s">
        <v>38</v>
      </c>
      <c r="J727" s="11">
        <v>152</v>
      </c>
      <c r="K727" s="11" t="s">
        <v>154</v>
      </c>
      <c r="L727" s="11" t="s">
        <v>55</v>
      </c>
      <c r="M727" s="13">
        <v>1</v>
      </c>
      <c r="N727" s="16">
        <v>7000.0</v>
      </c>
      <c r="O727" s="16"/>
      <c r="P727" s="18">
        <f>IF(N727&gt;0, O727/N727, 0)</f>
        <v>0</v>
      </c>
      <c r="Q727" s="16">
        <f>N727-O727</f>
        <v>7000</v>
      </c>
      <c r="R727" s="16">
        <f>M727*N727</f>
        <v>7000</v>
      </c>
      <c r="S727" s="16">
        <f>M727*O727</f>
        <v>0</v>
      </c>
      <c r="T727" s="16">
        <f>M727*Q727</f>
        <v>7000</v>
      </c>
      <c r="U727" s="16"/>
      <c r="V727" s="16">
        <f>M727*U727</f>
        <v>0</v>
      </c>
      <c r="W727" s="16">
        <f>T727-V727</f>
        <v>7000</v>
      </c>
      <c r="X727" s="18">
        <f>IF(T727&gt;0, W727/T727, 0)</f>
        <v>1</v>
      </c>
      <c r="Y727" s="9" t="s">
        <v>41</v>
      </c>
      <c r="Z727" s="11" t="s">
        <v>42</v>
      </c>
      <c r="AA727" s="11" t="s">
        <v>43</v>
      </c>
      <c r="AB727" s="11" t="s">
        <v>44</v>
      </c>
      <c r="AC727" s="9" t="s">
        <v>44</v>
      </c>
    </row>
    <row r="728" spans="1:29">
      <c r="A728" s="10">
        <v>721</v>
      </c>
      <c r="B728" s="10" t="s">
        <v>1020</v>
      </c>
      <c r="C728" s="10" t="s">
        <v>957</v>
      </c>
      <c r="D728" s="10" t="s">
        <v>655</v>
      </c>
      <c r="E728" s="10" t="s">
        <v>70</v>
      </c>
      <c r="F728" s="10" t="s">
        <v>35</v>
      </c>
      <c r="G728" s="8" t="s">
        <v>36</v>
      </c>
      <c r="H728" s="8" t="s">
        <v>37</v>
      </c>
      <c r="I728" s="8" t="s">
        <v>38</v>
      </c>
      <c r="J728" s="10">
        <v>158</v>
      </c>
      <c r="K728" s="10" t="s">
        <v>39</v>
      </c>
      <c r="L728" s="10" t="s">
        <v>40</v>
      </c>
      <c r="M728" s="12">
        <v>2</v>
      </c>
      <c r="N728" s="15">
        <v>10000.0</v>
      </c>
      <c r="O728" s="15"/>
      <c r="P728" s="17">
        <f>IF(N728&gt;0, O728/N728, 0)</f>
        <v>0</v>
      </c>
      <c r="Q728" s="15">
        <f>N728-O728</f>
        <v>10000</v>
      </c>
      <c r="R728" s="15">
        <f>M728*N728</f>
        <v>20000</v>
      </c>
      <c r="S728" s="15">
        <f>M728*O728</f>
        <v>0</v>
      </c>
      <c r="T728" s="15">
        <f>M728*Q728</f>
        <v>20000</v>
      </c>
      <c r="U728" s="15"/>
      <c r="V728" s="15">
        <f>M728*U728</f>
        <v>0</v>
      </c>
      <c r="W728" s="15">
        <f>T728-V728</f>
        <v>20000</v>
      </c>
      <c r="X728" s="17">
        <f>IF(T728&gt;0, W728/T728, 0)</f>
        <v>1</v>
      </c>
      <c r="Y728" s="8" t="s">
        <v>41</v>
      </c>
      <c r="Z728" s="10" t="s">
        <v>42</v>
      </c>
      <c r="AA728" s="10" t="s">
        <v>73</v>
      </c>
      <c r="AB728" s="10" t="s">
        <v>44</v>
      </c>
      <c r="AC728" s="8" t="s">
        <v>44</v>
      </c>
    </row>
    <row r="729" spans="1:29">
      <c r="A729" s="11">
        <v>722</v>
      </c>
      <c r="B729" s="11" t="s">
        <v>1021</v>
      </c>
      <c r="C729" s="11" t="s">
        <v>957</v>
      </c>
      <c r="D729" s="11" t="s">
        <v>655</v>
      </c>
      <c r="E729" s="11" t="s">
        <v>34</v>
      </c>
      <c r="F729" s="11" t="s">
        <v>35</v>
      </c>
      <c r="G729" s="9" t="s">
        <v>52</v>
      </c>
      <c r="H729" s="9" t="s">
        <v>37</v>
      </c>
      <c r="I729" s="9" t="s">
        <v>75</v>
      </c>
      <c r="J729" s="11">
        <v>128</v>
      </c>
      <c r="K729" s="11" t="s">
        <v>188</v>
      </c>
      <c r="L729" s="11" t="s">
        <v>55</v>
      </c>
      <c r="M729" s="13">
        <v>1</v>
      </c>
      <c r="N729" s="16">
        <v>8000.0</v>
      </c>
      <c r="O729" s="16"/>
      <c r="P729" s="18">
        <f>IF(N729&gt;0, O729/N729, 0)</f>
        <v>0</v>
      </c>
      <c r="Q729" s="16">
        <f>N729-O729</f>
        <v>8000</v>
      </c>
      <c r="R729" s="16">
        <f>M729*N729</f>
        <v>8000</v>
      </c>
      <c r="S729" s="16">
        <f>M729*O729</f>
        <v>0</v>
      </c>
      <c r="T729" s="16">
        <f>M729*Q729</f>
        <v>8000</v>
      </c>
      <c r="U729" s="16"/>
      <c r="V729" s="16">
        <f>M729*U729</f>
        <v>0</v>
      </c>
      <c r="W729" s="16">
        <f>T729-V729</f>
        <v>8000</v>
      </c>
      <c r="X729" s="18">
        <f>IF(T729&gt;0, W729/T729, 0)</f>
        <v>1</v>
      </c>
      <c r="Y729" s="9" t="s">
        <v>41</v>
      </c>
      <c r="Z729" s="11" t="s">
        <v>42</v>
      </c>
      <c r="AA729" s="11" t="s">
        <v>43</v>
      </c>
      <c r="AB729" s="11" t="s">
        <v>44</v>
      </c>
      <c r="AC729" s="9" t="s">
        <v>44</v>
      </c>
    </row>
    <row r="730" spans="1:29">
      <c r="A730" s="10">
        <v>723</v>
      </c>
      <c r="B730" s="10" t="s">
        <v>1022</v>
      </c>
      <c r="C730" s="10" t="s">
        <v>957</v>
      </c>
      <c r="D730" s="10" t="s">
        <v>655</v>
      </c>
      <c r="E730" s="10" t="s">
        <v>34</v>
      </c>
      <c r="F730" s="10" t="s">
        <v>35</v>
      </c>
      <c r="G730" s="8" t="s">
        <v>52</v>
      </c>
      <c r="H730" s="8" t="s">
        <v>37</v>
      </c>
      <c r="I730" s="8" t="s">
        <v>38</v>
      </c>
      <c r="J730" s="10">
        <v>128</v>
      </c>
      <c r="K730" s="10" t="s">
        <v>159</v>
      </c>
      <c r="L730" s="10" t="s">
        <v>55</v>
      </c>
      <c r="M730" s="12">
        <v>2</v>
      </c>
      <c r="N730" s="15">
        <v>7000.0</v>
      </c>
      <c r="O730" s="15"/>
      <c r="P730" s="17">
        <f>IF(N730&gt;0, O730/N730, 0)</f>
        <v>0</v>
      </c>
      <c r="Q730" s="15">
        <f>N730-O730</f>
        <v>7000</v>
      </c>
      <c r="R730" s="15">
        <f>M730*N730</f>
        <v>14000</v>
      </c>
      <c r="S730" s="15">
        <f>M730*O730</f>
        <v>0</v>
      </c>
      <c r="T730" s="15">
        <f>M730*Q730</f>
        <v>14000</v>
      </c>
      <c r="U730" s="15"/>
      <c r="V730" s="15">
        <f>M730*U730</f>
        <v>0</v>
      </c>
      <c r="W730" s="15">
        <f>T730-V730</f>
        <v>14000</v>
      </c>
      <c r="X730" s="17">
        <f>IF(T730&gt;0, W730/T730, 0)</f>
        <v>1</v>
      </c>
      <c r="Y730" s="8" t="s">
        <v>41</v>
      </c>
      <c r="Z730" s="10" t="s">
        <v>42</v>
      </c>
      <c r="AA730" s="10" t="s">
        <v>43</v>
      </c>
      <c r="AB730" s="10" t="s">
        <v>44</v>
      </c>
      <c r="AC730" s="8" t="s">
        <v>44</v>
      </c>
    </row>
    <row r="731" spans="1:29">
      <c r="A731" s="11">
        <v>724</v>
      </c>
      <c r="B731" s="11" t="s">
        <v>1023</v>
      </c>
      <c r="C731" s="11" t="s">
        <v>957</v>
      </c>
      <c r="D731" s="11" t="s">
        <v>655</v>
      </c>
      <c r="E731" s="11" t="s">
        <v>34</v>
      </c>
      <c r="F731" s="11" t="s">
        <v>1024</v>
      </c>
      <c r="G731" s="9" t="s">
        <v>52</v>
      </c>
      <c r="H731" s="9" t="s">
        <v>71</v>
      </c>
      <c r="I731" s="9" t="s">
        <v>71</v>
      </c>
      <c r="J731" s="11">
        <v>170</v>
      </c>
      <c r="K731" s="11" t="s">
        <v>1006</v>
      </c>
      <c r="L731" s="11" t="s">
        <v>40</v>
      </c>
      <c r="M731" s="13">
        <v>1</v>
      </c>
      <c r="N731" s="16">
        <v>16000.0</v>
      </c>
      <c r="O731" s="16">
        <v>2400.0</v>
      </c>
      <c r="P731" s="18">
        <f>IF(N731&gt;0, O731/N731, 0)</f>
        <v>0.15</v>
      </c>
      <c r="Q731" s="16">
        <f>N731-O731</f>
        <v>13600</v>
      </c>
      <c r="R731" s="16">
        <f>M731*N731</f>
        <v>16000</v>
      </c>
      <c r="S731" s="16">
        <f>M731*O731</f>
        <v>2400</v>
      </c>
      <c r="T731" s="16">
        <f>M731*Q731</f>
        <v>13600</v>
      </c>
      <c r="U731" s="16"/>
      <c r="V731" s="16">
        <f>M731*U731</f>
        <v>0</v>
      </c>
      <c r="W731" s="16">
        <f>T731-V731</f>
        <v>13600</v>
      </c>
      <c r="X731" s="18">
        <f>IF(T731&gt;0, W731/T731, 0)</f>
        <v>1</v>
      </c>
      <c r="Y731" s="9" t="s">
        <v>41</v>
      </c>
      <c r="Z731" s="11" t="s">
        <v>42</v>
      </c>
      <c r="AA731" s="11" t="s">
        <v>43</v>
      </c>
      <c r="AB731" s="11" t="s">
        <v>44</v>
      </c>
      <c r="AC731" s="9" t="s">
        <v>1025</v>
      </c>
    </row>
    <row r="732" spans="1:29">
      <c r="A732" s="10">
        <v>725</v>
      </c>
      <c r="B732" s="10" t="s">
        <v>1026</v>
      </c>
      <c r="C732" s="10" t="s">
        <v>957</v>
      </c>
      <c r="D732" s="10" t="s">
        <v>655</v>
      </c>
      <c r="E732" s="10" t="s">
        <v>34</v>
      </c>
      <c r="F732" s="10" t="s">
        <v>1024</v>
      </c>
      <c r="G732" s="8" t="s">
        <v>52</v>
      </c>
      <c r="H732" s="8" t="s">
        <v>47</v>
      </c>
      <c r="I732" s="8" t="s">
        <v>48</v>
      </c>
      <c r="J732" s="10">
        <v>158</v>
      </c>
      <c r="K732" s="10" t="s">
        <v>444</v>
      </c>
      <c r="L732" s="10" t="s">
        <v>40</v>
      </c>
      <c r="M732" s="12">
        <v>1</v>
      </c>
      <c r="N732" s="15">
        <v>16000.0</v>
      </c>
      <c r="O732" s="15">
        <v>2400.0</v>
      </c>
      <c r="P732" s="17">
        <f>IF(N732&gt;0, O732/N732, 0)</f>
        <v>0.15</v>
      </c>
      <c r="Q732" s="15">
        <f>N732-O732</f>
        <v>13600</v>
      </c>
      <c r="R732" s="15">
        <f>M732*N732</f>
        <v>16000</v>
      </c>
      <c r="S732" s="15">
        <f>M732*O732</f>
        <v>2400</v>
      </c>
      <c r="T732" s="15">
        <f>M732*Q732</f>
        <v>13600</v>
      </c>
      <c r="U732" s="15"/>
      <c r="V732" s="15">
        <f>M732*U732</f>
        <v>0</v>
      </c>
      <c r="W732" s="15">
        <f>T732-V732</f>
        <v>13600</v>
      </c>
      <c r="X732" s="17">
        <f>IF(T732&gt;0, W732/T732, 0)</f>
        <v>1</v>
      </c>
      <c r="Y732" s="8" t="s">
        <v>41</v>
      </c>
      <c r="Z732" s="10" t="s">
        <v>42</v>
      </c>
      <c r="AA732" s="10" t="s">
        <v>43</v>
      </c>
      <c r="AB732" s="10" t="s">
        <v>44</v>
      </c>
      <c r="AC732" s="8" t="s">
        <v>1025</v>
      </c>
    </row>
    <row r="733" spans="1:29">
      <c r="A733" s="11">
        <v>726</v>
      </c>
      <c r="B733" s="11" t="s">
        <v>1027</v>
      </c>
      <c r="C733" s="11" t="s">
        <v>957</v>
      </c>
      <c r="D733" s="11" t="s">
        <v>655</v>
      </c>
      <c r="E733" s="11" t="s">
        <v>70</v>
      </c>
      <c r="F733" s="11" t="s">
        <v>1024</v>
      </c>
      <c r="G733" s="9" t="s">
        <v>52</v>
      </c>
      <c r="H733" s="9" t="s">
        <v>53</v>
      </c>
      <c r="I733" s="9" t="s">
        <v>53</v>
      </c>
      <c r="J733" s="11">
        <v>176</v>
      </c>
      <c r="K733" s="11" t="s">
        <v>1028</v>
      </c>
      <c r="L733" s="11" t="s">
        <v>55</v>
      </c>
      <c r="M733" s="13">
        <v>2</v>
      </c>
      <c r="N733" s="16">
        <v>9000.0</v>
      </c>
      <c r="O733" s="16">
        <v>1350.0</v>
      </c>
      <c r="P733" s="18">
        <f>IF(N733&gt;0, O733/N733, 0)</f>
        <v>0.15</v>
      </c>
      <c r="Q733" s="16">
        <f>N733-O733</f>
        <v>7650</v>
      </c>
      <c r="R733" s="16">
        <f>M733*N733</f>
        <v>18000</v>
      </c>
      <c r="S733" s="16">
        <f>M733*O733</f>
        <v>2700</v>
      </c>
      <c r="T733" s="16">
        <f>M733*Q733</f>
        <v>15300</v>
      </c>
      <c r="U733" s="16"/>
      <c r="V733" s="16">
        <f>M733*U733</f>
        <v>0</v>
      </c>
      <c r="W733" s="16">
        <f>T733-V733</f>
        <v>15300</v>
      </c>
      <c r="X733" s="18">
        <f>IF(T733&gt;0, W733/T733, 0)</f>
        <v>1</v>
      </c>
      <c r="Y733" s="9" t="s">
        <v>41</v>
      </c>
      <c r="Z733" s="11" t="s">
        <v>42</v>
      </c>
      <c r="AA733" s="11" t="s">
        <v>73</v>
      </c>
      <c r="AB733" s="11" t="s">
        <v>44</v>
      </c>
      <c r="AC733" s="9" t="s">
        <v>1025</v>
      </c>
    </row>
    <row r="734" spans="1:29">
      <c r="A734" s="10">
        <v>727</v>
      </c>
      <c r="B734" s="10" t="s">
        <v>1029</v>
      </c>
      <c r="C734" s="10" t="s">
        <v>957</v>
      </c>
      <c r="D734" s="10" t="s">
        <v>655</v>
      </c>
      <c r="E734" s="10" t="s">
        <v>34</v>
      </c>
      <c r="F734" s="10" t="s">
        <v>1024</v>
      </c>
      <c r="G734" s="8" t="s">
        <v>52</v>
      </c>
      <c r="H734" s="8" t="s">
        <v>53</v>
      </c>
      <c r="I734" s="8" t="s">
        <v>53</v>
      </c>
      <c r="J734" s="10">
        <v>170</v>
      </c>
      <c r="K734" s="10" t="s">
        <v>54</v>
      </c>
      <c r="L734" s="10" t="s">
        <v>55</v>
      </c>
      <c r="M734" s="12">
        <v>2</v>
      </c>
      <c r="N734" s="15">
        <v>8000.0</v>
      </c>
      <c r="O734" s="15">
        <v>1200.0</v>
      </c>
      <c r="P734" s="17">
        <f>IF(N734&gt;0, O734/N734, 0)</f>
        <v>0.15</v>
      </c>
      <c r="Q734" s="15">
        <f>N734-O734</f>
        <v>6800</v>
      </c>
      <c r="R734" s="15">
        <f>M734*N734</f>
        <v>16000</v>
      </c>
      <c r="S734" s="15">
        <f>M734*O734</f>
        <v>2400</v>
      </c>
      <c r="T734" s="15">
        <f>M734*Q734</f>
        <v>13600</v>
      </c>
      <c r="U734" s="15"/>
      <c r="V734" s="15">
        <f>M734*U734</f>
        <v>0</v>
      </c>
      <c r="W734" s="15">
        <f>T734-V734</f>
        <v>13600</v>
      </c>
      <c r="X734" s="17">
        <f>IF(T734&gt;0, W734/T734, 0)</f>
        <v>1</v>
      </c>
      <c r="Y734" s="8" t="s">
        <v>41</v>
      </c>
      <c r="Z734" s="10" t="s">
        <v>42</v>
      </c>
      <c r="AA734" s="10" t="s">
        <v>43</v>
      </c>
      <c r="AB734" s="10" t="s">
        <v>44</v>
      </c>
      <c r="AC734" s="8" t="s">
        <v>1025</v>
      </c>
    </row>
    <row r="735" spans="1:29">
      <c r="A735" s="11">
        <v>728</v>
      </c>
      <c r="B735" s="11" t="s">
        <v>1030</v>
      </c>
      <c r="C735" s="11" t="s">
        <v>957</v>
      </c>
      <c r="D735" s="11" t="s">
        <v>655</v>
      </c>
      <c r="E735" s="11" t="s">
        <v>34</v>
      </c>
      <c r="F735" s="11" t="s">
        <v>35</v>
      </c>
      <c r="G735" s="9" t="s">
        <v>52</v>
      </c>
      <c r="H735" s="9" t="s">
        <v>37</v>
      </c>
      <c r="I735" s="9" t="s">
        <v>38</v>
      </c>
      <c r="J735" s="11">
        <v>176</v>
      </c>
      <c r="K735" s="11" t="s">
        <v>698</v>
      </c>
      <c r="L735" s="11" t="s">
        <v>55</v>
      </c>
      <c r="M735" s="13">
        <v>2</v>
      </c>
      <c r="N735" s="16">
        <v>7000.0</v>
      </c>
      <c r="O735" s="16">
        <v>1050.0</v>
      </c>
      <c r="P735" s="18">
        <f>IF(N735&gt;0, O735/N735, 0)</f>
        <v>0.15</v>
      </c>
      <c r="Q735" s="16">
        <f>N735-O735</f>
        <v>5950</v>
      </c>
      <c r="R735" s="16">
        <f>M735*N735</f>
        <v>14000</v>
      </c>
      <c r="S735" s="16">
        <f>M735*O735</f>
        <v>2100</v>
      </c>
      <c r="T735" s="16">
        <f>M735*Q735</f>
        <v>11900</v>
      </c>
      <c r="U735" s="16"/>
      <c r="V735" s="16">
        <f>M735*U735</f>
        <v>0</v>
      </c>
      <c r="W735" s="16">
        <f>T735-V735</f>
        <v>11900</v>
      </c>
      <c r="X735" s="18">
        <f>IF(T735&gt;0, W735/T735, 0)</f>
        <v>1</v>
      </c>
      <c r="Y735" s="9" t="s">
        <v>41</v>
      </c>
      <c r="Z735" s="11" t="s">
        <v>42</v>
      </c>
      <c r="AA735" s="11" t="s">
        <v>43</v>
      </c>
      <c r="AB735" s="11" t="s">
        <v>44</v>
      </c>
      <c r="AC735" s="9" t="s">
        <v>44</v>
      </c>
    </row>
    <row r="736" spans="1:29">
      <c r="A736" s="10">
        <v>729</v>
      </c>
      <c r="B736" s="10" t="s">
        <v>1031</v>
      </c>
      <c r="C736" s="10" t="s">
        <v>957</v>
      </c>
      <c r="D736" s="10" t="s">
        <v>655</v>
      </c>
      <c r="E736" s="10" t="s">
        <v>34</v>
      </c>
      <c r="F736" s="10" t="s">
        <v>35</v>
      </c>
      <c r="G736" s="8" t="s">
        <v>52</v>
      </c>
      <c r="H736" s="8" t="s">
        <v>37</v>
      </c>
      <c r="I736" s="8" t="s">
        <v>38</v>
      </c>
      <c r="J736" s="10">
        <v>158</v>
      </c>
      <c r="K736" s="10" t="s">
        <v>132</v>
      </c>
      <c r="L736" s="10" t="s">
        <v>55</v>
      </c>
      <c r="M736" s="12">
        <v>2</v>
      </c>
      <c r="N736" s="15">
        <v>7000.0</v>
      </c>
      <c r="O736" s="15">
        <v>1050.0</v>
      </c>
      <c r="P736" s="17">
        <f>IF(N736&gt;0, O736/N736, 0)</f>
        <v>0.15</v>
      </c>
      <c r="Q736" s="15">
        <f>N736-O736</f>
        <v>5950</v>
      </c>
      <c r="R736" s="15">
        <f>M736*N736</f>
        <v>14000</v>
      </c>
      <c r="S736" s="15">
        <f>M736*O736</f>
        <v>2100</v>
      </c>
      <c r="T736" s="15">
        <f>M736*Q736</f>
        <v>11900</v>
      </c>
      <c r="U736" s="15"/>
      <c r="V736" s="15">
        <f>M736*U736</f>
        <v>0</v>
      </c>
      <c r="W736" s="15">
        <f>T736-V736</f>
        <v>11900</v>
      </c>
      <c r="X736" s="17">
        <f>IF(T736&gt;0, W736/T736, 0)</f>
        <v>1</v>
      </c>
      <c r="Y736" s="8" t="s">
        <v>41</v>
      </c>
      <c r="Z736" s="10" t="s">
        <v>42</v>
      </c>
      <c r="AA736" s="10" t="s">
        <v>43</v>
      </c>
      <c r="AB736" s="10" t="s">
        <v>44</v>
      </c>
      <c r="AC736" s="8" t="s">
        <v>44</v>
      </c>
    </row>
    <row r="737" spans="1:29">
      <c r="A737" s="11">
        <v>730</v>
      </c>
      <c r="B737" s="11" t="s">
        <v>1032</v>
      </c>
      <c r="C737" s="11" t="s">
        <v>957</v>
      </c>
      <c r="D737" s="11" t="s">
        <v>655</v>
      </c>
      <c r="E737" s="11" t="s">
        <v>70</v>
      </c>
      <c r="F737" s="11" t="s">
        <v>35</v>
      </c>
      <c r="G737" s="9" t="s">
        <v>36</v>
      </c>
      <c r="H737" s="9" t="s">
        <v>37</v>
      </c>
      <c r="I737" s="9" t="s">
        <v>38</v>
      </c>
      <c r="J737" s="11">
        <v>194</v>
      </c>
      <c r="K737" s="11" t="s">
        <v>1033</v>
      </c>
      <c r="L737" s="11" t="s">
        <v>40</v>
      </c>
      <c r="M737" s="13">
        <v>1</v>
      </c>
      <c r="N737" s="16">
        <v>18000.0</v>
      </c>
      <c r="O737" s="16"/>
      <c r="P737" s="18">
        <f>IF(N737&gt;0, O737/N737, 0)</f>
        <v>0</v>
      </c>
      <c r="Q737" s="16">
        <f>N737-O737</f>
        <v>18000</v>
      </c>
      <c r="R737" s="16">
        <f>M737*N737</f>
        <v>18000</v>
      </c>
      <c r="S737" s="16">
        <f>M737*O737</f>
        <v>0</v>
      </c>
      <c r="T737" s="16">
        <f>M737*Q737</f>
        <v>18000</v>
      </c>
      <c r="U737" s="16"/>
      <c r="V737" s="16">
        <f>M737*U737</f>
        <v>0</v>
      </c>
      <c r="W737" s="16">
        <f>T737-V737</f>
        <v>18000</v>
      </c>
      <c r="X737" s="18">
        <f>IF(T737&gt;0, W737/T737, 0)</f>
        <v>1</v>
      </c>
      <c r="Y737" s="9" t="s">
        <v>41</v>
      </c>
      <c r="Z737" s="11" t="s">
        <v>42</v>
      </c>
      <c r="AA737" s="11" t="s">
        <v>73</v>
      </c>
      <c r="AB737" s="11" t="s">
        <v>44</v>
      </c>
      <c r="AC737" s="9" t="s">
        <v>44</v>
      </c>
    </row>
    <row r="738" spans="1:29">
      <c r="A738" s="10">
        <v>731</v>
      </c>
      <c r="B738" s="10" t="s">
        <v>1034</v>
      </c>
      <c r="C738" s="10" t="s">
        <v>957</v>
      </c>
      <c r="D738" s="10" t="s">
        <v>655</v>
      </c>
      <c r="E738" s="10" t="s">
        <v>34</v>
      </c>
      <c r="F738" s="10" t="s">
        <v>35</v>
      </c>
      <c r="G738" s="8" t="s">
        <v>36</v>
      </c>
      <c r="H738" s="8" t="s">
        <v>37</v>
      </c>
      <c r="I738" s="8" t="s">
        <v>38</v>
      </c>
      <c r="J738" s="10">
        <v>182</v>
      </c>
      <c r="K738" s="10" t="s">
        <v>338</v>
      </c>
      <c r="L738" s="10" t="s">
        <v>40</v>
      </c>
      <c r="M738" s="12">
        <v>1</v>
      </c>
      <c r="N738" s="15">
        <v>8000.0</v>
      </c>
      <c r="O738" s="15"/>
      <c r="P738" s="17">
        <f>IF(N738&gt;0, O738/N738, 0)</f>
        <v>0</v>
      </c>
      <c r="Q738" s="15">
        <f>N738-O738</f>
        <v>8000</v>
      </c>
      <c r="R738" s="15">
        <f>M738*N738</f>
        <v>8000</v>
      </c>
      <c r="S738" s="15">
        <f>M738*O738</f>
        <v>0</v>
      </c>
      <c r="T738" s="15">
        <f>M738*Q738</f>
        <v>8000</v>
      </c>
      <c r="U738" s="15"/>
      <c r="V738" s="15">
        <f>M738*U738</f>
        <v>0</v>
      </c>
      <c r="W738" s="15">
        <f>T738-V738</f>
        <v>8000</v>
      </c>
      <c r="X738" s="17">
        <f>IF(T738&gt;0, W738/T738, 0)</f>
        <v>1</v>
      </c>
      <c r="Y738" s="8" t="s">
        <v>41</v>
      </c>
      <c r="Z738" s="10" t="s">
        <v>42</v>
      </c>
      <c r="AA738" s="10" t="s">
        <v>43</v>
      </c>
      <c r="AB738" s="10" t="s">
        <v>44</v>
      </c>
      <c r="AC738" s="8" t="s">
        <v>44</v>
      </c>
    </row>
    <row r="739" spans="1:29">
      <c r="A739" s="11">
        <v>732</v>
      </c>
      <c r="B739" s="11" t="s">
        <v>1035</v>
      </c>
      <c r="C739" s="11" t="s">
        <v>957</v>
      </c>
      <c r="D739" s="11" t="s">
        <v>655</v>
      </c>
      <c r="E739" s="11" t="s">
        <v>34</v>
      </c>
      <c r="F739" s="11" t="s">
        <v>35</v>
      </c>
      <c r="G739" s="9" t="s">
        <v>36</v>
      </c>
      <c r="H739" s="9" t="s">
        <v>71</v>
      </c>
      <c r="I739" s="9" t="s">
        <v>71</v>
      </c>
      <c r="J739" s="11">
        <v>194</v>
      </c>
      <c r="K739" s="11" t="s">
        <v>1036</v>
      </c>
      <c r="L739" s="11" t="s">
        <v>40</v>
      </c>
      <c r="M739" s="13">
        <v>1</v>
      </c>
      <c r="N739" s="16">
        <v>16500.0</v>
      </c>
      <c r="O739" s="16"/>
      <c r="P739" s="18">
        <f>IF(N739&gt;0, O739/N739, 0)</f>
        <v>0</v>
      </c>
      <c r="Q739" s="16">
        <f>N739-O739</f>
        <v>16500</v>
      </c>
      <c r="R739" s="16">
        <f>M739*N739</f>
        <v>16500</v>
      </c>
      <c r="S739" s="16">
        <f>M739*O739</f>
        <v>0</v>
      </c>
      <c r="T739" s="16">
        <f>M739*Q739</f>
        <v>16500</v>
      </c>
      <c r="U739" s="16"/>
      <c r="V739" s="16">
        <f>M739*U739</f>
        <v>0</v>
      </c>
      <c r="W739" s="16">
        <f>T739-V739</f>
        <v>16500</v>
      </c>
      <c r="X739" s="18">
        <f>IF(T739&gt;0, W739/T739, 0)</f>
        <v>1</v>
      </c>
      <c r="Y739" s="9" t="s">
        <v>41</v>
      </c>
      <c r="Z739" s="11" t="s">
        <v>42</v>
      </c>
      <c r="AA739" s="11" t="s">
        <v>43</v>
      </c>
      <c r="AB739" s="11" t="s">
        <v>44</v>
      </c>
      <c r="AC739" s="9" t="s">
        <v>44</v>
      </c>
    </row>
    <row r="740" spans="1:29">
      <c r="A740" s="10">
        <v>733</v>
      </c>
      <c r="B740" s="10" t="s">
        <v>1037</v>
      </c>
      <c r="C740" s="10" t="s">
        <v>957</v>
      </c>
      <c r="D740" s="10" t="s">
        <v>655</v>
      </c>
      <c r="E740" s="10" t="s">
        <v>34</v>
      </c>
      <c r="F740" s="10" t="s">
        <v>35</v>
      </c>
      <c r="G740" s="8" t="s">
        <v>36</v>
      </c>
      <c r="H740" s="8" t="s">
        <v>71</v>
      </c>
      <c r="I740" s="8" t="s">
        <v>71</v>
      </c>
      <c r="J740" s="10">
        <v>182</v>
      </c>
      <c r="K740" s="10" t="s">
        <v>425</v>
      </c>
      <c r="L740" s="10" t="s">
        <v>40</v>
      </c>
      <c r="M740" s="12">
        <v>1</v>
      </c>
      <c r="N740" s="15">
        <v>16500.0</v>
      </c>
      <c r="O740" s="15"/>
      <c r="P740" s="17">
        <f>IF(N740&gt;0, O740/N740, 0)</f>
        <v>0</v>
      </c>
      <c r="Q740" s="15">
        <f>N740-O740</f>
        <v>16500</v>
      </c>
      <c r="R740" s="15">
        <f>M740*N740</f>
        <v>16500</v>
      </c>
      <c r="S740" s="15">
        <f>M740*O740</f>
        <v>0</v>
      </c>
      <c r="T740" s="15">
        <f>M740*Q740</f>
        <v>16500</v>
      </c>
      <c r="U740" s="15"/>
      <c r="V740" s="15">
        <f>M740*U740</f>
        <v>0</v>
      </c>
      <c r="W740" s="15">
        <f>T740-V740</f>
        <v>16500</v>
      </c>
      <c r="X740" s="17">
        <f>IF(T740&gt;0, W740/T740, 0)</f>
        <v>1</v>
      </c>
      <c r="Y740" s="8" t="s">
        <v>41</v>
      </c>
      <c r="Z740" s="10" t="s">
        <v>42</v>
      </c>
      <c r="AA740" s="10" t="s">
        <v>43</v>
      </c>
      <c r="AB740" s="10" t="s">
        <v>44</v>
      </c>
      <c r="AC740" s="8" t="s">
        <v>44</v>
      </c>
    </row>
    <row r="741" spans="1:29">
      <c r="A741" s="11">
        <v>734</v>
      </c>
      <c r="B741" s="11" t="s">
        <v>1038</v>
      </c>
      <c r="C741" s="11" t="s">
        <v>957</v>
      </c>
      <c r="D741" s="11" t="s">
        <v>655</v>
      </c>
      <c r="E741" s="11" t="s">
        <v>34</v>
      </c>
      <c r="F741" s="11" t="s">
        <v>35</v>
      </c>
      <c r="G741" s="9" t="s">
        <v>36</v>
      </c>
      <c r="H741" s="9" t="s">
        <v>37</v>
      </c>
      <c r="I741" s="9" t="s">
        <v>38</v>
      </c>
      <c r="J741" s="11">
        <v>164</v>
      </c>
      <c r="K741" s="11" t="s">
        <v>79</v>
      </c>
      <c r="L741" s="11" t="s">
        <v>40</v>
      </c>
      <c r="M741" s="13">
        <v>2</v>
      </c>
      <c r="N741" s="16">
        <v>8000.0</v>
      </c>
      <c r="O741" s="16"/>
      <c r="P741" s="18">
        <f>IF(N741&gt;0, O741/N741, 0)</f>
        <v>0</v>
      </c>
      <c r="Q741" s="16">
        <f>N741-O741</f>
        <v>8000</v>
      </c>
      <c r="R741" s="16">
        <f>M741*N741</f>
        <v>16000</v>
      </c>
      <c r="S741" s="16">
        <f>M741*O741</f>
        <v>0</v>
      </c>
      <c r="T741" s="16">
        <f>M741*Q741</f>
        <v>16000</v>
      </c>
      <c r="U741" s="16"/>
      <c r="V741" s="16">
        <f>M741*U741</f>
        <v>0</v>
      </c>
      <c r="W741" s="16">
        <f>T741-V741</f>
        <v>16000</v>
      </c>
      <c r="X741" s="18">
        <f>IF(T741&gt;0, W741/T741, 0)</f>
        <v>1</v>
      </c>
      <c r="Y741" s="9" t="s">
        <v>41</v>
      </c>
      <c r="Z741" s="11" t="s">
        <v>42</v>
      </c>
      <c r="AA741" s="11" t="s">
        <v>43</v>
      </c>
      <c r="AB741" s="11" t="s">
        <v>44</v>
      </c>
      <c r="AC741" s="9" t="s">
        <v>44</v>
      </c>
    </row>
    <row r="742" spans="1:29">
      <c r="A742" s="10">
        <v>735</v>
      </c>
      <c r="B742" s="10" t="s">
        <v>1039</v>
      </c>
      <c r="C742" s="10" t="s">
        <v>957</v>
      </c>
      <c r="D742" s="10" t="s">
        <v>655</v>
      </c>
      <c r="E742" s="10" t="s">
        <v>34</v>
      </c>
      <c r="F742" s="10" t="s">
        <v>35</v>
      </c>
      <c r="G742" s="8" t="s">
        <v>52</v>
      </c>
      <c r="H742" s="8" t="s">
        <v>71</v>
      </c>
      <c r="I742" s="8" t="s">
        <v>71</v>
      </c>
      <c r="J742" s="10">
        <v>146</v>
      </c>
      <c r="K742" s="10" t="s">
        <v>385</v>
      </c>
      <c r="L742" s="10" t="s">
        <v>40</v>
      </c>
      <c r="M742" s="12">
        <v>1</v>
      </c>
      <c r="N742" s="15">
        <v>16000.0</v>
      </c>
      <c r="O742" s="15"/>
      <c r="P742" s="17">
        <f>IF(N742&gt;0, O742/N742, 0)</f>
        <v>0</v>
      </c>
      <c r="Q742" s="15">
        <f>N742-O742</f>
        <v>16000</v>
      </c>
      <c r="R742" s="15">
        <f>M742*N742</f>
        <v>16000</v>
      </c>
      <c r="S742" s="15">
        <f>M742*O742</f>
        <v>0</v>
      </c>
      <c r="T742" s="15">
        <f>M742*Q742</f>
        <v>16000</v>
      </c>
      <c r="U742" s="15"/>
      <c r="V742" s="15">
        <f>M742*U742</f>
        <v>0</v>
      </c>
      <c r="W742" s="15">
        <f>T742-V742</f>
        <v>16000</v>
      </c>
      <c r="X742" s="17">
        <f>IF(T742&gt;0, W742/T742, 0)</f>
        <v>1</v>
      </c>
      <c r="Y742" s="8" t="s">
        <v>41</v>
      </c>
      <c r="Z742" s="10" t="s">
        <v>42</v>
      </c>
      <c r="AA742" s="10" t="s">
        <v>43</v>
      </c>
      <c r="AB742" s="10" t="s">
        <v>44</v>
      </c>
      <c r="AC742" s="8" t="s">
        <v>44</v>
      </c>
    </row>
    <row r="743" spans="1:29">
      <c r="A743" s="11">
        <v>736</v>
      </c>
      <c r="B743" s="11" t="s">
        <v>1040</v>
      </c>
      <c r="C743" s="11" t="s">
        <v>957</v>
      </c>
      <c r="D743" s="11" t="s">
        <v>655</v>
      </c>
      <c r="E743" s="11" t="s">
        <v>34</v>
      </c>
      <c r="F743" s="11" t="s">
        <v>35</v>
      </c>
      <c r="G743" s="9" t="s">
        <v>52</v>
      </c>
      <c r="H743" s="9" t="s">
        <v>71</v>
      </c>
      <c r="I743" s="9" t="s">
        <v>71</v>
      </c>
      <c r="J743" s="11">
        <v>140</v>
      </c>
      <c r="K743" s="11" t="s">
        <v>228</v>
      </c>
      <c r="L743" s="11" t="s">
        <v>40</v>
      </c>
      <c r="M743" s="13">
        <v>1</v>
      </c>
      <c r="N743" s="16">
        <v>16000.0</v>
      </c>
      <c r="O743" s="16"/>
      <c r="P743" s="18">
        <f>IF(N743&gt;0, O743/N743, 0)</f>
        <v>0</v>
      </c>
      <c r="Q743" s="16">
        <f>N743-O743</f>
        <v>16000</v>
      </c>
      <c r="R743" s="16">
        <f>M743*N743</f>
        <v>16000</v>
      </c>
      <c r="S743" s="16">
        <f>M743*O743</f>
        <v>0</v>
      </c>
      <c r="T743" s="16">
        <f>M743*Q743</f>
        <v>16000</v>
      </c>
      <c r="U743" s="16"/>
      <c r="V743" s="16">
        <f>M743*U743</f>
        <v>0</v>
      </c>
      <c r="W743" s="16">
        <f>T743-V743</f>
        <v>16000</v>
      </c>
      <c r="X743" s="18">
        <f>IF(T743&gt;0, W743/T743, 0)</f>
        <v>1</v>
      </c>
      <c r="Y743" s="9" t="s">
        <v>41</v>
      </c>
      <c r="Z743" s="11" t="s">
        <v>42</v>
      </c>
      <c r="AA743" s="11" t="s">
        <v>43</v>
      </c>
      <c r="AB743" s="11" t="s">
        <v>44</v>
      </c>
      <c r="AC743" s="9" t="s">
        <v>44</v>
      </c>
    </row>
    <row r="744" spans="1:29">
      <c r="A744" s="10">
        <v>737</v>
      </c>
      <c r="B744" s="10" t="s">
        <v>1041</v>
      </c>
      <c r="C744" s="10" t="s">
        <v>957</v>
      </c>
      <c r="D744" s="10" t="s">
        <v>655</v>
      </c>
      <c r="E744" s="10" t="s">
        <v>70</v>
      </c>
      <c r="F744" s="10" t="s">
        <v>35</v>
      </c>
      <c r="G744" s="8" t="s">
        <v>52</v>
      </c>
      <c r="H744" s="8" t="s">
        <v>58</v>
      </c>
      <c r="I744" s="8" t="s">
        <v>58</v>
      </c>
      <c r="J744" s="10">
        <v>134</v>
      </c>
      <c r="K744" s="10" t="s">
        <v>284</v>
      </c>
      <c r="L744" s="10" t="s">
        <v>40</v>
      </c>
      <c r="M744" s="12">
        <v>1</v>
      </c>
      <c r="N744" s="15">
        <v>8000.0</v>
      </c>
      <c r="O744" s="15"/>
      <c r="P744" s="17">
        <f>IF(N744&gt;0, O744/N744, 0)</f>
        <v>0</v>
      </c>
      <c r="Q744" s="15">
        <f>N744-O744</f>
        <v>8000</v>
      </c>
      <c r="R744" s="15">
        <f>M744*N744</f>
        <v>8000</v>
      </c>
      <c r="S744" s="15">
        <f>M744*O744</f>
        <v>0</v>
      </c>
      <c r="T744" s="15">
        <f>M744*Q744</f>
        <v>8000</v>
      </c>
      <c r="U744" s="15"/>
      <c r="V744" s="15">
        <f>M744*U744</f>
        <v>0</v>
      </c>
      <c r="W744" s="15">
        <f>T744-V744</f>
        <v>8000</v>
      </c>
      <c r="X744" s="17">
        <f>IF(T744&gt;0, W744/T744, 0)</f>
        <v>1</v>
      </c>
      <c r="Y744" s="8" t="s">
        <v>41</v>
      </c>
      <c r="Z744" s="10" t="s">
        <v>42</v>
      </c>
      <c r="AA744" s="10" t="s">
        <v>73</v>
      </c>
      <c r="AB744" s="10" t="s">
        <v>44</v>
      </c>
      <c r="AC744" s="8" t="s">
        <v>44</v>
      </c>
    </row>
    <row r="745" spans="1:29">
      <c r="A745" s="11">
        <v>738</v>
      </c>
      <c r="B745" s="11" t="s">
        <v>1042</v>
      </c>
      <c r="C745" s="11" t="s">
        <v>957</v>
      </c>
      <c r="D745" s="11" t="s">
        <v>655</v>
      </c>
      <c r="E745" s="11" t="s">
        <v>34</v>
      </c>
      <c r="F745" s="11" t="s">
        <v>35</v>
      </c>
      <c r="G745" s="9" t="s">
        <v>52</v>
      </c>
      <c r="H745" s="9" t="s">
        <v>37</v>
      </c>
      <c r="I745" s="9" t="s">
        <v>38</v>
      </c>
      <c r="J745" s="11">
        <v>134</v>
      </c>
      <c r="K745" s="11" t="s">
        <v>180</v>
      </c>
      <c r="L745" s="11" t="s">
        <v>55</v>
      </c>
      <c r="M745" s="13">
        <v>1</v>
      </c>
      <c r="N745" s="16">
        <v>7000.0</v>
      </c>
      <c r="O745" s="16"/>
      <c r="P745" s="18">
        <f>IF(N745&gt;0, O745/N745, 0)</f>
        <v>0</v>
      </c>
      <c r="Q745" s="16">
        <f>N745-O745</f>
        <v>7000</v>
      </c>
      <c r="R745" s="16">
        <f>M745*N745</f>
        <v>7000</v>
      </c>
      <c r="S745" s="16">
        <f>M745*O745</f>
        <v>0</v>
      </c>
      <c r="T745" s="16">
        <f>M745*Q745</f>
        <v>7000</v>
      </c>
      <c r="U745" s="16"/>
      <c r="V745" s="16">
        <f>M745*U745</f>
        <v>0</v>
      </c>
      <c r="W745" s="16">
        <f>T745-V745</f>
        <v>7000</v>
      </c>
      <c r="X745" s="18">
        <f>IF(T745&gt;0, W745/T745, 0)</f>
        <v>1</v>
      </c>
      <c r="Y745" s="9" t="s">
        <v>41</v>
      </c>
      <c r="Z745" s="11" t="s">
        <v>42</v>
      </c>
      <c r="AA745" s="11" t="s">
        <v>43</v>
      </c>
      <c r="AB745" s="11" t="s">
        <v>44</v>
      </c>
      <c r="AC745" s="9" t="s">
        <v>44</v>
      </c>
    </row>
    <row r="746" spans="1:29">
      <c r="A746" s="10">
        <v>739</v>
      </c>
      <c r="B746" s="10" t="s">
        <v>1043</v>
      </c>
      <c r="C746" s="10" t="s">
        <v>957</v>
      </c>
      <c r="D746" s="10" t="s">
        <v>655</v>
      </c>
      <c r="E746" s="10" t="s">
        <v>70</v>
      </c>
      <c r="F746" s="10" t="s">
        <v>35</v>
      </c>
      <c r="G746" s="8" t="s">
        <v>36</v>
      </c>
      <c r="H746" s="8" t="s">
        <v>71</v>
      </c>
      <c r="I746" s="8" t="s">
        <v>71</v>
      </c>
      <c r="J746" s="10">
        <v>176</v>
      </c>
      <c r="K746" s="10" t="s">
        <v>206</v>
      </c>
      <c r="L746" s="10" t="s">
        <v>40</v>
      </c>
      <c r="M746" s="12">
        <v>1</v>
      </c>
      <c r="N746" s="15">
        <v>18000.0</v>
      </c>
      <c r="O746" s="15"/>
      <c r="P746" s="17">
        <f>IF(N746&gt;0, O746/N746, 0)</f>
        <v>0</v>
      </c>
      <c r="Q746" s="15">
        <f>N746-O746</f>
        <v>18000</v>
      </c>
      <c r="R746" s="15">
        <f>M746*N746</f>
        <v>18000</v>
      </c>
      <c r="S746" s="15">
        <f>M746*O746</f>
        <v>0</v>
      </c>
      <c r="T746" s="15">
        <f>M746*Q746</f>
        <v>18000</v>
      </c>
      <c r="U746" s="15"/>
      <c r="V746" s="15">
        <f>M746*U746</f>
        <v>0</v>
      </c>
      <c r="W746" s="15">
        <f>T746-V746</f>
        <v>18000</v>
      </c>
      <c r="X746" s="17">
        <f>IF(T746&gt;0, W746/T746, 0)</f>
        <v>1</v>
      </c>
      <c r="Y746" s="8" t="s">
        <v>41</v>
      </c>
      <c r="Z746" s="10" t="s">
        <v>42</v>
      </c>
      <c r="AA746" s="10" t="s">
        <v>73</v>
      </c>
      <c r="AB746" s="10" t="s">
        <v>44</v>
      </c>
      <c r="AC746" s="8" t="s">
        <v>44</v>
      </c>
    </row>
    <row r="747" spans="1:29">
      <c r="A747" s="11">
        <v>740</v>
      </c>
      <c r="B747" s="11" t="s">
        <v>1044</v>
      </c>
      <c r="C747" s="11" t="s">
        <v>957</v>
      </c>
      <c r="D747" s="11" t="s">
        <v>655</v>
      </c>
      <c r="E747" s="11" t="s">
        <v>34</v>
      </c>
      <c r="F747" s="11" t="s">
        <v>35</v>
      </c>
      <c r="G747" s="9" t="s">
        <v>36</v>
      </c>
      <c r="H747" s="9" t="s">
        <v>65</v>
      </c>
      <c r="I747" s="9" t="s">
        <v>151</v>
      </c>
      <c r="J747" s="11">
        <v>176</v>
      </c>
      <c r="K747" s="11" t="s">
        <v>236</v>
      </c>
      <c r="L747" s="11" t="s">
        <v>40</v>
      </c>
      <c r="M747" s="13">
        <v>1</v>
      </c>
      <c r="N747" s="16">
        <v>9500.0</v>
      </c>
      <c r="O747" s="16"/>
      <c r="P747" s="18">
        <f>IF(N747&gt;0, O747/N747, 0)</f>
        <v>0</v>
      </c>
      <c r="Q747" s="16">
        <f>N747-O747</f>
        <v>9500</v>
      </c>
      <c r="R747" s="16">
        <f>M747*N747</f>
        <v>9500</v>
      </c>
      <c r="S747" s="16">
        <f>M747*O747</f>
        <v>0</v>
      </c>
      <c r="T747" s="16">
        <f>M747*Q747</f>
        <v>9500</v>
      </c>
      <c r="U747" s="16"/>
      <c r="V747" s="16">
        <f>M747*U747</f>
        <v>0</v>
      </c>
      <c r="W747" s="16">
        <f>T747-V747</f>
        <v>9500</v>
      </c>
      <c r="X747" s="18">
        <f>IF(T747&gt;0, W747/T747, 0)</f>
        <v>1</v>
      </c>
      <c r="Y747" s="9" t="s">
        <v>41</v>
      </c>
      <c r="Z747" s="11" t="s">
        <v>42</v>
      </c>
      <c r="AA747" s="11" t="s">
        <v>43</v>
      </c>
      <c r="AB747" s="11" t="s">
        <v>44</v>
      </c>
      <c r="AC747" s="9" t="s">
        <v>44</v>
      </c>
    </row>
    <row r="748" spans="1:29">
      <c r="A748" s="10">
        <v>741</v>
      </c>
      <c r="B748" s="10" t="s">
        <v>1045</v>
      </c>
      <c r="C748" s="10" t="s">
        <v>957</v>
      </c>
      <c r="D748" s="10" t="s">
        <v>655</v>
      </c>
      <c r="E748" s="10" t="s">
        <v>34</v>
      </c>
      <c r="F748" s="10" t="s">
        <v>35</v>
      </c>
      <c r="G748" s="8" t="s">
        <v>36</v>
      </c>
      <c r="H748" s="8" t="s">
        <v>53</v>
      </c>
      <c r="I748" s="8" t="s">
        <v>53</v>
      </c>
      <c r="J748" s="10">
        <v>176</v>
      </c>
      <c r="K748" s="10" t="s">
        <v>421</v>
      </c>
      <c r="L748" s="10" t="s">
        <v>40</v>
      </c>
      <c r="M748" s="12">
        <v>1</v>
      </c>
      <c r="N748" s="15">
        <v>8500.0</v>
      </c>
      <c r="O748" s="15"/>
      <c r="P748" s="17">
        <f>IF(N748&gt;0, O748/N748, 0)</f>
        <v>0</v>
      </c>
      <c r="Q748" s="15">
        <f>N748-O748</f>
        <v>8500</v>
      </c>
      <c r="R748" s="15">
        <f>M748*N748</f>
        <v>8500</v>
      </c>
      <c r="S748" s="15">
        <f>M748*O748</f>
        <v>0</v>
      </c>
      <c r="T748" s="15">
        <f>M748*Q748</f>
        <v>8500</v>
      </c>
      <c r="U748" s="15"/>
      <c r="V748" s="15">
        <f>M748*U748</f>
        <v>0</v>
      </c>
      <c r="W748" s="15">
        <f>T748-V748</f>
        <v>8500</v>
      </c>
      <c r="X748" s="17">
        <f>IF(T748&gt;0, W748/T748, 0)</f>
        <v>1</v>
      </c>
      <c r="Y748" s="8" t="s">
        <v>41</v>
      </c>
      <c r="Z748" s="10" t="s">
        <v>42</v>
      </c>
      <c r="AA748" s="10" t="s">
        <v>43</v>
      </c>
      <c r="AB748" s="10" t="s">
        <v>44</v>
      </c>
      <c r="AC748" s="8" t="s">
        <v>44</v>
      </c>
    </row>
    <row r="749" spans="1:29">
      <c r="A749" s="11">
        <v>742</v>
      </c>
      <c r="B749" s="11" t="s">
        <v>1046</v>
      </c>
      <c r="C749" s="11" t="s">
        <v>957</v>
      </c>
      <c r="D749" s="11" t="s">
        <v>655</v>
      </c>
      <c r="E749" s="11" t="s">
        <v>34</v>
      </c>
      <c r="F749" s="11" t="s">
        <v>35</v>
      </c>
      <c r="G749" s="9" t="s">
        <v>36</v>
      </c>
      <c r="H749" s="9" t="s">
        <v>47</v>
      </c>
      <c r="I749" s="9" t="s">
        <v>48</v>
      </c>
      <c r="J749" s="11">
        <v>176</v>
      </c>
      <c r="K749" s="11" t="s">
        <v>427</v>
      </c>
      <c r="L749" s="11" t="s">
        <v>40</v>
      </c>
      <c r="M749" s="13">
        <v>1</v>
      </c>
      <c r="N749" s="16">
        <v>18000.0</v>
      </c>
      <c r="O749" s="16"/>
      <c r="P749" s="18">
        <f>IF(N749&gt;0, O749/N749, 0)</f>
        <v>0</v>
      </c>
      <c r="Q749" s="16">
        <f>N749-O749</f>
        <v>18000</v>
      </c>
      <c r="R749" s="16">
        <f>M749*N749</f>
        <v>18000</v>
      </c>
      <c r="S749" s="16">
        <f>M749*O749</f>
        <v>0</v>
      </c>
      <c r="T749" s="16">
        <f>M749*Q749</f>
        <v>18000</v>
      </c>
      <c r="U749" s="16"/>
      <c r="V749" s="16">
        <f>M749*U749</f>
        <v>0</v>
      </c>
      <c r="W749" s="16">
        <f>T749-V749</f>
        <v>18000</v>
      </c>
      <c r="X749" s="18">
        <f>IF(T749&gt;0, W749/T749, 0)</f>
        <v>1</v>
      </c>
      <c r="Y749" s="9" t="s">
        <v>41</v>
      </c>
      <c r="Z749" s="11" t="s">
        <v>42</v>
      </c>
      <c r="AA749" s="11" t="s">
        <v>43</v>
      </c>
      <c r="AB749" s="11" t="s">
        <v>44</v>
      </c>
      <c r="AC749" s="9" t="s">
        <v>44</v>
      </c>
    </row>
    <row r="750" spans="1:29">
      <c r="A750" s="10">
        <v>743</v>
      </c>
      <c r="B750" s="10" t="s">
        <v>1047</v>
      </c>
      <c r="C750" s="10" t="s">
        <v>957</v>
      </c>
      <c r="D750" s="10" t="s">
        <v>655</v>
      </c>
      <c r="E750" s="10" t="s">
        <v>34</v>
      </c>
      <c r="F750" s="10" t="s">
        <v>35</v>
      </c>
      <c r="G750" s="8" t="s">
        <v>36</v>
      </c>
      <c r="H750" s="8" t="s">
        <v>37</v>
      </c>
      <c r="I750" s="8" t="s">
        <v>75</v>
      </c>
      <c r="J750" s="10">
        <v>176</v>
      </c>
      <c r="K750" s="10" t="s">
        <v>423</v>
      </c>
      <c r="L750" s="10" t="s">
        <v>40</v>
      </c>
      <c r="M750" s="12">
        <v>1</v>
      </c>
      <c r="N750" s="15">
        <v>9000.0</v>
      </c>
      <c r="O750" s="15"/>
      <c r="P750" s="17">
        <f>IF(N750&gt;0, O750/N750, 0)</f>
        <v>0</v>
      </c>
      <c r="Q750" s="15">
        <f>N750-O750</f>
        <v>9000</v>
      </c>
      <c r="R750" s="15">
        <f>M750*N750</f>
        <v>9000</v>
      </c>
      <c r="S750" s="15">
        <f>M750*O750</f>
        <v>0</v>
      </c>
      <c r="T750" s="15">
        <f>M750*Q750</f>
        <v>9000</v>
      </c>
      <c r="U750" s="15"/>
      <c r="V750" s="15">
        <f>M750*U750</f>
        <v>0</v>
      </c>
      <c r="W750" s="15">
        <f>T750-V750</f>
        <v>9000</v>
      </c>
      <c r="X750" s="17">
        <f>IF(T750&gt;0, W750/T750, 0)</f>
        <v>1</v>
      </c>
      <c r="Y750" s="8" t="s">
        <v>41</v>
      </c>
      <c r="Z750" s="10" t="s">
        <v>42</v>
      </c>
      <c r="AA750" s="10" t="s">
        <v>43</v>
      </c>
      <c r="AB750" s="10" t="s">
        <v>44</v>
      </c>
      <c r="AC750" s="8" t="s">
        <v>44</v>
      </c>
    </row>
    <row r="751" spans="1:29">
      <c r="A751" s="11">
        <v>744</v>
      </c>
      <c r="B751" s="11" t="s">
        <v>1048</v>
      </c>
      <c r="C751" s="11" t="s">
        <v>957</v>
      </c>
      <c r="D751" s="11" t="s">
        <v>655</v>
      </c>
      <c r="E751" s="11" t="s">
        <v>70</v>
      </c>
      <c r="F751" s="11" t="s">
        <v>35</v>
      </c>
      <c r="G751" s="9" t="s">
        <v>52</v>
      </c>
      <c r="H751" s="9" t="s">
        <v>65</v>
      </c>
      <c r="I751" s="9" t="s">
        <v>151</v>
      </c>
      <c r="J751" s="11">
        <v>134</v>
      </c>
      <c r="K751" s="11" t="s">
        <v>249</v>
      </c>
      <c r="L751" s="11" t="s">
        <v>40</v>
      </c>
      <c r="M751" s="13">
        <v>2</v>
      </c>
      <c r="N751" s="16">
        <v>10000.0</v>
      </c>
      <c r="O751" s="16"/>
      <c r="P751" s="18">
        <f>IF(N751&gt;0, O751/N751, 0)</f>
        <v>0</v>
      </c>
      <c r="Q751" s="16">
        <f>N751-O751</f>
        <v>10000</v>
      </c>
      <c r="R751" s="16">
        <f>M751*N751</f>
        <v>20000</v>
      </c>
      <c r="S751" s="16">
        <f>M751*O751</f>
        <v>0</v>
      </c>
      <c r="T751" s="16">
        <f>M751*Q751</f>
        <v>20000</v>
      </c>
      <c r="U751" s="16"/>
      <c r="V751" s="16">
        <f>M751*U751</f>
        <v>0</v>
      </c>
      <c r="W751" s="16">
        <f>T751-V751</f>
        <v>20000</v>
      </c>
      <c r="X751" s="18">
        <f>IF(T751&gt;0, W751/T751, 0)</f>
        <v>1</v>
      </c>
      <c r="Y751" s="9" t="s">
        <v>41</v>
      </c>
      <c r="Z751" s="11" t="s">
        <v>42</v>
      </c>
      <c r="AA751" s="11" t="s">
        <v>73</v>
      </c>
      <c r="AB751" s="11" t="s">
        <v>44</v>
      </c>
      <c r="AC751" s="9" t="s">
        <v>44</v>
      </c>
    </row>
    <row r="752" spans="1:29">
      <c r="A752" s="10">
        <v>745</v>
      </c>
      <c r="B752" s="10" t="s">
        <v>1049</v>
      </c>
      <c r="C752" s="10" t="s">
        <v>957</v>
      </c>
      <c r="D752" s="10" t="s">
        <v>655</v>
      </c>
      <c r="E752" s="10" t="s">
        <v>70</v>
      </c>
      <c r="F752" s="10" t="s">
        <v>35</v>
      </c>
      <c r="G752" s="8" t="s">
        <v>52</v>
      </c>
      <c r="H752" s="8" t="s">
        <v>65</v>
      </c>
      <c r="I752" s="8" t="s">
        <v>151</v>
      </c>
      <c r="J752" s="10">
        <v>152</v>
      </c>
      <c r="K752" s="10" t="s">
        <v>254</v>
      </c>
      <c r="L752" s="10" t="s">
        <v>40</v>
      </c>
      <c r="M752" s="12">
        <v>2</v>
      </c>
      <c r="N752" s="15">
        <v>10000.0</v>
      </c>
      <c r="O752" s="15"/>
      <c r="P752" s="17">
        <f>IF(N752&gt;0, O752/N752, 0)</f>
        <v>0</v>
      </c>
      <c r="Q752" s="15">
        <f>N752-O752</f>
        <v>10000</v>
      </c>
      <c r="R752" s="15">
        <f>M752*N752</f>
        <v>20000</v>
      </c>
      <c r="S752" s="15">
        <f>M752*O752</f>
        <v>0</v>
      </c>
      <c r="T752" s="15">
        <f>M752*Q752</f>
        <v>20000</v>
      </c>
      <c r="U752" s="15"/>
      <c r="V752" s="15">
        <f>M752*U752</f>
        <v>0</v>
      </c>
      <c r="W752" s="15">
        <f>T752-V752</f>
        <v>20000</v>
      </c>
      <c r="X752" s="17">
        <f>IF(T752&gt;0, W752/T752, 0)</f>
        <v>1</v>
      </c>
      <c r="Y752" s="8" t="s">
        <v>41</v>
      </c>
      <c r="Z752" s="10" t="s">
        <v>42</v>
      </c>
      <c r="AA752" s="10" t="s">
        <v>73</v>
      </c>
      <c r="AB752" s="10" t="s">
        <v>44</v>
      </c>
      <c r="AC752" s="8" t="s">
        <v>44</v>
      </c>
    </row>
    <row r="753" spans="1:29">
      <c r="A753" s="11">
        <v>746</v>
      </c>
      <c r="B753" s="11" t="s">
        <v>1050</v>
      </c>
      <c r="C753" s="11" t="s">
        <v>957</v>
      </c>
      <c r="D753" s="11" t="s">
        <v>655</v>
      </c>
      <c r="E753" s="11" t="s">
        <v>34</v>
      </c>
      <c r="F753" s="11" t="s">
        <v>35</v>
      </c>
      <c r="G753" s="9" t="s">
        <v>52</v>
      </c>
      <c r="H753" s="9" t="s">
        <v>47</v>
      </c>
      <c r="I753" s="9" t="s">
        <v>48</v>
      </c>
      <c r="J753" s="11">
        <v>140</v>
      </c>
      <c r="K753" s="11" t="s">
        <v>417</v>
      </c>
      <c r="L753" s="11" t="s">
        <v>40</v>
      </c>
      <c r="M753" s="13">
        <v>1</v>
      </c>
      <c r="N753" s="16">
        <v>18000.0</v>
      </c>
      <c r="O753" s="16"/>
      <c r="P753" s="18">
        <f>IF(N753&gt;0, O753/N753, 0)</f>
        <v>0</v>
      </c>
      <c r="Q753" s="16">
        <f>N753-O753</f>
        <v>18000</v>
      </c>
      <c r="R753" s="16">
        <f>M753*N753</f>
        <v>18000</v>
      </c>
      <c r="S753" s="16">
        <f>M753*O753</f>
        <v>0</v>
      </c>
      <c r="T753" s="16">
        <f>M753*Q753</f>
        <v>18000</v>
      </c>
      <c r="U753" s="16"/>
      <c r="V753" s="16">
        <f>M753*U753</f>
        <v>0</v>
      </c>
      <c r="W753" s="16">
        <f>T753-V753</f>
        <v>18000</v>
      </c>
      <c r="X753" s="18">
        <f>IF(T753&gt;0, W753/T753, 0)</f>
        <v>1</v>
      </c>
      <c r="Y753" s="9" t="s">
        <v>41</v>
      </c>
      <c r="Z753" s="11" t="s">
        <v>42</v>
      </c>
      <c r="AA753" s="11" t="s">
        <v>43</v>
      </c>
      <c r="AB753" s="11" t="s">
        <v>44</v>
      </c>
      <c r="AC753" s="9" t="s">
        <v>44</v>
      </c>
    </row>
    <row r="754" spans="1:29">
      <c r="A754" s="10">
        <v>747</v>
      </c>
      <c r="B754" s="10" t="s">
        <v>1051</v>
      </c>
      <c r="C754" s="10" t="s">
        <v>957</v>
      </c>
      <c r="D754" s="10" t="s">
        <v>655</v>
      </c>
      <c r="E754" s="10" t="s">
        <v>34</v>
      </c>
      <c r="F754" s="10" t="s">
        <v>35</v>
      </c>
      <c r="G754" s="8" t="s">
        <v>52</v>
      </c>
      <c r="H754" s="8" t="s">
        <v>71</v>
      </c>
      <c r="I754" s="8" t="s">
        <v>71</v>
      </c>
      <c r="J754" s="10">
        <v>134</v>
      </c>
      <c r="K754" s="10" t="s">
        <v>212</v>
      </c>
      <c r="L754" s="10" t="s">
        <v>40</v>
      </c>
      <c r="M754" s="12">
        <v>1</v>
      </c>
      <c r="N754" s="15">
        <v>16000.0</v>
      </c>
      <c r="O754" s="15"/>
      <c r="P754" s="17">
        <f>IF(N754&gt;0, O754/N754, 0)</f>
        <v>0</v>
      </c>
      <c r="Q754" s="15">
        <f>N754-O754</f>
        <v>16000</v>
      </c>
      <c r="R754" s="15">
        <f>M754*N754</f>
        <v>16000</v>
      </c>
      <c r="S754" s="15">
        <f>M754*O754</f>
        <v>0</v>
      </c>
      <c r="T754" s="15">
        <f>M754*Q754</f>
        <v>16000</v>
      </c>
      <c r="U754" s="15"/>
      <c r="V754" s="15">
        <f>M754*U754</f>
        <v>0</v>
      </c>
      <c r="W754" s="15">
        <f>T754-V754</f>
        <v>16000</v>
      </c>
      <c r="X754" s="17">
        <f>IF(T754&gt;0, W754/T754, 0)</f>
        <v>1</v>
      </c>
      <c r="Y754" s="8" t="s">
        <v>41</v>
      </c>
      <c r="Z754" s="10" t="s">
        <v>42</v>
      </c>
      <c r="AA754" s="10" t="s">
        <v>43</v>
      </c>
      <c r="AB754" s="10" t="s">
        <v>44</v>
      </c>
      <c r="AC754" s="8" t="s">
        <v>44</v>
      </c>
    </row>
    <row r="755" spans="1:29">
      <c r="A755" s="11">
        <v>748</v>
      </c>
      <c r="B755" s="11" t="s">
        <v>1052</v>
      </c>
      <c r="C755" s="11" t="s">
        <v>957</v>
      </c>
      <c r="D755" s="11" t="s">
        <v>655</v>
      </c>
      <c r="E755" s="11" t="s">
        <v>34</v>
      </c>
      <c r="F755" s="11" t="s">
        <v>35</v>
      </c>
      <c r="G755" s="9" t="s">
        <v>52</v>
      </c>
      <c r="H755" s="9" t="s">
        <v>37</v>
      </c>
      <c r="I755" s="9" t="s">
        <v>75</v>
      </c>
      <c r="J755" s="11">
        <v>140</v>
      </c>
      <c r="K755" s="11" t="s">
        <v>573</v>
      </c>
      <c r="L755" s="11" t="s">
        <v>55</v>
      </c>
      <c r="M755" s="13">
        <v>3</v>
      </c>
      <c r="N755" s="16">
        <v>9000.0</v>
      </c>
      <c r="O755" s="16"/>
      <c r="P755" s="18">
        <f>IF(N755&gt;0, O755/N755, 0)</f>
        <v>0</v>
      </c>
      <c r="Q755" s="16">
        <f>N755-O755</f>
        <v>9000</v>
      </c>
      <c r="R755" s="16">
        <f>M755*N755</f>
        <v>27000</v>
      </c>
      <c r="S755" s="16">
        <f>M755*O755</f>
        <v>0</v>
      </c>
      <c r="T755" s="16">
        <f>M755*Q755</f>
        <v>27000</v>
      </c>
      <c r="U755" s="16"/>
      <c r="V755" s="16">
        <f>M755*U755</f>
        <v>0</v>
      </c>
      <c r="W755" s="16">
        <f>T755-V755</f>
        <v>27000</v>
      </c>
      <c r="X755" s="18">
        <f>IF(T755&gt;0, W755/T755, 0)</f>
        <v>1</v>
      </c>
      <c r="Y755" s="9" t="s">
        <v>41</v>
      </c>
      <c r="Z755" s="11" t="s">
        <v>42</v>
      </c>
      <c r="AA755" s="11" t="s">
        <v>43</v>
      </c>
      <c r="AB755" s="11" t="s">
        <v>44</v>
      </c>
      <c r="AC755" s="9" t="s">
        <v>44</v>
      </c>
    </row>
    <row r="756" spans="1:29">
      <c r="A756" s="10">
        <v>749</v>
      </c>
      <c r="B756" s="10" t="s">
        <v>1053</v>
      </c>
      <c r="C756" s="10" t="s">
        <v>957</v>
      </c>
      <c r="D756" s="10" t="s">
        <v>655</v>
      </c>
      <c r="E756" s="10" t="s">
        <v>34</v>
      </c>
      <c r="F756" s="10" t="s">
        <v>35</v>
      </c>
      <c r="G756" s="8" t="s">
        <v>52</v>
      </c>
      <c r="H756" s="8" t="s">
        <v>37</v>
      </c>
      <c r="I756" s="8" t="s">
        <v>38</v>
      </c>
      <c r="J756" s="10">
        <v>140</v>
      </c>
      <c r="K756" s="10" t="s">
        <v>226</v>
      </c>
      <c r="L756" s="10" t="s">
        <v>55</v>
      </c>
      <c r="M756" s="12">
        <v>5</v>
      </c>
      <c r="N756" s="15">
        <v>7000.0</v>
      </c>
      <c r="O756" s="15"/>
      <c r="P756" s="17">
        <f>IF(N756&gt;0, O756/N756, 0)</f>
        <v>0</v>
      </c>
      <c r="Q756" s="15">
        <f>N756-O756</f>
        <v>7000</v>
      </c>
      <c r="R756" s="15">
        <f>M756*N756</f>
        <v>35000</v>
      </c>
      <c r="S756" s="15">
        <f>M756*O756</f>
        <v>0</v>
      </c>
      <c r="T756" s="15">
        <f>M756*Q756</f>
        <v>35000</v>
      </c>
      <c r="U756" s="15"/>
      <c r="V756" s="15">
        <f>M756*U756</f>
        <v>0</v>
      </c>
      <c r="W756" s="15">
        <f>T756-V756</f>
        <v>35000</v>
      </c>
      <c r="X756" s="17">
        <f>IF(T756&gt;0, W756/T756, 0)</f>
        <v>1</v>
      </c>
      <c r="Y756" s="8" t="s">
        <v>41</v>
      </c>
      <c r="Z756" s="10" t="s">
        <v>42</v>
      </c>
      <c r="AA756" s="10" t="s">
        <v>43</v>
      </c>
      <c r="AB756" s="10" t="s">
        <v>44</v>
      </c>
      <c r="AC756" s="8" t="s">
        <v>44</v>
      </c>
    </row>
    <row r="757" spans="1:29">
      <c r="A757" s="11">
        <v>750</v>
      </c>
      <c r="B757" s="11" t="s">
        <v>1054</v>
      </c>
      <c r="C757" s="11" t="s">
        <v>957</v>
      </c>
      <c r="D757" s="11" t="s">
        <v>655</v>
      </c>
      <c r="E757" s="11" t="s">
        <v>34</v>
      </c>
      <c r="F757" s="11" t="s">
        <v>35</v>
      </c>
      <c r="G757" s="9" t="s">
        <v>52</v>
      </c>
      <c r="H757" s="9" t="s">
        <v>53</v>
      </c>
      <c r="I757" s="9" t="s">
        <v>53</v>
      </c>
      <c r="J757" s="11">
        <v>134</v>
      </c>
      <c r="K757" s="11" t="s">
        <v>178</v>
      </c>
      <c r="L757" s="11" t="s">
        <v>55</v>
      </c>
      <c r="M757" s="13">
        <v>2</v>
      </c>
      <c r="N757" s="16">
        <v>8000.0</v>
      </c>
      <c r="O757" s="16"/>
      <c r="P757" s="18">
        <f>IF(N757&gt;0, O757/N757, 0)</f>
        <v>0</v>
      </c>
      <c r="Q757" s="16">
        <f>N757-O757</f>
        <v>8000</v>
      </c>
      <c r="R757" s="16">
        <f>M757*N757</f>
        <v>16000</v>
      </c>
      <c r="S757" s="16">
        <f>M757*O757</f>
        <v>0</v>
      </c>
      <c r="T757" s="16">
        <f>M757*Q757</f>
        <v>16000</v>
      </c>
      <c r="U757" s="16"/>
      <c r="V757" s="16">
        <f>M757*U757</f>
        <v>0</v>
      </c>
      <c r="W757" s="16">
        <f>T757-V757</f>
        <v>16000</v>
      </c>
      <c r="X757" s="18">
        <f>IF(T757&gt;0, W757/T757, 0)</f>
        <v>1</v>
      </c>
      <c r="Y757" s="9" t="s">
        <v>41</v>
      </c>
      <c r="Z757" s="11" t="s">
        <v>42</v>
      </c>
      <c r="AA757" s="11" t="s">
        <v>43</v>
      </c>
      <c r="AB757" s="11" t="s">
        <v>44</v>
      </c>
      <c r="AC757" s="9" t="s">
        <v>44</v>
      </c>
    </row>
    <row r="758" spans="1:29">
      <c r="A758" s="10">
        <v>751</v>
      </c>
      <c r="B758" s="10" t="s">
        <v>1055</v>
      </c>
      <c r="C758" s="10" t="s">
        <v>957</v>
      </c>
      <c r="D758" s="10" t="s">
        <v>655</v>
      </c>
      <c r="E758" s="10" t="s">
        <v>34</v>
      </c>
      <c r="F758" s="10" t="s">
        <v>35</v>
      </c>
      <c r="G758" s="8" t="s">
        <v>52</v>
      </c>
      <c r="H758" s="8" t="s">
        <v>37</v>
      </c>
      <c r="I758" s="8" t="s">
        <v>75</v>
      </c>
      <c r="J758" s="10">
        <v>164</v>
      </c>
      <c r="K758" s="10" t="s">
        <v>190</v>
      </c>
      <c r="L758" s="10" t="s">
        <v>55</v>
      </c>
      <c r="M758" s="12">
        <v>2</v>
      </c>
      <c r="N758" s="15">
        <v>8000.0</v>
      </c>
      <c r="O758" s="15"/>
      <c r="P758" s="17">
        <f>IF(N758&gt;0, O758/N758, 0)</f>
        <v>0</v>
      </c>
      <c r="Q758" s="15">
        <f>N758-O758</f>
        <v>8000</v>
      </c>
      <c r="R758" s="15">
        <f>M758*N758</f>
        <v>16000</v>
      </c>
      <c r="S758" s="15">
        <f>M758*O758</f>
        <v>0</v>
      </c>
      <c r="T758" s="15">
        <f>M758*Q758</f>
        <v>16000</v>
      </c>
      <c r="U758" s="15"/>
      <c r="V758" s="15">
        <f>M758*U758</f>
        <v>0</v>
      </c>
      <c r="W758" s="15">
        <f>T758-V758</f>
        <v>16000</v>
      </c>
      <c r="X758" s="17">
        <f>IF(T758&gt;0, W758/T758, 0)</f>
        <v>1</v>
      </c>
      <c r="Y758" s="8" t="s">
        <v>41</v>
      </c>
      <c r="Z758" s="10" t="s">
        <v>42</v>
      </c>
      <c r="AA758" s="10" t="s">
        <v>43</v>
      </c>
      <c r="AB758" s="10" t="s">
        <v>44</v>
      </c>
      <c r="AC758" s="8" t="s">
        <v>44</v>
      </c>
    </row>
    <row r="759" spans="1:29">
      <c r="A759" s="11">
        <v>752</v>
      </c>
      <c r="B759" s="11" t="s">
        <v>1056</v>
      </c>
      <c r="C759" s="11" t="s">
        <v>957</v>
      </c>
      <c r="D759" s="11" t="s">
        <v>655</v>
      </c>
      <c r="E759" s="11" t="s">
        <v>34</v>
      </c>
      <c r="F759" s="11" t="s">
        <v>35</v>
      </c>
      <c r="G759" s="9" t="s">
        <v>52</v>
      </c>
      <c r="H759" s="9" t="s">
        <v>47</v>
      </c>
      <c r="I759" s="9" t="s">
        <v>48</v>
      </c>
      <c r="J759" s="11">
        <v>158</v>
      </c>
      <c r="K759" s="11" t="s">
        <v>444</v>
      </c>
      <c r="L759" s="11" t="s">
        <v>40</v>
      </c>
      <c r="M759" s="13">
        <v>1</v>
      </c>
      <c r="N759" s="16">
        <v>18000.0</v>
      </c>
      <c r="O759" s="16"/>
      <c r="P759" s="18">
        <f>IF(N759&gt;0, O759/N759, 0)</f>
        <v>0</v>
      </c>
      <c r="Q759" s="16">
        <f>N759-O759</f>
        <v>18000</v>
      </c>
      <c r="R759" s="16">
        <f>M759*N759</f>
        <v>18000</v>
      </c>
      <c r="S759" s="16">
        <f>M759*O759</f>
        <v>0</v>
      </c>
      <c r="T759" s="16">
        <f>M759*Q759</f>
        <v>18000</v>
      </c>
      <c r="U759" s="16"/>
      <c r="V759" s="16">
        <f>M759*U759</f>
        <v>0</v>
      </c>
      <c r="W759" s="16">
        <f>T759-V759</f>
        <v>18000</v>
      </c>
      <c r="X759" s="18">
        <f>IF(T759&gt;0, W759/T759, 0)</f>
        <v>1</v>
      </c>
      <c r="Y759" s="9" t="s">
        <v>41</v>
      </c>
      <c r="Z759" s="11" t="s">
        <v>42</v>
      </c>
      <c r="AA759" s="11" t="s">
        <v>43</v>
      </c>
      <c r="AB759" s="11" t="s">
        <v>44</v>
      </c>
      <c r="AC759" s="9" t="s">
        <v>44</v>
      </c>
    </row>
    <row r="760" spans="1:29">
      <c r="A760" s="10">
        <v>753</v>
      </c>
      <c r="B760" s="10" t="s">
        <v>1057</v>
      </c>
      <c r="C760" s="10" t="s">
        <v>957</v>
      </c>
      <c r="D760" s="10" t="s">
        <v>655</v>
      </c>
      <c r="E760" s="10" t="s">
        <v>34</v>
      </c>
      <c r="F760" s="10" t="s">
        <v>35</v>
      </c>
      <c r="G760" s="8" t="s">
        <v>52</v>
      </c>
      <c r="H760" s="8" t="s">
        <v>71</v>
      </c>
      <c r="I760" s="8" t="s">
        <v>71</v>
      </c>
      <c r="J760" s="10">
        <v>152</v>
      </c>
      <c r="K760" s="10" t="s">
        <v>353</v>
      </c>
      <c r="L760" s="10" t="s">
        <v>40</v>
      </c>
      <c r="M760" s="12">
        <v>1</v>
      </c>
      <c r="N760" s="15">
        <v>16000.0</v>
      </c>
      <c r="O760" s="15"/>
      <c r="P760" s="17">
        <f>IF(N760&gt;0, O760/N760, 0)</f>
        <v>0</v>
      </c>
      <c r="Q760" s="15">
        <f>N760-O760</f>
        <v>16000</v>
      </c>
      <c r="R760" s="15">
        <f>M760*N760</f>
        <v>16000</v>
      </c>
      <c r="S760" s="15">
        <f>M760*O760</f>
        <v>0</v>
      </c>
      <c r="T760" s="15">
        <f>M760*Q760</f>
        <v>16000</v>
      </c>
      <c r="U760" s="15"/>
      <c r="V760" s="15">
        <f>M760*U760</f>
        <v>0</v>
      </c>
      <c r="W760" s="15">
        <f>T760-V760</f>
        <v>16000</v>
      </c>
      <c r="X760" s="17">
        <f>IF(T760&gt;0, W760/T760, 0)</f>
        <v>1</v>
      </c>
      <c r="Y760" s="8" t="s">
        <v>41</v>
      </c>
      <c r="Z760" s="10" t="s">
        <v>42</v>
      </c>
      <c r="AA760" s="10" t="s">
        <v>43</v>
      </c>
      <c r="AB760" s="10" t="s">
        <v>44</v>
      </c>
      <c r="AC760" s="8" t="s">
        <v>44</v>
      </c>
    </row>
    <row r="761" spans="1:29">
      <c r="A761" s="11">
        <v>754</v>
      </c>
      <c r="B761" s="11" t="s">
        <v>1058</v>
      </c>
      <c r="C761" s="11" t="s">
        <v>957</v>
      </c>
      <c r="D761" s="11" t="s">
        <v>655</v>
      </c>
      <c r="E761" s="11" t="s">
        <v>34</v>
      </c>
      <c r="F761" s="11" t="s">
        <v>35</v>
      </c>
      <c r="G761" s="9" t="s">
        <v>52</v>
      </c>
      <c r="H761" s="9" t="s">
        <v>37</v>
      </c>
      <c r="I761" s="9" t="s">
        <v>38</v>
      </c>
      <c r="J761" s="11">
        <v>164</v>
      </c>
      <c r="K761" s="11" t="s">
        <v>410</v>
      </c>
      <c r="L761" s="11" t="s">
        <v>55</v>
      </c>
      <c r="M761" s="13">
        <v>4</v>
      </c>
      <c r="N761" s="16">
        <v>7000.0</v>
      </c>
      <c r="O761" s="16"/>
      <c r="P761" s="18">
        <f>IF(N761&gt;0, O761/N761, 0)</f>
        <v>0</v>
      </c>
      <c r="Q761" s="16">
        <f>N761-O761</f>
        <v>7000</v>
      </c>
      <c r="R761" s="16">
        <f>M761*N761</f>
        <v>28000</v>
      </c>
      <c r="S761" s="16">
        <f>M761*O761</f>
        <v>0</v>
      </c>
      <c r="T761" s="16">
        <f>M761*Q761</f>
        <v>28000</v>
      </c>
      <c r="U761" s="16"/>
      <c r="V761" s="16">
        <f>M761*U761</f>
        <v>0</v>
      </c>
      <c r="W761" s="16">
        <f>T761-V761</f>
        <v>28000</v>
      </c>
      <c r="X761" s="18">
        <f>IF(T761&gt;0, W761/T761, 0)</f>
        <v>1</v>
      </c>
      <c r="Y761" s="9" t="s">
        <v>41</v>
      </c>
      <c r="Z761" s="11" t="s">
        <v>42</v>
      </c>
      <c r="AA761" s="11" t="s">
        <v>43</v>
      </c>
      <c r="AB761" s="11" t="s">
        <v>44</v>
      </c>
      <c r="AC761" s="9" t="s">
        <v>44</v>
      </c>
    </row>
    <row r="762" spans="1:29">
      <c r="A762" s="10">
        <v>755</v>
      </c>
      <c r="B762" s="10" t="s">
        <v>1059</v>
      </c>
      <c r="C762" s="10" t="s">
        <v>957</v>
      </c>
      <c r="D762" s="10" t="s">
        <v>655</v>
      </c>
      <c r="E762" s="10" t="s">
        <v>34</v>
      </c>
      <c r="F762" s="10" t="s">
        <v>35</v>
      </c>
      <c r="G762" s="8" t="s">
        <v>52</v>
      </c>
      <c r="H762" s="8" t="s">
        <v>53</v>
      </c>
      <c r="I762" s="8" t="s">
        <v>53</v>
      </c>
      <c r="J762" s="10">
        <v>164</v>
      </c>
      <c r="K762" s="10" t="s">
        <v>407</v>
      </c>
      <c r="L762" s="10" t="s">
        <v>55</v>
      </c>
      <c r="M762" s="12">
        <v>2</v>
      </c>
      <c r="N762" s="15">
        <v>8000.0</v>
      </c>
      <c r="O762" s="15"/>
      <c r="P762" s="17">
        <f>IF(N762&gt;0, O762/N762, 0)</f>
        <v>0</v>
      </c>
      <c r="Q762" s="15">
        <f>N762-O762</f>
        <v>8000</v>
      </c>
      <c r="R762" s="15">
        <f>M762*N762</f>
        <v>16000</v>
      </c>
      <c r="S762" s="15">
        <f>M762*O762</f>
        <v>0</v>
      </c>
      <c r="T762" s="15">
        <f>M762*Q762</f>
        <v>16000</v>
      </c>
      <c r="U762" s="15"/>
      <c r="V762" s="15">
        <f>M762*U762</f>
        <v>0</v>
      </c>
      <c r="W762" s="15">
        <f>T762-V762</f>
        <v>16000</v>
      </c>
      <c r="X762" s="17">
        <f>IF(T762&gt;0, W762/T762, 0)</f>
        <v>1</v>
      </c>
      <c r="Y762" s="8" t="s">
        <v>41</v>
      </c>
      <c r="Z762" s="10" t="s">
        <v>42</v>
      </c>
      <c r="AA762" s="10" t="s">
        <v>43</v>
      </c>
      <c r="AB762" s="10" t="s">
        <v>44</v>
      </c>
      <c r="AC762" s="8" t="s">
        <v>44</v>
      </c>
    </row>
    <row r="763" spans="1:29">
      <c r="A763" s="11">
        <v>756</v>
      </c>
      <c r="B763" s="11" t="s">
        <v>1060</v>
      </c>
      <c r="C763" s="11" t="s">
        <v>957</v>
      </c>
      <c r="D763" s="11" t="s">
        <v>655</v>
      </c>
      <c r="E763" s="11" t="s">
        <v>34</v>
      </c>
      <c r="F763" s="11" t="s">
        <v>35</v>
      </c>
      <c r="G763" s="9" t="s">
        <v>52</v>
      </c>
      <c r="H763" s="9" t="s">
        <v>58</v>
      </c>
      <c r="I763" s="9" t="s">
        <v>58</v>
      </c>
      <c r="J763" s="11">
        <v>152</v>
      </c>
      <c r="K763" s="11" t="s">
        <v>314</v>
      </c>
      <c r="L763" s="11" t="s">
        <v>40</v>
      </c>
      <c r="M763" s="13">
        <v>2</v>
      </c>
      <c r="N763" s="16">
        <v>7000.0</v>
      </c>
      <c r="O763" s="16"/>
      <c r="P763" s="18">
        <f>IF(N763&gt;0, O763/N763, 0)</f>
        <v>0</v>
      </c>
      <c r="Q763" s="16">
        <f>N763-O763</f>
        <v>7000</v>
      </c>
      <c r="R763" s="16">
        <f>M763*N763</f>
        <v>14000</v>
      </c>
      <c r="S763" s="16">
        <f>M763*O763</f>
        <v>0</v>
      </c>
      <c r="T763" s="16">
        <f>M763*Q763</f>
        <v>14000</v>
      </c>
      <c r="U763" s="16"/>
      <c r="V763" s="16">
        <f>M763*U763</f>
        <v>0</v>
      </c>
      <c r="W763" s="16">
        <f>T763-V763</f>
        <v>14000</v>
      </c>
      <c r="X763" s="18">
        <f>IF(T763&gt;0, W763/T763, 0)</f>
        <v>1</v>
      </c>
      <c r="Y763" s="9" t="s">
        <v>41</v>
      </c>
      <c r="Z763" s="11" t="s">
        <v>42</v>
      </c>
      <c r="AA763" s="11" t="s">
        <v>43</v>
      </c>
      <c r="AB763" s="11" t="s">
        <v>44</v>
      </c>
      <c r="AC763" s="9" t="s">
        <v>44</v>
      </c>
    </row>
    <row r="764" spans="1:29">
      <c r="A764" s="10">
        <v>757</v>
      </c>
      <c r="B764" s="10" t="s">
        <v>1061</v>
      </c>
      <c r="C764" s="10" t="s">
        <v>957</v>
      </c>
      <c r="D764" s="10" t="s">
        <v>655</v>
      </c>
      <c r="E764" s="10" t="s">
        <v>34</v>
      </c>
      <c r="F764" s="10" t="s">
        <v>35</v>
      </c>
      <c r="G764" s="8" t="s">
        <v>52</v>
      </c>
      <c r="H764" s="8" t="s">
        <v>47</v>
      </c>
      <c r="I764" s="8" t="s">
        <v>48</v>
      </c>
      <c r="J764" s="10">
        <v>134</v>
      </c>
      <c r="K764" s="10" t="s">
        <v>379</v>
      </c>
      <c r="L764" s="10" t="s">
        <v>40</v>
      </c>
      <c r="M764" s="12">
        <v>1</v>
      </c>
      <c r="N764" s="15">
        <v>18000.0</v>
      </c>
      <c r="O764" s="15"/>
      <c r="P764" s="17">
        <f>IF(N764&gt;0, O764/N764, 0)</f>
        <v>0</v>
      </c>
      <c r="Q764" s="15">
        <f>N764-O764</f>
        <v>18000</v>
      </c>
      <c r="R764" s="15">
        <f>M764*N764</f>
        <v>18000</v>
      </c>
      <c r="S764" s="15">
        <f>M764*O764</f>
        <v>0</v>
      </c>
      <c r="T764" s="15">
        <f>M764*Q764</f>
        <v>18000</v>
      </c>
      <c r="U764" s="15"/>
      <c r="V764" s="15">
        <f>M764*U764</f>
        <v>0</v>
      </c>
      <c r="W764" s="15">
        <f>T764-V764</f>
        <v>18000</v>
      </c>
      <c r="X764" s="17">
        <f>IF(T764&gt;0, W764/T764, 0)</f>
        <v>1</v>
      </c>
      <c r="Y764" s="8" t="s">
        <v>41</v>
      </c>
      <c r="Z764" s="10" t="s">
        <v>42</v>
      </c>
      <c r="AA764" s="10" t="s">
        <v>43</v>
      </c>
      <c r="AB764" s="10" t="s">
        <v>44</v>
      </c>
      <c r="AC764" s="8" t="s">
        <v>44</v>
      </c>
    </row>
    <row r="765" spans="1:29">
      <c r="A765" s="11">
        <v>758</v>
      </c>
      <c r="B765" s="11" t="s">
        <v>1062</v>
      </c>
      <c r="C765" s="11" t="s">
        <v>957</v>
      </c>
      <c r="D765" s="11" t="s">
        <v>655</v>
      </c>
      <c r="E765" s="11" t="s">
        <v>34</v>
      </c>
      <c r="F765" s="11" t="s">
        <v>35</v>
      </c>
      <c r="G765" s="9" t="s">
        <v>52</v>
      </c>
      <c r="H765" s="9" t="s">
        <v>71</v>
      </c>
      <c r="I765" s="9" t="s">
        <v>71</v>
      </c>
      <c r="J765" s="11">
        <v>122</v>
      </c>
      <c r="K765" s="11" t="s">
        <v>101</v>
      </c>
      <c r="L765" s="11" t="s">
        <v>40</v>
      </c>
      <c r="M765" s="13">
        <v>1</v>
      </c>
      <c r="N765" s="16">
        <v>17000.0</v>
      </c>
      <c r="O765" s="16"/>
      <c r="P765" s="18">
        <f>IF(N765&gt;0, O765/N765, 0)</f>
        <v>0</v>
      </c>
      <c r="Q765" s="16">
        <f>N765-O765</f>
        <v>17000</v>
      </c>
      <c r="R765" s="16">
        <f>M765*N765</f>
        <v>17000</v>
      </c>
      <c r="S765" s="16">
        <f>M765*O765</f>
        <v>0</v>
      </c>
      <c r="T765" s="16">
        <f>M765*Q765</f>
        <v>17000</v>
      </c>
      <c r="U765" s="16"/>
      <c r="V765" s="16">
        <f>M765*U765</f>
        <v>0</v>
      </c>
      <c r="W765" s="16">
        <f>T765-V765</f>
        <v>17000</v>
      </c>
      <c r="X765" s="18">
        <f>IF(T765&gt;0, W765/T765, 0)</f>
        <v>1</v>
      </c>
      <c r="Y765" s="9" t="s">
        <v>41</v>
      </c>
      <c r="Z765" s="11" t="s">
        <v>42</v>
      </c>
      <c r="AA765" s="11" t="s">
        <v>43</v>
      </c>
      <c r="AB765" s="11" t="s">
        <v>44</v>
      </c>
      <c r="AC765" s="9" t="s">
        <v>44</v>
      </c>
    </row>
    <row r="766" spans="1:29">
      <c r="A766" s="10">
        <v>759</v>
      </c>
      <c r="B766" s="10" t="s">
        <v>1063</v>
      </c>
      <c r="C766" s="10" t="s">
        <v>957</v>
      </c>
      <c r="D766" s="10" t="s">
        <v>655</v>
      </c>
      <c r="E766" s="10" t="s">
        <v>70</v>
      </c>
      <c r="F766" s="10" t="s">
        <v>35</v>
      </c>
      <c r="G766" s="8" t="s">
        <v>36</v>
      </c>
      <c r="H766" s="8" t="s">
        <v>37</v>
      </c>
      <c r="I766" s="8" t="s">
        <v>75</v>
      </c>
      <c r="J766" s="10">
        <v>152</v>
      </c>
      <c r="K766" s="10" t="s">
        <v>265</v>
      </c>
      <c r="L766" s="10" t="s">
        <v>40</v>
      </c>
      <c r="M766" s="12">
        <v>1</v>
      </c>
      <c r="N766" s="15">
        <v>11000.0</v>
      </c>
      <c r="O766" s="15"/>
      <c r="P766" s="17">
        <f>IF(N766&gt;0, O766/N766, 0)</f>
        <v>0</v>
      </c>
      <c r="Q766" s="15">
        <f>N766-O766</f>
        <v>11000</v>
      </c>
      <c r="R766" s="15">
        <f>M766*N766</f>
        <v>11000</v>
      </c>
      <c r="S766" s="15">
        <f>M766*O766</f>
        <v>0</v>
      </c>
      <c r="T766" s="15">
        <f>M766*Q766</f>
        <v>11000</v>
      </c>
      <c r="U766" s="15"/>
      <c r="V766" s="15">
        <f>M766*U766</f>
        <v>0</v>
      </c>
      <c r="W766" s="15">
        <f>T766-V766</f>
        <v>11000</v>
      </c>
      <c r="X766" s="17">
        <f>IF(T766&gt;0, W766/T766, 0)</f>
        <v>1</v>
      </c>
      <c r="Y766" s="8" t="s">
        <v>41</v>
      </c>
      <c r="Z766" s="10" t="s">
        <v>42</v>
      </c>
      <c r="AA766" s="10" t="s">
        <v>73</v>
      </c>
      <c r="AB766" s="10" t="s">
        <v>44</v>
      </c>
      <c r="AC766" s="8" t="s">
        <v>44</v>
      </c>
    </row>
    <row r="767" spans="1:29">
      <c r="A767" s="11">
        <v>760</v>
      </c>
      <c r="B767" s="11" t="s">
        <v>1064</v>
      </c>
      <c r="C767" s="11" t="s">
        <v>957</v>
      </c>
      <c r="D767" s="11" t="s">
        <v>655</v>
      </c>
      <c r="E767" s="11" t="s">
        <v>70</v>
      </c>
      <c r="F767" s="11" t="s">
        <v>35</v>
      </c>
      <c r="G767" s="9" t="s">
        <v>36</v>
      </c>
      <c r="H767" s="9" t="s">
        <v>37</v>
      </c>
      <c r="I767" s="9" t="s">
        <v>38</v>
      </c>
      <c r="J767" s="11">
        <v>152</v>
      </c>
      <c r="K767" s="11" t="s">
        <v>729</v>
      </c>
      <c r="L767" s="11" t="s">
        <v>40</v>
      </c>
      <c r="M767" s="13">
        <v>1</v>
      </c>
      <c r="N767" s="16">
        <v>10000.0</v>
      </c>
      <c r="O767" s="16"/>
      <c r="P767" s="18">
        <f>IF(N767&gt;0, O767/N767, 0)</f>
        <v>0</v>
      </c>
      <c r="Q767" s="16">
        <f>N767-O767</f>
        <v>10000</v>
      </c>
      <c r="R767" s="16">
        <f>M767*N767</f>
        <v>10000</v>
      </c>
      <c r="S767" s="16">
        <f>M767*O767</f>
        <v>0</v>
      </c>
      <c r="T767" s="16">
        <f>M767*Q767</f>
        <v>10000</v>
      </c>
      <c r="U767" s="16"/>
      <c r="V767" s="16">
        <f>M767*U767</f>
        <v>0</v>
      </c>
      <c r="W767" s="16">
        <f>T767-V767</f>
        <v>10000</v>
      </c>
      <c r="X767" s="18">
        <f>IF(T767&gt;0, W767/T767, 0)</f>
        <v>1</v>
      </c>
      <c r="Y767" s="9" t="s">
        <v>41</v>
      </c>
      <c r="Z767" s="11" t="s">
        <v>42</v>
      </c>
      <c r="AA767" s="11" t="s">
        <v>73</v>
      </c>
      <c r="AB767" s="11" t="s">
        <v>44</v>
      </c>
      <c r="AC767" s="9" t="s">
        <v>44</v>
      </c>
    </row>
    <row r="768" spans="1:29">
      <c r="A768" s="10">
        <v>761</v>
      </c>
      <c r="B768" s="10" t="s">
        <v>1065</v>
      </c>
      <c r="C768" s="10" t="s">
        <v>957</v>
      </c>
      <c r="D768" s="10" t="s">
        <v>655</v>
      </c>
      <c r="E768" s="10" t="s">
        <v>70</v>
      </c>
      <c r="F768" s="10" t="s">
        <v>35</v>
      </c>
      <c r="G768" s="8" t="s">
        <v>52</v>
      </c>
      <c r="H768" s="8" t="s">
        <v>58</v>
      </c>
      <c r="I768" s="8" t="s">
        <v>58</v>
      </c>
      <c r="J768" s="10">
        <v>140</v>
      </c>
      <c r="K768" s="10" t="s">
        <v>600</v>
      </c>
      <c r="L768" s="10" t="s">
        <v>40</v>
      </c>
      <c r="M768" s="12">
        <v>1</v>
      </c>
      <c r="N768" s="15">
        <v>9000.0</v>
      </c>
      <c r="O768" s="15"/>
      <c r="P768" s="17">
        <f>IF(N768&gt;0, O768/N768, 0)</f>
        <v>0</v>
      </c>
      <c r="Q768" s="15">
        <f>N768-O768</f>
        <v>9000</v>
      </c>
      <c r="R768" s="15">
        <f>M768*N768</f>
        <v>9000</v>
      </c>
      <c r="S768" s="15">
        <f>M768*O768</f>
        <v>0</v>
      </c>
      <c r="T768" s="15">
        <f>M768*Q768</f>
        <v>9000</v>
      </c>
      <c r="U768" s="15"/>
      <c r="V768" s="15">
        <f>M768*U768</f>
        <v>0</v>
      </c>
      <c r="W768" s="15">
        <f>T768-V768</f>
        <v>9000</v>
      </c>
      <c r="X768" s="17">
        <f>IF(T768&gt;0, W768/T768, 0)</f>
        <v>1</v>
      </c>
      <c r="Y768" s="8" t="s">
        <v>41</v>
      </c>
      <c r="Z768" s="10" t="s">
        <v>42</v>
      </c>
      <c r="AA768" s="10" t="s">
        <v>73</v>
      </c>
      <c r="AB768" s="10" t="s">
        <v>44</v>
      </c>
      <c r="AC768" s="8" t="s">
        <v>44</v>
      </c>
    </row>
    <row r="769" spans="1:29">
      <c r="A769" s="11">
        <v>762</v>
      </c>
      <c r="B769" s="11" t="s">
        <v>1066</v>
      </c>
      <c r="C769" s="11" t="s">
        <v>957</v>
      </c>
      <c r="D769" s="11" t="s">
        <v>655</v>
      </c>
      <c r="E769" s="11" t="s">
        <v>70</v>
      </c>
      <c r="F769" s="11" t="s">
        <v>35</v>
      </c>
      <c r="G769" s="9" t="s">
        <v>36</v>
      </c>
      <c r="H769" s="9" t="s">
        <v>53</v>
      </c>
      <c r="I769" s="9" t="s">
        <v>53</v>
      </c>
      <c r="J769" s="11">
        <v>152</v>
      </c>
      <c r="K769" s="11" t="s">
        <v>305</v>
      </c>
      <c r="L769" s="11" t="s">
        <v>40</v>
      </c>
      <c r="M769" s="13">
        <v>1</v>
      </c>
      <c r="N769" s="16">
        <v>10000.0</v>
      </c>
      <c r="O769" s="16"/>
      <c r="P769" s="18">
        <f>IF(N769&gt;0, O769/N769, 0)</f>
        <v>0</v>
      </c>
      <c r="Q769" s="16">
        <f>N769-O769</f>
        <v>10000</v>
      </c>
      <c r="R769" s="16">
        <f>M769*N769</f>
        <v>10000</v>
      </c>
      <c r="S769" s="16">
        <f>M769*O769</f>
        <v>0</v>
      </c>
      <c r="T769" s="16">
        <f>M769*Q769</f>
        <v>10000</v>
      </c>
      <c r="U769" s="16"/>
      <c r="V769" s="16">
        <f>M769*U769</f>
        <v>0</v>
      </c>
      <c r="W769" s="16">
        <f>T769-V769</f>
        <v>10000</v>
      </c>
      <c r="X769" s="18">
        <f>IF(T769&gt;0, W769/T769, 0)</f>
        <v>1</v>
      </c>
      <c r="Y769" s="9" t="s">
        <v>41</v>
      </c>
      <c r="Z769" s="11" t="s">
        <v>42</v>
      </c>
      <c r="AA769" s="11" t="s">
        <v>73</v>
      </c>
      <c r="AB769" s="11" t="s">
        <v>44</v>
      </c>
      <c r="AC769" s="9" t="s">
        <v>44</v>
      </c>
    </row>
    <row r="770" spans="1:29">
      <c r="A770" s="10">
        <v>763</v>
      </c>
      <c r="B770" s="10" t="s">
        <v>1067</v>
      </c>
      <c r="C770" s="10" t="s">
        <v>957</v>
      </c>
      <c r="D770" s="10" t="s">
        <v>655</v>
      </c>
      <c r="E770" s="10" t="s">
        <v>34</v>
      </c>
      <c r="F770" s="10" t="s">
        <v>35</v>
      </c>
      <c r="G770" s="8" t="s">
        <v>52</v>
      </c>
      <c r="H770" s="8" t="s">
        <v>47</v>
      </c>
      <c r="I770" s="8" t="s">
        <v>48</v>
      </c>
      <c r="J770" s="10">
        <v>152</v>
      </c>
      <c r="K770" s="10" t="s">
        <v>414</v>
      </c>
      <c r="L770" s="10" t="s">
        <v>40</v>
      </c>
      <c r="M770" s="12">
        <v>1</v>
      </c>
      <c r="N770" s="15">
        <v>18000.0</v>
      </c>
      <c r="O770" s="15"/>
      <c r="P770" s="17">
        <f>IF(N770&gt;0, O770/N770, 0)</f>
        <v>0</v>
      </c>
      <c r="Q770" s="15">
        <f>N770-O770</f>
        <v>18000</v>
      </c>
      <c r="R770" s="15">
        <f>M770*N770</f>
        <v>18000</v>
      </c>
      <c r="S770" s="15">
        <f>M770*O770</f>
        <v>0</v>
      </c>
      <c r="T770" s="15">
        <f>M770*Q770</f>
        <v>18000</v>
      </c>
      <c r="U770" s="15"/>
      <c r="V770" s="15">
        <f>M770*U770</f>
        <v>0</v>
      </c>
      <c r="W770" s="15">
        <f>T770-V770</f>
        <v>18000</v>
      </c>
      <c r="X770" s="17">
        <f>IF(T770&gt;0, W770/T770, 0)</f>
        <v>1</v>
      </c>
      <c r="Y770" s="8" t="s">
        <v>41</v>
      </c>
      <c r="Z770" s="10" t="s">
        <v>42</v>
      </c>
      <c r="AA770" s="10" t="s">
        <v>43</v>
      </c>
      <c r="AB770" s="10" t="s">
        <v>44</v>
      </c>
      <c r="AC770" s="8" t="s">
        <v>44</v>
      </c>
    </row>
    <row r="771" spans="1:29">
      <c r="A771" s="11">
        <v>764</v>
      </c>
      <c r="B771" s="11" t="s">
        <v>1068</v>
      </c>
      <c r="C771" s="11" t="s">
        <v>957</v>
      </c>
      <c r="D771" s="11" t="s">
        <v>655</v>
      </c>
      <c r="E771" s="11" t="s">
        <v>34</v>
      </c>
      <c r="F771" s="11" t="s">
        <v>35</v>
      </c>
      <c r="G771" s="9" t="s">
        <v>36</v>
      </c>
      <c r="H771" s="9" t="s">
        <v>37</v>
      </c>
      <c r="I771" s="9" t="s">
        <v>38</v>
      </c>
      <c r="J771" s="11">
        <v>176</v>
      </c>
      <c r="K771" s="11" t="s">
        <v>355</v>
      </c>
      <c r="L771" s="11" t="s">
        <v>40</v>
      </c>
      <c r="M771" s="13">
        <v>1</v>
      </c>
      <c r="N771" s="16">
        <v>8000.0</v>
      </c>
      <c r="O771" s="16"/>
      <c r="P771" s="18">
        <f>IF(N771&gt;0, O771/N771, 0)</f>
        <v>0</v>
      </c>
      <c r="Q771" s="16">
        <f>N771-O771</f>
        <v>8000</v>
      </c>
      <c r="R771" s="16">
        <f>M771*N771</f>
        <v>8000</v>
      </c>
      <c r="S771" s="16">
        <f>M771*O771</f>
        <v>0</v>
      </c>
      <c r="T771" s="16">
        <f>M771*Q771</f>
        <v>8000</v>
      </c>
      <c r="U771" s="16"/>
      <c r="V771" s="16">
        <f>M771*U771</f>
        <v>0</v>
      </c>
      <c r="W771" s="16">
        <f>T771-V771</f>
        <v>8000</v>
      </c>
      <c r="X771" s="18">
        <f>IF(T771&gt;0, W771/T771, 0)</f>
        <v>1</v>
      </c>
      <c r="Y771" s="9" t="s">
        <v>41</v>
      </c>
      <c r="Z771" s="11" t="s">
        <v>42</v>
      </c>
      <c r="AA771" s="11" t="s">
        <v>43</v>
      </c>
      <c r="AB771" s="11" t="s">
        <v>44</v>
      </c>
      <c r="AC771" s="9" t="s">
        <v>44</v>
      </c>
    </row>
    <row r="772" spans="1:29">
      <c r="A772" s="10">
        <v>765</v>
      </c>
      <c r="B772" s="10" t="s">
        <v>1069</v>
      </c>
      <c r="C772" s="10" t="s">
        <v>957</v>
      </c>
      <c r="D772" s="10" t="s">
        <v>655</v>
      </c>
      <c r="E772" s="10" t="s">
        <v>34</v>
      </c>
      <c r="F772" s="10" t="s">
        <v>35</v>
      </c>
      <c r="G772" s="8" t="s">
        <v>36</v>
      </c>
      <c r="H772" s="8" t="s">
        <v>71</v>
      </c>
      <c r="I772" s="8" t="s">
        <v>71</v>
      </c>
      <c r="J772" s="10">
        <v>176</v>
      </c>
      <c r="K772" s="10" t="s">
        <v>206</v>
      </c>
      <c r="L772" s="10" t="s">
        <v>40</v>
      </c>
      <c r="M772" s="12">
        <v>1</v>
      </c>
      <c r="N772" s="15">
        <v>16500.0</v>
      </c>
      <c r="O772" s="15"/>
      <c r="P772" s="17">
        <f>IF(N772&gt;0, O772/N772, 0)</f>
        <v>0</v>
      </c>
      <c r="Q772" s="15">
        <f>N772-O772</f>
        <v>16500</v>
      </c>
      <c r="R772" s="15">
        <f>M772*N772</f>
        <v>16500</v>
      </c>
      <c r="S772" s="15">
        <f>M772*O772</f>
        <v>0</v>
      </c>
      <c r="T772" s="15">
        <f>M772*Q772</f>
        <v>16500</v>
      </c>
      <c r="U772" s="15"/>
      <c r="V772" s="15">
        <f>M772*U772</f>
        <v>0</v>
      </c>
      <c r="W772" s="15">
        <f>T772-V772</f>
        <v>16500</v>
      </c>
      <c r="X772" s="17">
        <f>IF(T772&gt;0, W772/T772, 0)</f>
        <v>1</v>
      </c>
      <c r="Y772" s="8" t="s">
        <v>41</v>
      </c>
      <c r="Z772" s="10" t="s">
        <v>42</v>
      </c>
      <c r="AA772" s="10" t="s">
        <v>43</v>
      </c>
      <c r="AB772" s="10" t="s">
        <v>44</v>
      </c>
      <c r="AC772" s="8" t="s">
        <v>44</v>
      </c>
    </row>
    <row r="773" spans="1:29">
      <c r="A773" s="11">
        <v>766</v>
      </c>
      <c r="B773" s="11" t="s">
        <v>1070</v>
      </c>
      <c r="C773" s="11" t="s">
        <v>957</v>
      </c>
      <c r="D773" s="11" t="s">
        <v>655</v>
      </c>
      <c r="E773" s="11" t="s">
        <v>34</v>
      </c>
      <c r="F773" s="11" t="s">
        <v>35</v>
      </c>
      <c r="G773" s="9" t="s">
        <v>36</v>
      </c>
      <c r="H773" s="9" t="s">
        <v>37</v>
      </c>
      <c r="I773" s="9" t="s">
        <v>75</v>
      </c>
      <c r="J773" s="11">
        <v>170</v>
      </c>
      <c r="K773" s="11" t="s">
        <v>651</v>
      </c>
      <c r="L773" s="11" t="s">
        <v>40</v>
      </c>
      <c r="M773" s="13">
        <v>1</v>
      </c>
      <c r="N773" s="16">
        <v>9000.0</v>
      </c>
      <c r="O773" s="16"/>
      <c r="P773" s="18">
        <f>IF(N773&gt;0, O773/N773, 0)</f>
        <v>0</v>
      </c>
      <c r="Q773" s="16">
        <f>N773-O773</f>
        <v>9000</v>
      </c>
      <c r="R773" s="16">
        <f>M773*N773</f>
        <v>9000</v>
      </c>
      <c r="S773" s="16">
        <f>M773*O773</f>
        <v>0</v>
      </c>
      <c r="T773" s="16">
        <f>M773*Q773</f>
        <v>9000</v>
      </c>
      <c r="U773" s="16"/>
      <c r="V773" s="16">
        <f>M773*U773</f>
        <v>0</v>
      </c>
      <c r="W773" s="16">
        <f>T773-V773</f>
        <v>9000</v>
      </c>
      <c r="X773" s="18">
        <f>IF(T773&gt;0, W773/T773, 0)</f>
        <v>1</v>
      </c>
      <c r="Y773" s="9" t="s">
        <v>41</v>
      </c>
      <c r="Z773" s="11" t="s">
        <v>42</v>
      </c>
      <c r="AA773" s="11" t="s">
        <v>43</v>
      </c>
      <c r="AB773" s="11" t="s">
        <v>44</v>
      </c>
      <c r="AC773" s="9" t="s">
        <v>44</v>
      </c>
    </row>
    <row r="774" spans="1:29">
      <c r="A774" s="10">
        <v>767</v>
      </c>
      <c r="B774" s="10" t="s">
        <v>1071</v>
      </c>
      <c r="C774" s="10" t="s">
        <v>957</v>
      </c>
      <c r="D774" s="10" t="s">
        <v>655</v>
      </c>
      <c r="E774" s="10" t="s">
        <v>34</v>
      </c>
      <c r="F774" s="10" t="s">
        <v>35</v>
      </c>
      <c r="G774" s="8" t="s">
        <v>36</v>
      </c>
      <c r="H774" s="8" t="s">
        <v>37</v>
      </c>
      <c r="I774" s="8" t="s">
        <v>38</v>
      </c>
      <c r="J774" s="10">
        <v>164</v>
      </c>
      <c r="K774" s="10" t="s">
        <v>79</v>
      </c>
      <c r="L774" s="10" t="s">
        <v>40</v>
      </c>
      <c r="M774" s="12">
        <v>1</v>
      </c>
      <c r="N774" s="15">
        <v>8000.0</v>
      </c>
      <c r="O774" s="15"/>
      <c r="P774" s="17">
        <f>IF(N774&gt;0, O774/N774, 0)</f>
        <v>0</v>
      </c>
      <c r="Q774" s="15">
        <f>N774-O774</f>
        <v>8000</v>
      </c>
      <c r="R774" s="15">
        <f>M774*N774</f>
        <v>8000</v>
      </c>
      <c r="S774" s="15">
        <f>M774*O774</f>
        <v>0</v>
      </c>
      <c r="T774" s="15">
        <f>M774*Q774</f>
        <v>8000</v>
      </c>
      <c r="U774" s="15"/>
      <c r="V774" s="15">
        <f>M774*U774</f>
        <v>0</v>
      </c>
      <c r="W774" s="15">
        <f>T774-V774</f>
        <v>8000</v>
      </c>
      <c r="X774" s="17">
        <f>IF(T774&gt;0, W774/T774, 0)</f>
        <v>1</v>
      </c>
      <c r="Y774" s="8" t="s">
        <v>41</v>
      </c>
      <c r="Z774" s="10" t="s">
        <v>42</v>
      </c>
      <c r="AA774" s="10" t="s">
        <v>43</v>
      </c>
      <c r="AB774" s="10" t="s">
        <v>44</v>
      </c>
      <c r="AC774" s="8" t="s">
        <v>44</v>
      </c>
    </row>
    <row r="775" spans="1:29">
      <c r="A775" s="11">
        <v>768</v>
      </c>
      <c r="B775" s="11" t="s">
        <v>1072</v>
      </c>
      <c r="C775" s="11" t="s">
        <v>957</v>
      </c>
      <c r="D775" s="11" t="s">
        <v>655</v>
      </c>
      <c r="E775" s="11" t="s">
        <v>34</v>
      </c>
      <c r="F775" s="11" t="s">
        <v>35</v>
      </c>
      <c r="G775" s="9" t="s">
        <v>36</v>
      </c>
      <c r="H775" s="9" t="s">
        <v>53</v>
      </c>
      <c r="I775" s="9" t="s">
        <v>53</v>
      </c>
      <c r="J775" s="11">
        <v>158</v>
      </c>
      <c r="K775" s="11" t="s">
        <v>124</v>
      </c>
      <c r="L775" s="11" t="s">
        <v>40</v>
      </c>
      <c r="M775" s="13">
        <v>1</v>
      </c>
      <c r="N775" s="16">
        <v>8500.0</v>
      </c>
      <c r="O775" s="16"/>
      <c r="P775" s="18">
        <f>IF(N775&gt;0, O775/N775, 0)</f>
        <v>0</v>
      </c>
      <c r="Q775" s="16">
        <f>N775-O775</f>
        <v>8500</v>
      </c>
      <c r="R775" s="16">
        <f>M775*N775</f>
        <v>8500</v>
      </c>
      <c r="S775" s="16">
        <f>M775*O775</f>
        <v>0</v>
      </c>
      <c r="T775" s="16">
        <f>M775*Q775</f>
        <v>8500</v>
      </c>
      <c r="U775" s="16"/>
      <c r="V775" s="16">
        <f>M775*U775</f>
        <v>0</v>
      </c>
      <c r="W775" s="16">
        <f>T775-V775</f>
        <v>8500</v>
      </c>
      <c r="X775" s="18">
        <f>IF(T775&gt;0, W775/T775, 0)</f>
        <v>1</v>
      </c>
      <c r="Y775" s="9" t="s">
        <v>41</v>
      </c>
      <c r="Z775" s="11" t="s">
        <v>42</v>
      </c>
      <c r="AA775" s="11" t="s">
        <v>43</v>
      </c>
      <c r="AB775" s="11" t="s">
        <v>44</v>
      </c>
      <c r="AC775" s="9" t="s">
        <v>44</v>
      </c>
    </row>
    <row r="776" spans="1:29">
      <c r="A776" s="10">
        <v>769</v>
      </c>
      <c r="B776" s="10" t="s">
        <v>1073</v>
      </c>
      <c r="C776" s="10" t="s">
        <v>957</v>
      </c>
      <c r="D776" s="10" t="s">
        <v>655</v>
      </c>
      <c r="E776" s="10" t="s">
        <v>34</v>
      </c>
      <c r="F776" s="10" t="s">
        <v>35</v>
      </c>
      <c r="G776" s="8" t="s">
        <v>52</v>
      </c>
      <c r="H776" s="8" t="s">
        <v>37</v>
      </c>
      <c r="I776" s="8" t="s">
        <v>38</v>
      </c>
      <c r="J776" s="10">
        <v>128</v>
      </c>
      <c r="K776" s="10" t="s">
        <v>159</v>
      </c>
      <c r="L776" s="10" t="s">
        <v>55</v>
      </c>
      <c r="M776" s="12">
        <v>1</v>
      </c>
      <c r="N776" s="15">
        <v>7000.0</v>
      </c>
      <c r="O776" s="15"/>
      <c r="P776" s="17">
        <f>IF(N776&gt;0, O776/N776, 0)</f>
        <v>0</v>
      </c>
      <c r="Q776" s="15">
        <f>N776-O776</f>
        <v>7000</v>
      </c>
      <c r="R776" s="15">
        <f>M776*N776</f>
        <v>7000</v>
      </c>
      <c r="S776" s="15">
        <f>M776*O776</f>
        <v>0</v>
      </c>
      <c r="T776" s="15">
        <f>M776*Q776</f>
        <v>7000</v>
      </c>
      <c r="U776" s="15"/>
      <c r="V776" s="15">
        <f>M776*U776</f>
        <v>0</v>
      </c>
      <c r="W776" s="15">
        <f>T776-V776</f>
        <v>7000</v>
      </c>
      <c r="X776" s="17">
        <f>IF(T776&gt;0, W776/T776, 0)</f>
        <v>1</v>
      </c>
      <c r="Y776" s="8" t="s">
        <v>41</v>
      </c>
      <c r="Z776" s="10" t="s">
        <v>42</v>
      </c>
      <c r="AA776" s="10" t="s">
        <v>43</v>
      </c>
      <c r="AB776" s="10" t="s">
        <v>44</v>
      </c>
      <c r="AC776" s="8" t="s">
        <v>44</v>
      </c>
    </row>
    <row r="777" spans="1:29">
      <c r="A777" s="11">
        <v>770</v>
      </c>
      <c r="B777" s="11" t="s">
        <v>1074</v>
      </c>
      <c r="C777" s="11" t="s">
        <v>957</v>
      </c>
      <c r="D777" s="11" t="s">
        <v>655</v>
      </c>
      <c r="E777" s="11" t="s">
        <v>34</v>
      </c>
      <c r="F777" s="11" t="s">
        <v>35</v>
      </c>
      <c r="G777" s="9" t="s">
        <v>52</v>
      </c>
      <c r="H777" s="9" t="s">
        <v>53</v>
      </c>
      <c r="I777" s="9" t="s">
        <v>53</v>
      </c>
      <c r="J777" s="11">
        <v>122</v>
      </c>
      <c r="K777" s="11" t="s">
        <v>84</v>
      </c>
      <c r="L777" s="11" t="s">
        <v>55</v>
      </c>
      <c r="M777" s="13">
        <v>1</v>
      </c>
      <c r="N777" s="16">
        <v>8000.0</v>
      </c>
      <c r="O777" s="16"/>
      <c r="P777" s="18">
        <f>IF(N777&gt;0, O777/N777, 0)</f>
        <v>0</v>
      </c>
      <c r="Q777" s="16">
        <f>N777-O777</f>
        <v>8000</v>
      </c>
      <c r="R777" s="16">
        <f>M777*N777</f>
        <v>8000</v>
      </c>
      <c r="S777" s="16">
        <f>M777*O777</f>
        <v>0</v>
      </c>
      <c r="T777" s="16">
        <f>M777*Q777</f>
        <v>8000</v>
      </c>
      <c r="U777" s="16"/>
      <c r="V777" s="16">
        <f>M777*U777</f>
        <v>0</v>
      </c>
      <c r="W777" s="16">
        <f>T777-V777</f>
        <v>8000</v>
      </c>
      <c r="X777" s="18">
        <f>IF(T777&gt;0, W777/T777, 0)</f>
        <v>1</v>
      </c>
      <c r="Y777" s="9" t="s">
        <v>41</v>
      </c>
      <c r="Z777" s="11" t="s">
        <v>42</v>
      </c>
      <c r="AA777" s="11" t="s">
        <v>43</v>
      </c>
      <c r="AB777" s="11" t="s">
        <v>44</v>
      </c>
      <c r="AC777" s="9" t="s">
        <v>44</v>
      </c>
    </row>
    <row r="778" spans="1:29">
      <c r="A778" s="10">
        <v>771</v>
      </c>
      <c r="B778" s="10" t="s">
        <v>1075</v>
      </c>
      <c r="C778" s="10" t="s">
        <v>957</v>
      </c>
      <c r="D778" s="10" t="s">
        <v>655</v>
      </c>
      <c r="E778" s="10" t="s">
        <v>34</v>
      </c>
      <c r="F778" s="10" t="s">
        <v>35</v>
      </c>
      <c r="G778" s="8" t="s">
        <v>52</v>
      </c>
      <c r="H778" s="8" t="s">
        <v>71</v>
      </c>
      <c r="I778" s="8" t="s">
        <v>71</v>
      </c>
      <c r="J778" s="10">
        <v>140</v>
      </c>
      <c r="K778" s="10" t="s">
        <v>228</v>
      </c>
      <c r="L778" s="10" t="s">
        <v>40</v>
      </c>
      <c r="M778" s="12">
        <v>1</v>
      </c>
      <c r="N778" s="15">
        <v>16000.0</v>
      </c>
      <c r="O778" s="15"/>
      <c r="P778" s="17">
        <f>IF(N778&gt;0, O778/N778, 0)</f>
        <v>0</v>
      </c>
      <c r="Q778" s="15">
        <f>N778-O778</f>
        <v>16000</v>
      </c>
      <c r="R778" s="15">
        <f>M778*N778</f>
        <v>16000</v>
      </c>
      <c r="S778" s="15">
        <f>M778*O778</f>
        <v>0</v>
      </c>
      <c r="T778" s="15">
        <f>M778*Q778</f>
        <v>16000</v>
      </c>
      <c r="U778" s="15"/>
      <c r="V778" s="15">
        <f>M778*U778</f>
        <v>0</v>
      </c>
      <c r="W778" s="15">
        <f>T778-V778</f>
        <v>16000</v>
      </c>
      <c r="X778" s="17">
        <f>IF(T778&gt;0, W778/T778, 0)</f>
        <v>1</v>
      </c>
      <c r="Y778" s="8" t="s">
        <v>41</v>
      </c>
      <c r="Z778" s="10" t="s">
        <v>42</v>
      </c>
      <c r="AA778" s="10" t="s">
        <v>43</v>
      </c>
      <c r="AB778" s="10" t="s">
        <v>44</v>
      </c>
      <c r="AC778" s="8" t="s">
        <v>44</v>
      </c>
    </row>
    <row r="779" spans="1:29">
      <c r="A779" s="11">
        <v>772</v>
      </c>
      <c r="B779" s="11" t="s">
        <v>1076</v>
      </c>
      <c r="C779" s="11" t="s">
        <v>957</v>
      </c>
      <c r="D779" s="11" t="s">
        <v>655</v>
      </c>
      <c r="E779" s="11" t="s">
        <v>34</v>
      </c>
      <c r="F779" s="11" t="s">
        <v>35</v>
      </c>
      <c r="G779" s="9" t="s">
        <v>52</v>
      </c>
      <c r="H779" s="9" t="s">
        <v>53</v>
      </c>
      <c r="I779" s="9" t="s">
        <v>53</v>
      </c>
      <c r="J779" s="11">
        <v>140</v>
      </c>
      <c r="K779" s="11" t="s">
        <v>282</v>
      </c>
      <c r="L779" s="11" t="s">
        <v>55</v>
      </c>
      <c r="M779" s="13">
        <v>1</v>
      </c>
      <c r="N779" s="16">
        <v>8000.0</v>
      </c>
      <c r="O779" s="16"/>
      <c r="P779" s="18">
        <f>IF(N779&gt;0, O779/N779, 0)</f>
        <v>0</v>
      </c>
      <c r="Q779" s="16">
        <f>N779-O779</f>
        <v>8000</v>
      </c>
      <c r="R779" s="16">
        <f>M779*N779</f>
        <v>8000</v>
      </c>
      <c r="S779" s="16">
        <f>M779*O779</f>
        <v>0</v>
      </c>
      <c r="T779" s="16">
        <f>M779*Q779</f>
        <v>8000</v>
      </c>
      <c r="U779" s="16"/>
      <c r="V779" s="16">
        <f>M779*U779</f>
        <v>0</v>
      </c>
      <c r="W779" s="16">
        <f>T779-V779</f>
        <v>8000</v>
      </c>
      <c r="X779" s="18">
        <f>IF(T779&gt;0, W779/T779, 0)</f>
        <v>1</v>
      </c>
      <c r="Y779" s="9" t="s">
        <v>41</v>
      </c>
      <c r="Z779" s="11" t="s">
        <v>42</v>
      </c>
      <c r="AA779" s="11" t="s">
        <v>43</v>
      </c>
      <c r="AB779" s="11" t="s">
        <v>44</v>
      </c>
      <c r="AC779" s="9" t="s">
        <v>44</v>
      </c>
    </row>
    <row r="780" spans="1:29">
      <c r="A780" s="10">
        <v>773</v>
      </c>
      <c r="B780" s="10" t="s">
        <v>1077</v>
      </c>
      <c r="C780" s="10" t="s">
        <v>957</v>
      </c>
      <c r="D780" s="10" t="s">
        <v>655</v>
      </c>
      <c r="E780" s="10" t="s">
        <v>34</v>
      </c>
      <c r="F780" s="10" t="s">
        <v>35</v>
      </c>
      <c r="G780" s="8" t="s">
        <v>52</v>
      </c>
      <c r="H780" s="8" t="s">
        <v>53</v>
      </c>
      <c r="I780" s="8" t="s">
        <v>53</v>
      </c>
      <c r="J780" s="10">
        <v>164</v>
      </c>
      <c r="K780" s="10" t="s">
        <v>407</v>
      </c>
      <c r="L780" s="10" t="s">
        <v>55</v>
      </c>
      <c r="M780" s="12">
        <v>1</v>
      </c>
      <c r="N780" s="15">
        <v>8000.0</v>
      </c>
      <c r="O780" s="15"/>
      <c r="P780" s="17">
        <f>IF(N780&gt;0, O780/N780, 0)</f>
        <v>0</v>
      </c>
      <c r="Q780" s="15">
        <f>N780-O780</f>
        <v>8000</v>
      </c>
      <c r="R780" s="15">
        <f>M780*N780</f>
        <v>8000</v>
      </c>
      <c r="S780" s="15">
        <f>M780*O780</f>
        <v>0</v>
      </c>
      <c r="T780" s="15">
        <f>M780*Q780</f>
        <v>8000</v>
      </c>
      <c r="U780" s="15"/>
      <c r="V780" s="15">
        <f>M780*U780</f>
        <v>0</v>
      </c>
      <c r="W780" s="15">
        <f>T780-V780</f>
        <v>8000</v>
      </c>
      <c r="X780" s="17">
        <f>IF(T780&gt;0, W780/T780, 0)</f>
        <v>1</v>
      </c>
      <c r="Y780" s="8" t="s">
        <v>41</v>
      </c>
      <c r="Z780" s="10" t="s">
        <v>42</v>
      </c>
      <c r="AA780" s="10" t="s">
        <v>43</v>
      </c>
      <c r="AB780" s="10" t="s">
        <v>44</v>
      </c>
      <c r="AC780" s="8" t="s">
        <v>44</v>
      </c>
    </row>
    <row r="781" spans="1:29">
      <c r="A781" s="11">
        <v>774</v>
      </c>
      <c r="B781" s="11" t="s">
        <v>1078</v>
      </c>
      <c r="C781" s="11" t="s">
        <v>957</v>
      </c>
      <c r="D781" s="11" t="s">
        <v>655</v>
      </c>
      <c r="E781" s="11" t="s">
        <v>34</v>
      </c>
      <c r="F781" s="11" t="s">
        <v>35</v>
      </c>
      <c r="G781" s="9" t="s">
        <v>52</v>
      </c>
      <c r="H781" s="9" t="s">
        <v>37</v>
      </c>
      <c r="I781" s="9" t="s">
        <v>38</v>
      </c>
      <c r="J781" s="11">
        <v>170</v>
      </c>
      <c r="K781" s="11" t="s">
        <v>645</v>
      </c>
      <c r="L781" s="11" t="s">
        <v>55</v>
      </c>
      <c r="M781" s="13">
        <v>2</v>
      </c>
      <c r="N781" s="16">
        <v>7000.0</v>
      </c>
      <c r="O781" s="16"/>
      <c r="P781" s="18">
        <f>IF(N781&gt;0, O781/N781, 0)</f>
        <v>0</v>
      </c>
      <c r="Q781" s="16">
        <f>N781-O781</f>
        <v>7000</v>
      </c>
      <c r="R781" s="16">
        <f>M781*N781</f>
        <v>14000</v>
      </c>
      <c r="S781" s="16">
        <f>M781*O781</f>
        <v>0</v>
      </c>
      <c r="T781" s="16">
        <f>M781*Q781</f>
        <v>14000</v>
      </c>
      <c r="U781" s="16"/>
      <c r="V781" s="16">
        <f>M781*U781</f>
        <v>0</v>
      </c>
      <c r="W781" s="16">
        <f>T781-V781</f>
        <v>14000</v>
      </c>
      <c r="X781" s="18">
        <f>IF(T781&gt;0, W781/T781, 0)</f>
        <v>1</v>
      </c>
      <c r="Y781" s="9" t="s">
        <v>41</v>
      </c>
      <c r="Z781" s="11" t="s">
        <v>42</v>
      </c>
      <c r="AA781" s="11" t="s">
        <v>43</v>
      </c>
      <c r="AB781" s="11" t="s">
        <v>44</v>
      </c>
      <c r="AC781" s="9" t="s">
        <v>44</v>
      </c>
    </row>
    <row r="782" spans="1:29">
      <c r="A782" s="10">
        <v>775</v>
      </c>
      <c r="B782" s="10" t="s">
        <v>1079</v>
      </c>
      <c r="C782" s="10" t="s">
        <v>957</v>
      </c>
      <c r="D782" s="10" t="s">
        <v>655</v>
      </c>
      <c r="E782" s="10" t="s">
        <v>34</v>
      </c>
      <c r="F782" s="10" t="s">
        <v>35</v>
      </c>
      <c r="G782" s="8" t="s">
        <v>52</v>
      </c>
      <c r="H782" s="8" t="s">
        <v>37</v>
      </c>
      <c r="I782" s="8" t="s">
        <v>38</v>
      </c>
      <c r="J782" s="10">
        <v>146</v>
      </c>
      <c r="K782" s="10" t="s">
        <v>260</v>
      </c>
      <c r="L782" s="10" t="s">
        <v>55</v>
      </c>
      <c r="M782" s="12">
        <v>2</v>
      </c>
      <c r="N782" s="15">
        <v>7000.0</v>
      </c>
      <c r="O782" s="15"/>
      <c r="P782" s="17">
        <f>IF(N782&gt;0, O782/N782, 0)</f>
        <v>0</v>
      </c>
      <c r="Q782" s="15">
        <f>N782-O782</f>
        <v>7000</v>
      </c>
      <c r="R782" s="15">
        <f>M782*N782</f>
        <v>14000</v>
      </c>
      <c r="S782" s="15">
        <f>M782*O782</f>
        <v>0</v>
      </c>
      <c r="T782" s="15">
        <f>M782*Q782</f>
        <v>14000</v>
      </c>
      <c r="U782" s="15"/>
      <c r="V782" s="15">
        <f>M782*U782</f>
        <v>0</v>
      </c>
      <c r="W782" s="15">
        <f>T782-V782</f>
        <v>14000</v>
      </c>
      <c r="X782" s="17">
        <f>IF(T782&gt;0, W782/T782, 0)</f>
        <v>1</v>
      </c>
      <c r="Y782" s="8" t="s">
        <v>41</v>
      </c>
      <c r="Z782" s="10" t="s">
        <v>42</v>
      </c>
      <c r="AA782" s="10" t="s">
        <v>43</v>
      </c>
      <c r="AB782" s="10" t="s">
        <v>44</v>
      </c>
      <c r="AC782" s="8" t="s">
        <v>44</v>
      </c>
    </row>
    <row r="783" spans="1:29">
      <c r="A783" s="11">
        <v>776</v>
      </c>
      <c r="B783" s="11" t="s">
        <v>1080</v>
      </c>
      <c r="C783" s="11" t="s">
        <v>957</v>
      </c>
      <c r="D783" s="11" t="s">
        <v>655</v>
      </c>
      <c r="E783" s="11" t="s">
        <v>34</v>
      </c>
      <c r="F783" s="11" t="s">
        <v>35</v>
      </c>
      <c r="G783" s="9" t="s">
        <v>36</v>
      </c>
      <c r="H783" s="9" t="s">
        <v>47</v>
      </c>
      <c r="I783" s="9" t="s">
        <v>48</v>
      </c>
      <c r="J783" s="11">
        <v>176</v>
      </c>
      <c r="K783" s="11" t="s">
        <v>427</v>
      </c>
      <c r="L783" s="11" t="s">
        <v>40</v>
      </c>
      <c r="M783" s="13">
        <v>1</v>
      </c>
      <c r="N783" s="16">
        <v>18000.0</v>
      </c>
      <c r="O783" s="16"/>
      <c r="P783" s="18">
        <f>IF(N783&gt;0, O783/N783, 0)</f>
        <v>0</v>
      </c>
      <c r="Q783" s="16">
        <f>N783-O783</f>
        <v>18000</v>
      </c>
      <c r="R783" s="16">
        <f>M783*N783</f>
        <v>18000</v>
      </c>
      <c r="S783" s="16">
        <f>M783*O783</f>
        <v>0</v>
      </c>
      <c r="T783" s="16">
        <f>M783*Q783</f>
        <v>18000</v>
      </c>
      <c r="U783" s="16"/>
      <c r="V783" s="16">
        <f>M783*U783</f>
        <v>0</v>
      </c>
      <c r="W783" s="16">
        <f>T783-V783</f>
        <v>18000</v>
      </c>
      <c r="X783" s="18">
        <f>IF(T783&gt;0, W783/T783, 0)</f>
        <v>1</v>
      </c>
      <c r="Y783" s="9" t="s">
        <v>41</v>
      </c>
      <c r="Z783" s="11" t="s">
        <v>42</v>
      </c>
      <c r="AA783" s="11" t="s">
        <v>43</v>
      </c>
      <c r="AB783" s="11" t="s">
        <v>44</v>
      </c>
      <c r="AC783" s="9" t="s">
        <v>44</v>
      </c>
    </row>
    <row r="784" spans="1:29">
      <c r="A784" s="10">
        <v>777</v>
      </c>
      <c r="B784" s="10" t="s">
        <v>1081</v>
      </c>
      <c r="C784" s="10" t="s">
        <v>957</v>
      </c>
      <c r="D784" s="10" t="s">
        <v>655</v>
      </c>
      <c r="E784" s="10" t="s">
        <v>34</v>
      </c>
      <c r="F784" s="10" t="s">
        <v>35</v>
      </c>
      <c r="G784" s="8" t="s">
        <v>36</v>
      </c>
      <c r="H784" s="8" t="s">
        <v>53</v>
      </c>
      <c r="I784" s="8" t="s">
        <v>53</v>
      </c>
      <c r="J784" s="10">
        <v>176</v>
      </c>
      <c r="K784" s="10" t="s">
        <v>421</v>
      </c>
      <c r="L784" s="10" t="s">
        <v>40</v>
      </c>
      <c r="M784" s="12">
        <v>1</v>
      </c>
      <c r="N784" s="15">
        <v>8500.0</v>
      </c>
      <c r="O784" s="15"/>
      <c r="P784" s="17">
        <f>IF(N784&gt;0, O784/N784, 0)</f>
        <v>0</v>
      </c>
      <c r="Q784" s="15">
        <f>N784-O784</f>
        <v>8500</v>
      </c>
      <c r="R784" s="15">
        <f>M784*N784</f>
        <v>8500</v>
      </c>
      <c r="S784" s="15">
        <f>M784*O784</f>
        <v>0</v>
      </c>
      <c r="T784" s="15">
        <f>M784*Q784</f>
        <v>8500</v>
      </c>
      <c r="U784" s="15"/>
      <c r="V784" s="15">
        <f>M784*U784</f>
        <v>0</v>
      </c>
      <c r="W784" s="15">
        <f>T784-V784</f>
        <v>8500</v>
      </c>
      <c r="X784" s="17">
        <f>IF(T784&gt;0, W784/T784, 0)</f>
        <v>1</v>
      </c>
      <c r="Y784" s="8" t="s">
        <v>41</v>
      </c>
      <c r="Z784" s="10" t="s">
        <v>42</v>
      </c>
      <c r="AA784" s="10" t="s">
        <v>43</v>
      </c>
      <c r="AB784" s="10" t="s">
        <v>44</v>
      </c>
      <c r="AC784" s="8" t="s">
        <v>44</v>
      </c>
    </row>
    <row r="785" spans="1:29">
      <c r="A785" s="11">
        <v>778</v>
      </c>
      <c r="B785" s="11" t="s">
        <v>1082</v>
      </c>
      <c r="C785" s="11" t="s">
        <v>957</v>
      </c>
      <c r="D785" s="11" t="s">
        <v>655</v>
      </c>
      <c r="E785" s="11" t="s">
        <v>34</v>
      </c>
      <c r="F785" s="11" t="s">
        <v>35</v>
      </c>
      <c r="G785" s="9" t="s">
        <v>36</v>
      </c>
      <c r="H785" s="9" t="s">
        <v>37</v>
      </c>
      <c r="I785" s="9" t="s">
        <v>38</v>
      </c>
      <c r="J785" s="11">
        <v>176</v>
      </c>
      <c r="K785" s="11" t="s">
        <v>355</v>
      </c>
      <c r="L785" s="11" t="s">
        <v>40</v>
      </c>
      <c r="M785" s="13">
        <v>2</v>
      </c>
      <c r="N785" s="16">
        <v>8000.0</v>
      </c>
      <c r="O785" s="16"/>
      <c r="P785" s="18">
        <f>IF(N785&gt;0, O785/N785, 0)</f>
        <v>0</v>
      </c>
      <c r="Q785" s="16">
        <f>N785-O785</f>
        <v>8000</v>
      </c>
      <c r="R785" s="16">
        <f>M785*N785</f>
        <v>16000</v>
      </c>
      <c r="S785" s="16">
        <f>M785*O785</f>
        <v>0</v>
      </c>
      <c r="T785" s="16">
        <f>M785*Q785</f>
        <v>16000</v>
      </c>
      <c r="U785" s="16"/>
      <c r="V785" s="16">
        <f>M785*U785</f>
        <v>0</v>
      </c>
      <c r="W785" s="16">
        <f>T785-V785</f>
        <v>16000</v>
      </c>
      <c r="X785" s="18">
        <f>IF(T785&gt;0, W785/T785, 0)</f>
        <v>1</v>
      </c>
      <c r="Y785" s="9" t="s">
        <v>41</v>
      </c>
      <c r="Z785" s="11" t="s">
        <v>42</v>
      </c>
      <c r="AA785" s="11" t="s">
        <v>43</v>
      </c>
      <c r="AB785" s="11" t="s">
        <v>44</v>
      </c>
      <c r="AC785" s="9" t="s">
        <v>44</v>
      </c>
    </row>
    <row r="786" spans="1:29">
      <c r="A786" s="10">
        <v>779</v>
      </c>
      <c r="B786" s="10" t="s">
        <v>1083</v>
      </c>
      <c r="C786" s="10" t="s">
        <v>957</v>
      </c>
      <c r="D786" s="10" t="s">
        <v>655</v>
      </c>
      <c r="E786" s="10" t="s">
        <v>34</v>
      </c>
      <c r="F786" s="10" t="s">
        <v>35</v>
      </c>
      <c r="G786" s="8" t="s">
        <v>36</v>
      </c>
      <c r="H786" s="8" t="s">
        <v>37</v>
      </c>
      <c r="I786" s="8" t="s">
        <v>38</v>
      </c>
      <c r="J786" s="10">
        <v>170</v>
      </c>
      <c r="K786" s="10" t="s">
        <v>145</v>
      </c>
      <c r="L786" s="10" t="s">
        <v>40</v>
      </c>
      <c r="M786" s="12">
        <v>4</v>
      </c>
      <c r="N786" s="15">
        <v>8000.0</v>
      </c>
      <c r="O786" s="15"/>
      <c r="P786" s="17">
        <f>IF(N786&gt;0, O786/N786, 0)</f>
        <v>0</v>
      </c>
      <c r="Q786" s="15">
        <f>N786-O786</f>
        <v>8000</v>
      </c>
      <c r="R786" s="15">
        <f>M786*N786</f>
        <v>32000</v>
      </c>
      <c r="S786" s="15">
        <f>M786*O786</f>
        <v>0</v>
      </c>
      <c r="T786" s="15">
        <f>M786*Q786</f>
        <v>32000</v>
      </c>
      <c r="U786" s="15"/>
      <c r="V786" s="15">
        <f>M786*U786</f>
        <v>0</v>
      </c>
      <c r="W786" s="15">
        <f>T786-V786</f>
        <v>32000</v>
      </c>
      <c r="X786" s="17">
        <f>IF(T786&gt;0, W786/T786, 0)</f>
        <v>1</v>
      </c>
      <c r="Y786" s="8" t="s">
        <v>41</v>
      </c>
      <c r="Z786" s="10" t="s">
        <v>42</v>
      </c>
      <c r="AA786" s="10" t="s">
        <v>43</v>
      </c>
      <c r="AB786" s="10" t="s">
        <v>44</v>
      </c>
      <c r="AC786" s="8" t="s">
        <v>44</v>
      </c>
    </row>
    <row r="787" spans="1:29">
      <c r="A787" s="11">
        <v>780</v>
      </c>
      <c r="B787" s="11" t="s">
        <v>1084</v>
      </c>
      <c r="C787" s="11" t="s">
        <v>1085</v>
      </c>
      <c r="D787" s="11" t="s">
        <v>655</v>
      </c>
      <c r="E787" s="11" t="s">
        <v>70</v>
      </c>
      <c r="F787" s="11" t="s">
        <v>35</v>
      </c>
      <c r="G787" s="9" t="s">
        <v>52</v>
      </c>
      <c r="H787" s="9" t="s">
        <v>71</v>
      </c>
      <c r="I787" s="9" t="s">
        <v>71</v>
      </c>
      <c r="J787" s="11">
        <v>146</v>
      </c>
      <c r="K787" s="11" t="s">
        <v>385</v>
      </c>
      <c r="L787" s="11" t="s">
        <v>40</v>
      </c>
      <c r="M787" s="13">
        <v>1</v>
      </c>
      <c r="N787" s="16">
        <v>18000.0</v>
      </c>
      <c r="O787" s="16"/>
      <c r="P787" s="18">
        <f>IF(N787&gt;0, O787/N787, 0)</f>
        <v>0</v>
      </c>
      <c r="Q787" s="16">
        <f>N787-O787</f>
        <v>18000</v>
      </c>
      <c r="R787" s="16">
        <f>M787*N787</f>
        <v>18000</v>
      </c>
      <c r="S787" s="16">
        <f>M787*O787</f>
        <v>0</v>
      </c>
      <c r="T787" s="16">
        <f>M787*Q787</f>
        <v>18000</v>
      </c>
      <c r="U787" s="16"/>
      <c r="V787" s="16">
        <f>M787*U787</f>
        <v>0</v>
      </c>
      <c r="W787" s="16">
        <f>T787-V787</f>
        <v>18000</v>
      </c>
      <c r="X787" s="18">
        <f>IF(T787&gt;0, W787/T787, 0)</f>
        <v>1</v>
      </c>
      <c r="Y787" s="9" t="s">
        <v>41</v>
      </c>
      <c r="Z787" s="11" t="s">
        <v>42</v>
      </c>
      <c r="AA787" s="11" t="s">
        <v>73</v>
      </c>
      <c r="AB787" s="11" t="s">
        <v>44</v>
      </c>
      <c r="AC787" s="9" t="s">
        <v>44</v>
      </c>
    </row>
    <row r="788" spans="1:29">
      <c r="A788" s="10">
        <v>781</v>
      </c>
      <c r="B788" s="10" t="s">
        <v>1086</v>
      </c>
      <c r="C788" s="10" t="s">
        <v>1085</v>
      </c>
      <c r="D788" s="10" t="s">
        <v>655</v>
      </c>
      <c r="E788" s="10" t="s">
        <v>34</v>
      </c>
      <c r="F788" s="10" t="s">
        <v>35</v>
      </c>
      <c r="G788" s="8" t="s">
        <v>52</v>
      </c>
      <c r="H788" s="8" t="s">
        <v>71</v>
      </c>
      <c r="I788" s="8" t="s">
        <v>71</v>
      </c>
      <c r="J788" s="10">
        <v>140</v>
      </c>
      <c r="K788" s="10" t="s">
        <v>228</v>
      </c>
      <c r="L788" s="10" t="s">
        <v>40</v>
      </c>
      <c r="M788" s="12">
        <v>1</v>
      </c>
      <c r="N788" s="15">
        <v>16000.0</v>
      </c>
      <c r="O788" s="15"/>
      <c r="P788" s="17">
        <f>IF(N788&gt;0, O788/N788, 0)</f>
        <v>0</v>
      </c>
      <c r="Q788" s="15">
        <f>N788-O788</f>
        <v>16000</v>
      </c>
      <c r="R788" s="15">
        <f>M788*N788</f>
        <v>16000</v>
      </c>
      <c r="S788" s="15">
        <f>M788*O788</f>
        <v>0</v>
      </c>
      <c r="T788" s="15">
        <f>M788*Q788</f>
        <v>16000</v>
      </c>
      <c r="U788" s="15"/>
      <c r="V788" s="15">
        <f>M788*U788</f>
        <v>0</v>
      </c>
      <c r="W788" s="15">
        <f>T788-V788</f>
        <v>16000</v>
      </c>
      <c r="X788" s="17">
        <f>IF(T788&gt;0, W788/T788, 0)</f>
        <v>1</v>
      </c>
      <c r="Y788" s="8" t="s">
        <v>41</v>
      </c>
      <c r="Z788" s="10" t="s">
        <v>42</v>
      </c>
      <c r="AA788" s="10" t="s">
        <v>43</v>
      </c>
      <c r="AB788" s="10" t="s">
        <v>44</v>
      </c>
      <c r="AC788" s="8" t="s">
        <v>44</v>
      </c>
    </row>
    <row r="789" spans="1:29">
      <c r="A789" s="11">
        <v>782</v>
      </c>
      <c r="B789" s="11" t="s">
        <v>1087</v>
      </c>
      <c r="C789" s="11" t="s">
        <v>1085</v>
      </c>
      <c r="D789" s="11" t="s">
        <v>655</v>
      </c>
      <c r="E789" s="11" t="s">
        <v>34</v>
      </c>
      <c r="F789" s="11" t="s">
        <v>35</v>
      </c>
      <c r="G789" s="9" t="s">
        <v>52</v>
      </c>
      <c r="H789" s="9" t="s">
        <v>71</v>
      </c>
      <c r="I789" s="9" t="s">
        <v>71</v>
      </c>
      <c r="J789" s="11">
        <v>134</v>
      </c>
      <c r="K789" s="11" t="s">
        <v>212</v>
      </c>
      <c r="L789" s="11" t="s">
        <v>40</v>
      </c>
      <c r="M789" s="13">
        <v>1</v>
      </c>
      <c r="N789" s="16">
        <v>16000.0</v>
      </c>
      <c r="O789" s="16"/>
      <c r="P789" s="18">
        <f>IF(N789&gt;0, O789/N789, 0)</f>
        <v>0</v>
      </c>
      <c r="Q789" s="16">
        <f>N789-O789</f>
        <v>16000</v>
      </c>
      <c r="R789" s="16">
        <f>M789*N789</f>
        <v>16000</v>
      </c>
      <c r="S789" s="16">
        <f>M789*O789</f>
        <v>0</v>
      </c>
      <c r="T789" s="16">
        <f>M789*Q789</f>
        <v>16000</v>
      </c>
      <c r="U789" s="16"/>
      <c r="V789" s="16">
        <f>M789*U789</f>
        <v>0</v>
      </c>
      <c r="W789" s="16">
        <f>T789-V789</f>
        <v>16000</v>
      </c>
      <c r="X789" s="18">
        <f>IF(T789&gt;0, W789/T789, 0)</f>
        <v>1</v>
      </c>
      <c r="Y789" s="9" t="s">
        <v>41</v>
      </c>
      <c r="Z789" s="11" t="s">
        <v>42</v>
      </c>
      <c r="AA789" s="11" t="s">
        <v>43</v>
      </c>
      <c r="AB789" s="11" t="s">
        <v>44</v>
      </c>
      <c r="AC789" s="9" t="s">
        <v>44</v>
      </c>
    </row>
    <row r="790" spans="1:29">
      <c r="A790" s="10">
        <v>783</v>
      </c>
      <c r="B790" s="10" t="s">
        <v>1088</v>
      </c>
      <c r="C790" s="10" t="s">
        <v>1085</v>
      </c>
      <c r="D790" s="10" t="s">
        <v>655</v>
      </c>
      <c r="E790" s="10" t="s">
        <v>34</v>
      </c>
      <c r="F790" s="10" t="s">
        <v>35</v>
      </c>
      <c r="G790" s="8" t="s">
        <v>52</v>
      </c>
      <c r="H790" s="8" t="s">
        <v>37</v>
      </c>
      <c r="I790" s="8" t="s">
        <v>38</v>
      </c>
      <c r="J790" s="10">
        <v>134</v>
      </c>
      <c r="K790" s="10" t="s">
        <v>180</v>
      </c>
      <c r="L790" s="10" t="s">
        <v>55</v>
      </c>
      <c r="M790" s="12">
        <v>2</v>
      </c>
      <c r="N790" s="15">
        <v>7000.0</v>
      </c>
      <c r="O790" s="15"/>
      <c r="P790" s="17">
        <f>IF(N790&gt;0, O790/N790, 0)</f>
        <v>0</v>
      </c>
      <c r="Q790" s="15">
        <f>N790-O790</f>
        <v>7000</v>
      </c>
      <c r="R790" s="15">
        <f>M790*N790</f>
        <v>14000</v>
      </c>
      <c r="S790" s="15">
        <f>M790*O790</f>
        <v>0</v>
      </c>
      <c r="T790" s="15">
        <f>M790*Q790</f>
        <v>14000</v>
      </c>
      <c r="U790" s="15"/>
      <c r="V790" s="15">
        <f>M790*U790</f>
        <v>0</v>
      </c>
      <c r="W790" s="15">
        <f>T790-V790</f>
        <v>14000</v>
      </c>
      <c r="X790" s="17">
        <f>IF(T790&gt;0, W790/T790, 0)</f>
        <v>1</v>
      </c>
      <c r="Y790" s="8" t="s">
        <v>41</v>
      </c>
      <c r="Z790" s="10" t="s">
        <v>42</v>
      </c>
      <c r="AA790" s="10" t="s">
        <v>43</v>
      </c>
      <c r="AB790" s="10" t="s">
        <v>44</v>
      </c>
      <c r="AC790" s="8" t="s">
        <v>44</v>
      </c>
    </row>
    <row r="791" spans="1:29">
      <c r="A791" s="11">
        <v>784</v>
      </c>
      <c r="B791" s="11" t="s">
        <v>1089</v>
      </c>
      <c r="C791" s="11" t="s">
        <v>1085</v>
      </c>
      <c r="D791" s="11" t="s">
        <v>655</v>
      </c>
      <c r="E791" s="11" t="s">
        <v>34</v>
      </c>
      <c r="F791" s="11" t="s">
        <v>35</v>
      </c>
      <c r="G791" s="9" t="s">
        <v>36</v>
      </c>
      <c r="H791" s="9" t="s">
        <v>37</v>
      </c>
      <c r="I791" s="9" t="s">
        <v>38</v>
      </c>
      <c r="J791" s="11">
        <v>170</v>
      </c>
      <c r="K791" s="11" t="s">
        <v>145</v>
      </c>
      <c r="L791" s="11" t="s">
        <v>40</v>
      </c>
      <c r="M791" s="13">
        <v>4</v>
      </c>
      <c r="N791" s="16">
        <v>8000.0</v>
      </c>
      <c r="O791" s="16"/>
      <c r="P791" s="18">
        <f>IF(N791&gt;0, O791/N791, 0)</f>
        <v>0</v>
      </c>
      <c r="Q791" s="16">
        <f>N791-O791</f>
        <v>8000</v>
      </c>
      <c r="R791" s="16">
        <f>M791*N791</f>
        <v>32000</v>
      </c>
      <c r="S791" s="16">
        <f>M791*O791</f>
        <v>0</v>
      </c>
      <c r="T791" s="16">
        <f>M791*Q791</f>
        <v>32000</v>
      </c>
      <c r="U791" s="16"/>
      <c r="V791" s="16">
        <f>M791*U791</f>
        <v>0</v>
      </c>
      <c r="W791" s="16">
        <f>T791-V791</f>
        <v>32000</v>
      </c>
      <c r="X791" s="18">
        <f>IF(T791&gt;0, W791/T791, 0)</f>
        <v>1</v>
      </c>
      <c r="Y791" s="9" t="s">
        <v>41</v>
      </c>
      <c r="Z791" s="11" t="s">
        <v>42</v>
      </c>
      <c r="AA791" s="11" t="s">
        <v>43</v>
      </c>
      <c r="AB791" s="11" t="s">
        <v>44</v>
      </c>
      <c r="AC791" s="9" t="s">
        <v>44</v>
      </c>
    </row>
    <row r="792" spans="1:29">
      <c r="A792" s="10">
        <v>785</v>
      </c>
      <c r="B792" s="10" t="s">
        <v>1090</v>
      </c>
      <c r="C792" s="10" t="s">
        <v>1085</v>
      </c>
      <c r="D792" s="10" t="s">
        <v>655</v>
      </c>
      <c r="E792" s="10" t="s">
        <v>34</v>
      </c>
      <c r="F792" s="10" t="s">
        <v>35</v>
      </c>
      <c r="G792" s="8" t="s">
        <v>36</v>
      </c>
      <c r="H792" s="8" t="s">
        <v>65</v>
      </c>
      <c r="I792" s="8" t="s">
        <v>151</v>
      </c>
      <c r="J792" s="10">
        <v>170</v>
      </c>
      <c r="K792" s="10" t="s">
        <v>152</v>
      </c>
      <c r="L792" s="10" t="s">
        <v>40</v>
      </c>
      <c r="M792" s="12">
        <v>2</v>
      </c>
      <c r="N792" s="15">
        <v>9500.0</v>
      </c>
      <c r="O792" s="15"/>
      <c r="P792" s="17">
        <f>IF(N792&gt;0, O792/N792, 0)</f>
        <v>0</v>
      </c>
      <c r="Q792" s="15">
        <f>N792-O792</f>
        <v>9500</v>
      </c>
      <c r="R792" s="15">
        <f>M792*N792</f>
        <v>19000</v>
      </c>
      <c r="S792" s="15">
        <f>M792*O792</f>
        <v>0</v>
      </c>
      <c r="T792" s="15">
        <f>M792*Q792</f>
        <v>19000</v>
      </c>
      <c r="U792" s="15"/>
      <c r="V792" s="15">
        <f>M792*U792</f>
        <v>0</v>
      </c>
      <c r="W792" s="15">
        <f>T792-V792</f>
        <v>19000</v>
      </c>
      <c r="X792" s="17">
        <f>IF(T792&gt;0, W792/T792, 0)</f>
        <v>1</v>
      </c>
      <c r="Y792" s="8" t="s">
        <v>41</v>
      </c>
      <c r="Z792" s="10" t="s">
        <v>42</v>
      </c>
      <c r="AA792" s="10" t="s">
        <v>43</v>
      </c>
      <c r="AB792" s="10" t="s">
        <v>44</v>
      </c>
      <c r="AC792" s="8" t="s">
        <v>44</v>
      </c>
    </row>
    <row r="793" spans="1:29">
      <c r="A793" s="11">
        <v>786</v>
      </c>
      <c r="B793" s="11" t="s">
        <v>1091</v>
      </c>
      <c r="C793" s="11" t="s">
        <v>1085</v>
      </c>
      <c r="D793" s="11" t="s">
        <v>655</v>
      </c>
      <c r="E793" s="11" t="s">
        <v>34</v>
      </c>
      <c r="F793" s="11" t="s">
        <v>35</v>
      </c>
      <c r="G793" s="9" t="s">
        <v>52</v>
      </c>
      <c r="H793" s="9" t="s">
        <v>53</v>
      </c>
      <c r="I793" s="9" t="s">
        <v>53</v>
      </c>
      <c r="J793" s="11">
        <v>146</v>
      </c>
      <c r="K793" s="11" t="s">
        <v>257</v>
      </c>
      <c r="L793" s="11" t="s">
        <v>55</v>
      </c>
      <c r="M793" s="13">
        <v>1</v>
      </c>
      <c r="N793" s="16">
        <v>8000.0</v>
      </c>
      <c r="O793" s="16"/>
      <c r="P793" s="18">
        <f>IF(N793&gt;0, O793/N793, 0)</f>
        <v>0</v>
      </c>
      <c r="Q793" s="16">
        <f>N793-O793</f>
        <v>8000</v>
      </c>
      <c r="R793" s="16">
        <f>M793*N793</f>
        <v>8000</v>
      </c>
      <c r="S793" s="16">
        <f>M793*O793</f>
        <v>0</v>
      </c>
      <c r="T793" s="16">
        <f>M793*Q793</f>
        <v>8000</v>
      </c>
      <c r="U793" s="16"/>
      <c r="V793" s="16">
        <f>M793*U793</f>
        <v>0</v>
      </c>
      <c r="W793" s="16">
        <f>T793-V793</f>
        <v>8000</v>
      </c>
      <c r="X793" s="18">
        <f>IF(T793&gt;0, W793/T793, 0)</f>
        <v>1</v>
      </c>
      <c r="Y793" s="9" t="s">
        <v>41</v>
      </c>
      <c r="Z793" s="11" t="s">
        <v>42</v>
      </c>
      <c r="AA793" s="11" t="s">
        <v>43</v>
      </c>
      <c r="AB793" s="11" t="s">
        <v>44</v>
      </c>
      <c r="AC793" s="9" t="s">
        <v>44</v>
      </c>
    </row>
    <row r="794" spans="1:29">
      <c r="A794" s="10">
        <v>787</v>
      </c>
      <c r="B794" s="10" t="s">
        <v>1092</v>
      </c>
      <c r="C794" s="10" t="s">
        <v>1085</v>
      </c>
      <c r="D794" s="10" t="s">
        <v>655</v>
      </c>
      <c r="E794" s="10" t="s">
        <v>70</v>
      </c>
      <c r="F794" s="10" t="s">
        <v>35</v>
      </c>
      <c r="G794" s="8" t="s">
        <v>52</v>
      </c>
      <c r="H794" s="8" t="s">
        <v>58</v>
      </c>
      <c r="I794" s="8" t="s">
        <v>58</v>
      </c>
      <c r="J794" s="10">
        <v>146</v>
      </c>
      <c r="K794" s="10" t="s">
        <v>755</v>
      </c>
      <c r="L794" s="10" t="s">
        <v>40</v>
      </c>
      <c r="M794" s="12">
        <v>1</v>
      </c>
      <c r="N794" s="15">
        <v>8000.0</v>
      </c>
      <c r="O794" s="15"/>
      <c r="P794" s="17">
        <f>IF(N794&gt;0, O794/N794, 0)</f>
        <v>0</v>
      </c>
      <c r="Q794" s="15">
        <f>N794-O794</f>
        <v>8000</v>
      </c>
      <c r="R794" s="15">
        <f>M794*N794</f>
        <v>8000</v>
      </c>
      <c r="S794" s="15">
        <f>M794*O794</f>
        <v>0</v>
      </c>
      <c r="T794" s="15">
        <f>M794*Q794</f>
        <v>8000</v>
      </c>
      <c r="U794" s="15"/>
      <c r="V794" s="15">
        <f>M794*U794</f>
        <v>0</v>
      </c>
      <c r="W794" s="15">
        <f>T794-V794</f>
        <v>8000</v>
      </c>
      <c r="X794" s="17">
        <f>IF(T794&gt;0, W794/T794, 0)</f>
        <v>1</v>
      </c>
      <c r="Y794" s="8" t="s">
        <v>41</v>
      </c>
      <c r="Z794" s="10" t="s">
        <v>42</v>
      </c>
      <c r="AA794" s="10" t="s">
        <v>73</v>
      </c>
      <c r="AB794" s="10" t="s">
        <v>44</v>
      </c>
      <c r="AC794" s="8" t="s">
        <v>44</v>
      </c>
    </row>
    <row r="795" spans="1:29">
      <c r="A795" s="11">
        <v>788</v>
      </c>
      <c r="B795" s="11" t="s">
        <v>1093</v>
      </c>
      <c r="C795" s="11" t="s">
        <v>1085</v>
      </c>
      <c r="D795" s="11" t="s">
        <v>655</v>
      </c>
      <c r="E795" s="11" t="s">
        <v>70</v>
      </c>
      <c r="F795" s="11" t="s">
        <v>35</v>
      </c>
      <c r="G795" s="9" t="s">
        <v>52</v>
      </c>
      <c r="H795" s="9" t="s">
        <v>65</v>
      </c>
      <c r="I795" s="9" t="s">
        <v>151</v>
      </c>
      <c r="J795" s="11">
        <v>146</v>
      </c>
      <c r="K795" s="11" t="s">
        <v>170</v>
      </c>
      <c r="L795" s="11" t="s">
        <v>40</v>
      </c>
      <c r="M795" s="13">
        <v>1</v>
      </c>
      <c r="N795" s="16">
        <v>10000.0</v>
      </c>
      <c r="O795" s="16"/>
      <c r="P795" s="18">
        <f>IF(N795&gt;0, O795/N795, 0)</f>
        <v>0</v>
      </c>
      <c r="Q795" s="16">
        <f>N795-O795</f>
        <v>10000</v>
      </c>
      <c r="R795" s="16">
        <f>M795*N795</f>
        <v>10000</v>
      </c>
      <c r="S795" s="16">
        <f>M795*O795</f>
        <v>0</v>
      </c>
      <c r="T795" s="16">
        <f>M795*Q795</f>
        <v>10000</v>
      </c>
      <c r="U795" s="16"/>
      <c r="V795" s="16">
        <f>M795*U795</f>
        <v>0</v>
      </c>
      <c r="W795" s="16">
        <f>T795-V795</f>
        <v>10000</v>
      </c>
      <c r="X795" s="18">
        <f>IF(T795&gt;0, W795/T795, 0)</f>
        <v>1</v>
      </c>
      <c r="Y795" s="9" t="s">
        <v>41</v>
      </c>
      <c r="Z795" s="11" t="s">
        <v>42</v>
      </c>
      <c r="AA795" s="11" t="s">
        <v>73</v>
      </c>
      <c r="AB795" s="11" t="s">
        <v>44</v>
      </c>
      <c r="AC795" s="9" t="s">
        <v>44</v>
      </c>
    </row>
    <row r="796" spans="1:29">
      <c r="A796" s="10">
        <v>789</v>
      </c>
      <c r="B796" s="10" t="s">
        <v>1094</v>
      </c>
      <c r="C796" s="10" t="s">
        <v>1085</v>
      </c>
      <c r="D796" s="10" t="s">
        <v>655</v>
      </c>
      <c r="E796" s="10" t="s">
        <v>34</v>
      </c>
      <c r="F796" s="10" t="s">
        <v>35</v>
      </c>
      <c r="G796" s="8" t="s">
        <v>52</v>
      </c>
      <c r="H796" s="8" t="s">
        <v>71</v>
      </c>
      <c r="I796" s="8" t="s">
        <v>71</v>
      </c>
      <c r="J796" s="10">
        <v>152</v>
      </c>
      <c r="K796" s="10" t="s">
        <v>353</v>
      </c>
      <c r="L796" s="10" t="s">
        <v>40</v>
      </c>
      <c r="M796" s="12">
        <v>1</v>
      </c>
      <c r="N796" s="15">
        <v>16000.0</v>
      </c>
      <c r="O796" s="15"/>
      <c r="P796" s="17">
        <f>IF(N796&gt;0, O796/N796, 0)</f>
        <v>0</v>
      </c>
      <c r="Q796" s="15">
        <f>N796-O796</f>
        <v>16000</v>
      </c>
      <c r="R796" s="15">
        <f>M796*N796</f>
        <v>16000</v>
      </c>
      <c r="S796" s="15">
        <f>M796*O796</f>
        <v>0</v>
      </c>
      <c r="T796" s="15">
        <f>M796*Q796</f>
        <v>16000</v>
      </c>
      <c r="U796" s="15"/>
      <c r="V796" s="15">
        <f>M796*U796</f>
        <v>0</v>
      </c>
      <c r="W796" s="15">
        <f>T796-V796</f>
        <v>16000</v>
      </c>
      <c r="X796" s="17">
        <f>IF(T796&gt;0, W796/T796, 0)</f>
        <v>1</v>
      </c>
      <c r="Y796" s="8" t="s">
        <v>41</v>
      </c>
      <c r="Z796" s="10" t="s">
        <v>42</v>
      </c>
      <c r="AA796" s="10" t="s">
        <v>43</v>
      </c>
      <c r="AB796" s="10" t="s">
        <v>44</v>
      </c>
      <c r="AC796" s="8" t="s">
        <v>44</v>
      </c>
    </row>
    <row r="797" spans="1:29">
      <c r="A797" s="11">
        <v>790</v>
      </c>
      <c r="B797" s="11" t="s">
        <v>1095</v>
      </c>
      <c r="C797" s="11" t="s">
        <v>1085</v>
      </c>
      <c r="D797" s="11" t="s">
        <v>655</v>
      </c>
      <c r="E797" s="11" t="s">
        <v>34</v>
      </c>
      <c r="F797" s="11" t="s">
        <v>35</v>
      </c>
      <c r="G797" s="9" t="s">
        <v>52</v>
      </c>
      <c r="H797" s="9" t="s">
        <v>37</v>
      </c>
      <c r="I797" s="9" t="s">
        <v>38</v>
      </c>
      <c r="J797" s="11">
        <v>146</v>
      </c>
      <c r="K797" s="11" t="s">
        <v>260</v>
      </c>
      <c r="L797" s="11" t="s">
        <v>55</v>
      </c>
      <c r="M797" s="13">
        <v>2</v>
      </c>
      <c r="N797" s="16">
        <v>7000.0</v>
      </c>
      <c r="O797" s="16"/>
      <c r="P797" s="18">
        <f>IF(N797&gt;0, O797/N797, 0)</f>
        <v>0</v>
      </c>
      <c r="Q797" s="16">
        <f>N797-O797</f>
        <v>7000</v>
      </c>
      <c r="R797" s="16">
        <f>M797*N797</f>
        <v>14000</v>
      </c>
      <c r="S797" s="16">
        <f>M797*O797</f>
        <v>0</v>
      </c>
      <c r="T797" s="16">
        <f>M797*Q797</f>
        <v>14000</v>
      </c>
      <c r="U797" s="16"/>
      <c r="V797" s="16">
        <f>M797*U797</f>
        <v>0</v>
      </c>
      <c r="W797" s="16">
        <f>T797-V797</f>
        <v>14000</v>
      </c>
      <c r="X797" s="18">
        <f>IF(T797&gt;0, W797/T797, 0)</f>
        <v>1</v>
      </c>
      <c r="Y797" s="9" t="s">
        <v>41</v>
      </c>
      <c r="Z797" s="11" t="s">
        <v>42</v>
      </c>
      <c r="AA797" s="11" t="s">
        <v>43</v>
      </c>
      <c r="AB797" s="11" t="s">
        <v>44</v>
      </c>
      <c r="AC797" s="9" t="s">
        <v>44</v>
      </c>
    </row>
    <row r="798" spans="1:29">
      <c r="A798" s="10">
        <v>791</v>
      </c>
      <c r="B798" s="10" t="s">
        <v>1096</v>
      </c>
      <c r="C798" s="10" t="s">
        <v>1085</v>
      </c>
      <c r="D798" s="10" t="s">
        <v>655</v>
      </c>
      <c r="E798" s="10" t="s">
        <v>34</v>
      </c>
      <c r="F798" s="10" t="s">
        <v>35</v>
      </c>
      <c r="G798" s="8" t="s">
        <v>52</v>
      </c>
      <c r="H798" s="8" t="s">
        <v>53</v>
      </c>
      <c r="I798" s="8" t="s">
        <v>53</v>
      </c>
      <c r="J798" s="10">
        <v>146</v>
      </c>
      <c r="K798" s="10" t="s">
        <v>257</v>
      </c>
      <c r="L798" s="10" t="s">
        <v>55</v>
      </c>
      <c r="M798" s="12">
        <v>1</v>
      </c>
      <c r="N798" s="15">
        <v>8000.0</v>
      </c>
      <c r="O798" s="15"/>
      <c r="P798" s="17">
        <f>IF(N798&gt;0, O798/N798, 0)</f>
        <v>0</v>
      </c>
      <c r="Q798" s="15">
        <f>N798-O798</f>
        <v>8000</v>
      </c>
      <c r="R798" s="15">
        <f>M798*N798</f>
        <v>8000</v>
      </c>
      <c r="S798" s="15">
        <f>M798*O798</f>
        <v>0</v>
      </c>
      <c r="T798" s="15">
        <f>M798*Q798</f>
        <v>8000</v>
      </c>
      <c r="U798" s="15"/>
      <c r="V798" s="15">
        <f>M798*U798</f>
        <v>0</v>
      </c>
      <c r="W798" s="15">
        <f>T798-V798</f>
        <v>8000</v>
      </c>
      <c r="X798" s="17">
        <f>IF(T798&gt;0, W798/T798, 0)</f>
        <v>1</v>
      </c>
      <c r="Y798" s="8" t="s">
        <v>41</v>
      </c>
      <c r="Z798" s="10" t="s">
        <v>42</v>
      </c>
      <c r="AA798" s="10" t="s">
        <v>43</v>
      </c>
      <c r="AB798" s="10" t="s">
        <v>44</v>
      </c>
      <c r="AC798" s="8" t="s">
        <v>44</v>
      </c>
    </row>
    <row r="799" spans="1:29">
      <c r="A799" s="11">
        <v>792</v>
      </c>
      <c r="B799" s="11" t="s">
        <v>1097</v>
      </c>
      <c r="C799" s="11" t="s">
        <v>1085</v>
      </c>
      <c r="D799" s="11" t="s">
        <v>655</v>
      </c>
      <c r="E799" s="11" t="s">
        <v>34</v>
      </c>
      <c r="F799" s="11" t="s">
        <v>35</v>
      </c>
      <c r="G799" s="9" t="s">
        <v>36</v>
      </c>
      <c r="H799" s="9" t="s">
        <v>47</v>
      </c>
      <c r="I799" s="9" t="s">
        <v>48</v>
      </c>
      <c r="J799" s="11">
        <v>152</v>
      </c>
      <c r="K799" s="11" t="s">
        <v>348</v>
      </c>
      <c r="L799" s="11" t="s">
        <v>40</v>
      </c>
      <c r="M799" s="13">
        <v>1</v>
      </c>
      <c r="N799" s="16">
        <v>18000.0</v>
      </c>
      <c r="O799" s="16"/>
      <c r="P799" s="18">
        <f>IF(N799&gt;0, O799/N799, 0)</f>
        <v>0</v>
      </c>
      <c r="Q799" s="16">
        <f>N799-O799</f>
        <v>18000</v>
      </c>
      <c r="R799" s="16">
        <f>M799*N799</f>
        <v>18000</v>
      </c>
      <c r="S799" s="16">
        <f>M799*O799</f>
        <v>0</v>
      </c>
      <c r="T799" s="16">
        <f>M799*Q799</f>
        <v>18000</v>
      </c>
      <c r="U799" s="16"/>
      <c r="V799" s="16">
        <f>M799*U799</f>
        <v>0</v>
      </c>
      <c r="W799" s="16">
        <f>T799-V799</f>
        <v>18000</v>
      </c>
      <c r="X799" s="18">
        <f>IF(T799&gt;0, W799/T799, 0)</f>
        <v>1</v>
      </c>
      <c r="Y799" s="9" t="s">
        <v>41</v>
      </c>
      <c r="Z799" s="11" t="s">
        <v>42</v>
      </c>
      <c r="AA799" s="11" t="s">
        <v>43</v>
      </c>
      <c r="AB799" s="11" t="s">
        <v>44</v>
      </c>
      <c r="AC799" s="9" t="s">
        <v>44</v>
      </c>
    </row>
    <row r="800" spans="1:29">
      <c r="A800" s="10">
        <v>793</v>
      </c>
      <c r="B800" s="10" t="s">
        <v>1098</v>
      </c>
      <c r="C800" s="10" t="s">
        <v>1085</v>
      </c>
      <c r="D800" s="10" t="s">
        <v>655</v>
      </c>
      <c r="E800" s="10" t="s">
        <v>34</v>
      </c>
      <c r="F800" s="10" t="s">
        <v>35</v>
      </c>
      <c r="G800" s="8" t="s">
        <v>36</v>
      </c>
      <c r="H800" s="8" t="s">
        <v>65</v>
      </c>
      <c r="I800" s="8" t="s">
        <v>151</v>
      </c>
      <c r="J800" s="10">
        <v>170</v>
      </c>
      <c r="K800" s="10" t="s">
        <v>152</v>
      </c>
      <c r="L800" s="10" t="s">
        <v>40</v>
      </c>
      <c r="M800" s="12">
        <v>1</v>
      </c>
      <c r="N800" s="15">
        <v>9500.0</v>
      </c>
      <c r="O800" s="15"/>
      <c r="P800" s="17">
        <f>IF(N800&gt;0, O800/N800, 0)</f>
        <v>0</v>
      </c>
      <c r="Q800" s="15">
        <f>N800-O800</f>
        <v>9500</v>
      </c>
      <c r="R800" s="15">
        <f>M800*N800</f>
        <v>9500</v>
      </c>
      <c r="S800" s="15">
        <f>M800*O800</f>
        <v>0</v>
      </c>
      <c r="T800" s="15">
        <f>M800*Q800</f>
        <v>9500</v>
      </c>
      <c r="U800" s="15"/>
      <c r="V800" s="15">
        <f>M800*U800</f>
        <v>0</v>
      </c>
      <c r="W800" s="15">
        <f>T800-V800</f>
        <v>9500</v>
      </c>
      <c r="X800" s="17">
        <f>IF(T800&gt;0, W800/T800, 0)</f>
        <v>1</v>
      </c>
      <c r="Y800" s="8" t="s">
        <v>41</v>
      </c>
      <c r="Z800" s="10" t="s">
        <v>42</v>
      </c>
      <c r="AA800" s="10" t="s">
        <v>43</v>
      </c>
      <c r="AB800" s="10" t="s">
        <v>44</v>
      </c>
      <c r="AC800" s="8" t="s">
        <v>44</v>
      </c>
    </row>
    <row r="801" spans="1:29">
      <c r="A801" s="11">
        <v>794</v>
      </c>
      <c r="B801" s="11" t="s">
        <v>1099</v>
      </c>
      <c r="C801" s="11" t="s">
        <v>1085</v>
      </c>
      <c r="D801" s="11" t="s">
        <v>655</v>
      </c>
      <c r="E801" s="11" t="s">
        <v>34</v>
      </c>
      <c r="F801" s="11" t="s">
        <v>35</v>
      </c>
      <c r="G801" s="9" t="s">
        <v>36</v>
      </c>
      <c r="H801" s="9" t="s">
        <v>71</v>
      </c>
      <c r="I801" s="9" t="s">
        <v>71</v>
      </c>
      <c r="J801" s="11">
        <v>176</v>
      </c>
      <c r="K801" s="11" t="s">
        <v>206</v>
      </c>
      <c r="L801" s="11" t="s">
        <v>40</v>
      </c>
      <c r="M801" s="13">
        <v>1</v>
      </c>
      <c r="N801" s="16">
        <v>16500.0</v>
      </c>
      <c r="O801" s="16"/>
      <c r="P801" s="18">
        <f>IF(N801&gt;0, O801/N801, 0)</f>
        <v>0</v>
      </c>
      <c r="Q801" s="16">
        <f>N801-O801</f>
        <v>16500</v>
      </c>
      <c r="R801" s="16">
        <f>M801*N801</f>
        <v>16500</v>
      </c>
      <c r="S801" s="16">
        <f>M801*O801</f>
        <v>0</v>
      </c>
      <c r="T801" s="16">
        <f>M801*Q801</f>
        <v>16500</v>
      </c>
      <c r="U801" s="16"/>
      <c r="V801" s="16">
        <f>M801*U801</f>
        <v>0</v>
      </c>
      <c r="W801" s="16">
        <f>T801-V801</f>
        <v>16500</v>
      </c>
      <c r="X801" s="18">
        <f>IF(T801&gt;0, W801/T801, 0)</f>
        <v>1</v>
      </c>
      <c r="Y801" s="9" t="s">
        <v>41</v>
      </c>
      <c r="Z801" s="11" t="s">
        <v>42</v>
      </c>
      <c r="AA801" s="11" t="s">
        <v>43</v>
      </c>
      <c r="AB801" s="11" t="s">
        <v>44</v>
      </c>
      <c r="AC801" s="9" t="s">
        <v>44</v>
      </c>
    </row>
    <row r="802" spans="1:29">
      <c r="A802" s="10">
        <v>795</v>
      </c>
      <c r="B802" s="10" t="s">
        <v>1100</v>
      </c>
      <c r="C802" s="10" t="s">
        <v>1085</v>
      </c>
      <c r="D802" s="10" t="s">
        <v>655</v>
      </c>
      <c r="E802" s="10" t="s">
        <v>34</v>
      </c>
      <c r="F802" s="10" t="s">
        <v>35</v>
      </c>
      <c r="G802" s="8" t="s">
        <v>36</v>
      </c>
      <c r="H802" s="8" t="s">
        <v>37</v>
      </c>
      <c r="I802" s="8" t="s">
        <v>38</v>
      </c>
      <c r="J802" s="10">
        <v>176</v>
      </c>
      <c r="K802" s="10" t="s">
        <v>355</v>
      </c>
      <c r="L802" s="10" t="s">
        <v>40</v>
      </c>
      <c r="M802" s="12">
        <v>2</v>
      </c>
      <c r="N802" s="15">
        <v>8000.0</v>
      </c>
      <c r="O802" s="15"/>
      <c r="P802" s="17">
        <f>IF(N802&gt;0, O802/N802, 0)</f>
        <v>0</v>
      </c>
      <c r="Q802" s="15">
        <f>N802-O802</f>
        <v>8000</v>
      </c>
      <c r="R802" s="15">
        <f>M802*N802</f>
        <v>16000</v>
      </c>
      <c r="S802" s="15">
        <f>M802*O802</f>
        <v>0</v>
      </c>
      <c r="T802" s="15">
        <f>M802*Q802</f>
        <v>16000</v>
      </c>
      <c r="U802" s="15"/>
      <c r="V802" s="15">
        <f>M802*U802</f>
        <v>0</v>
      </c>
      <c r="W802" s="15">
        <f>T802-V802</f>
        <v>16000</v>
      </c>
      <c r="X802" s="17">
        <f>IF(T802&gt;0, W802/T802, 0)</f>
        <v>1</v>
      </c>
      <c r="Y802" s="8" t="s">
        <v>41</v>
      </c>
      <c r="Z802" s="10" t="s">
        <v>42</v>
      </c>
      <c r="AA802" s="10" t="s">
        <v>43</v>
      </c>
      <c r="AB802" s="10" t="s">
        <v>44</v>
      </c>
      <c r="AC802" s="8" t="s">
        <v>44</v>
      </c>
    </row>
    <row r="803" spans="1:29">
      <c r="A803" s="11">
        <v>796</v>
      </c>
      <c r="B803" s="11" t="s">
        <v>1101</v>
      </c>
      <c r="C803" s="11" t="s">
        <v>1085</v>
      </c>
      <c r="D803" s="11" t="s">
        <v>655</v>
      </c>
      <c r="E803" s="11" t="s">
        <v>34</v>
      </c>
      <c r="F803" s="11" t="s">
        <v>35</v>
      </c>
      <c r="G803" s="9" t="s">
        <v>36</v>
      </c>
      <c r="H803" s="9" t="s">
        <v>53</v>
      </c>
      <c r="I803" s="9" t="s">
        <v>53</v>
      </c>
      <c r="J803" s="11">
        <v>176</v>
      </c>
      <c r="K803" s="11" t="s">
        <v>421</v>
      </c>
      <c r="L803" s="11" t="s">
        <v>40</v>
      </c>
      <c r="M803" s="13">
        <v>1</v>
      </c>
      <c r="N803" s="16">
        <v>8500.0</v>
      </c>
      <c r="O803" s="16"/>
      <c r="P803" s="18">
        <f>IF(N803&gt;0, O803/N803, 0)</f>
        <v>0</v>
      </c>
      <c r="Q803" s="16">
        <f>N803-O803</f>
        <v>8500</v>
      </c>
      <c r="R803" s="16">
        <f>M803*N803</f>
        <v>8500</v>
      </c>
      <c r="S803" s="16">
        <f>M803*O803</f>
        <v>0</v>
      </c>
      <c r="T803" s="16">
        <f>M803*Q803</f>
        <v>8500</v>
      </c>
      <c r="U803" s="16"/>
      <c r="V803" s="16">
        <f>M803*U803</f>
        <v>0</v>
      </c>
      <c r="W803" s="16">
        <f>T803-V803</f>
        <v>8500</v>
      </c>
      <c r="X803" s="18">
        <f>IF(T803&gt;0, W803/T803, 0)</f>
        <v>1</v>
      </c>
      <c r="Y803" s="9" t="s">
        <v>41</v>
      </c>
      <c r="Z803" s="11" t="s">
        <v>42</v>
      </c>
      <c r="AA803" s="11" t="s">
        <v>43</v>
      </c>
      <c r="AB803" s="11" t="s">
        <v>44</v>
      </c>
      <c r="AC803" s="9" t="s">
        <v>44</v>
      </c>
    </row>
    <row r="804" spans="1:29">
      <c r="A804" s="10">
        <v>797</v>
      </c>
      <c r="B804" s="10" t="s">
        <v>1102</v>
      </c>
      <c r="C804" s="10" t="s">
        <v>1085</v>
      </c>
      <c r="D804" s="10" t="s">
        <v>655</v>
      </c>
      <c r="E804" s="10" t="s">
        <v>34</v>
      </c>
      <c r="F804" s="10" t="s">
        <v>35</v>
      </c>
      <c r="G804" s="8" t="s">
        <v>36</v>
      </c>
      <c r="H804" s="8" t="s">
        <v>58</v>
      </c>
      <c r="I804" s="8" t="s">
        <v>58</v>
      </c>
      <c r="J804" s="10">
        <v>170</v>
      </c>
      <c r="K804" s="10" t="s">
        <v>215</v>
      </c>
      <c r="L804" s="10" t="s">
        <v>40</v>
      </c>
      <c r="M804" s="12">
        <v>1</v>
      </c>
      <c r="N804" s="15">
        <v>9000.0</v>
      </c>
      <c r="O804" s="15"/>
      <c r="P804" s="17">
        <f>IF(N804&gt;0, O804/N804, 0)</f>
        <v>0</v>
      </c>
      <c r="Q804" s="15">
        <f>N804-O804</f>
        <v>9000</v>
      </c>
      <c r="R804" s="15">
        <f>M804*N804</f>
        <v>9000</v>
      </c>
      <c r="S804" s="15">
        <f>M804*O804</f>
        <v>0</v>
      </c>
      <c r="T804" s="15">
        <f>M804*Q804</f>
        <v>9000</v>
      </c>
      <c r="U804" s="15"/>
      <c r="V804" s="15">
        <f>M804*U804</f>
        <v>0</v>
      </c>
      <c r="W804" s="15">
        <f>T804-V804</f>
        <v>9000</v>
      </c>
      <c r="X804" s="17">
        <f>IF(T804&gt;0, W804/T804, 0)</f>
        <v>1</v>
      </c>
      <c r="Y804" s="8" t="s">
        <v>41</v>
      </c>
      <c r="Z804" s="10" t="s">
        <v>42</v>
      </c>
      <c r="AA804" s="10" t="s">
        <v>43</v>
      </c>
      <c r="AB804" s="10" t="s">
        <v>44</v>
      </c>
      <c r="AC804" s="8" t="s">
        <v>44</v>
      </c>
    </row>
    <row r="805" spans="1:29">
      <c r="A805" s="11">
        <v>798</v>
      </c>
      <c r="B805" s="11" t="s">
        <v>1103</v>
      </c>
      <c r="C805" s="11" t="s">
        <v>1085</v>
      </c>
      <c r="D805" s="11" t="s">
        <v>655</v>
      </c>
      <c r="E805" s="11" t="s">
        <v>34</v>
      </c>
      <c r="F805" s="11" t="s">
        <v>35</v>
      </c>
      <c r="G805" s="9" t="s">
        <v>52</v>
      </c>
      <c r="H805" s="9" t="s">
        <v>37</v>
      </c>
      <c r="I805" s="9" t="s">
        <v>38</v>
      </c>
      <c r="J805" s="11">
        <v>128</v>
      </c>
      <c r="K805" s="11" t="s">
        <v>159</v>
      </c>
      <c r="L805" s="11" t="s">
        <v>55</v>
      </c>
      <c r="M805" s="13">
        <v>1</v>
      </c>
      <c r="N805" s="16">
        <v>7000.0</v>
      </c>
      <c r="O805" s="16"/>
      <c r="P805" s="18">
        <f>IF(N805&gt;0, O805/N805, 0)</f>
        <v>0</v>
      </c>
      <c r="Q805" s="16">
        <f>N805-O805</f>
        <v>7000</v>
      </c>
      <c r="R805" s="16">
        <f>M805*N805</f>
        <v>7000</v>
      </c>
      <c r="S805" s="16">
        <f>M805*O805</f>
        <v>0</v>
      </c>
      <c r="T805" s="16">
        <f>M805*Q805</f>
        <v>7000</v>
      </c>
      <c r="U805" s="16"/>
      <c r="V805" s="16">
        <f>M805*U805</f>
        <v>0</v>
      </c>
      <c r="W805" s="16">
        <f>T805-V805</f>
        <v>7000</v>
      </c>
      <c r="X805" s="18">
        <f>IF(T805&gt;0, W805/T805, 0)</f>
        <v>1</v>
      </c>
      <c r="Y805" s="9" t="s">
        <v>41</v>
      </c>
      <c r="Z805" s="11" t="s">
        <v>42</v>
      </c>
      <c r="AA805" s="11" t="s">
        <v>43</v>
      </c>
      <c r="AB805" s="11" t="s">
        <v>44</v>
      </c>
      <c r="AC805" s="9" t="s">
        <v>44</v>
      </c>
    </row>
    <row r="806" spans="1:29">
      <c r="A806" s="10">
        <v>799</v>
      </c>
      <c r="B806" s="10" t="s">
        <v>1104</v>
      </c>
      <c r="C806" s="10" t="s">
        <v>1085</v>
      </c>
      <c r="D806" s="10" t="s">
        <v>655</v>
      </c>
      <c r="E806" s="10" t="s">
        <v>34</v>
      </c>
      <c r="F806" s="10" t="s">
        <v>35</v>
      </c>
      <c r="G806" s="8" t="s">
        <v>36</v>
      </c>
      <c r="H806" s="8" t="s">
        <v>37</v>
      </c>
      <c r="I806" s="8" t="s">
        <v>38</v>
      </c>
      <c r="J806" s="10">
        <v>170</v>
      </c>
      <c r="K806" s="10" t="s">
        <v>145</v>
      </c>
      <c r="L806" s="10" t="s">
        <v>40</v>
      </c>
      <c r="M806" s="12">
        <v>1</v>
      </c>
      <c r="N806" s="15">
        <v>8000.0</v>
      </c>
      <c r="O806" s="15"/>
      <c r="P806" s="17">
        <f>IF(N806&gt;0, O806/N806, 0)</f>
        <v>0</v>
      </c>
      <c r="Q806" s="15">
        <f>N806-O806</f>
        <v>8000</v>
      </c>
      <c r="R806" s="15">
        <f>M806*N806</f>
        <v>8000</v>
      </c>
      <c r="S806" s="15">
        <f>M806*O806</f>
        <v>0</v>
      </c>
      <c r="T806" s="15">
        <f>M806*Q806</f>
        <v>8000</v>
      </c>
      <c r="U806" s="15"/>
      <c r="V806" s="15">
        <f>M806*U806</f>
        <v>0</v>
      </c>
      <c r="W806" s="15">
        <f>T806-V806</f>
        <v>8000</v>
      </c>
      <c r="X806" s="17">
        <f>IF(T806&gt;0, W806/T806, 0)</f>
        <v>1</v>
      </c>
      <c r="Y806" s="8" t="s">
        <v>41</v>
      </c>
      <c r="Z806" s="10" t="s">
        <v>42</v>
      </c>
      <c r="AA806" s="10" t="s">
        <v>43</v>
      </c>
      <c r="AB806" s="10" t="s">
        <v>44</v>
      </c>
      <c r="AC806" s="8" t="s">
        <v>44</v>
      </c>
    </row>
    <row r="807" spans="1:29">
      <c r="A807" s="11">
        <v>800</v>
      </c>
      <c r="B807" s="11" t="s">
        <v>1105</v>
      </c>
      <c r="C807" s="11" t="s">
        <v>1085</v>
      </c>
      <c r="D807" s="11" t="s">
        <v>655</v>
      </c>
      <c r="E807" s="11" t="s">
        <v>34</v>
      </c>
      <c r="F807" s="11" t="s">
        <v>35</v>
      </c>
      <c r="G807" s="9" t="s">
        <v>36</v>
      </c>
      <c r="H807" s="9" t="s">
        <v>37</v>
      </c>
      <c r="I807" s="9" t="s">
        <v>75</v>
      </c>
      <c r="J807" s="11">
        <v>170</v>
      </c>
      <c r="K807" s="11" t="s">
        <v>651</v>
      </c>
      <c r="L807" s="11" t="s">
        <v>40</v>
      </c>
      <c r="M807" s="13">
        <v>1</v>
      </c>
      <c r="N807" s="16">
        <v>9000.0</v>
      </c>
      <c r="O807" s="16"/>
      <c r="P807" s="18">
        <f>IF(N807&gt;0, O807/N807, 0)</f>
        <v>0</v>
      </c>
      <c r="Q807" s="16">
        <f>N807-O807</f>
        <v>9000</v>
      </c>
      <c r="R807" s="16">
        <f>M807*N807</f>
        <v>9000</v>
      </c>
      <c r="S807" s="16">
        <f>M807*O807</f>
        <v>0</v>
      </c>
      <c r="T807" s="16">
        <f>M807*Q807</f>
        <v>9000</v>
      </c>
      <c r="U807" s="16"/>
      <c r="V807" s="16">
        <f>M807*U807</f>
        <v>0</v>
      </c>
      <c r="W807" s="16">
        <f>T807-V807</f>
        <v>9000</v>
      </c>
      <c r="X807" s="18">
        <f>IF(T807&gt;0, W807/T807, 0)</f>
        <v>1</v>
      </c>
      <c r="Y807" s="9" t="s">
        <v>41</v>
      </c>
      <c r="Z807" s="11" t="s">
        <v>42</v>
      </c>
      <c r="AA807" s="11" t="s">
        <v>43</v>
      </c>
      <c r="AB807" s="11" t="s">
        <v>44</v>
      </c>
      <c r="AC807" s="9" t="s">
        <v>44</v>
      </c>
    </row>
    <row r="808" spans="1:29">
      <c r="A808" s="10">
        <v>801</v>
      </c>
      <c r="B808" s="10" t="s">
        <v>1106</v>
      </c>
      <c r="C808" s="10" t="s">
        <v>1085</v>
      </c>
      <c r="D808" s="10" t="s">
        <v>655</v>
      </c>
      <c r="E808" s="10" t="s">
        <v>34</v>
      </c>
      <c r="F808" s="10" t="s">
        <v>35</v>
      </c>
      <c r="G808" s="8" t="s">
        <v>36</v>
      </c>
      <c r="H808" s="8" t="s">
        <v>37</v>
      </c>
      <c r="I808" s="8" t="s">
        <v>38</v>
      </c>
      <c r="J808" s="10">
        <v>170</v>
      </c>
      <c r="K808" s="10" t="s">
        <v>145</v>
      </c>
      <c r="L808" s="10" t="s">
        <v>40</v>
      </c>
      <c r="M808" s="12">
        <v>1</v>
      </c>
      <c r="N808" s="15">
        <v>8000.0</v>
      </c>
      <c r="O808" s="15"/>
      <c r="P808" s="17">
        <f>IF(N808&gt;0, O808/N808, 0)</f>
        <v>0</v>
      </c>
      <c r="Q808" s="15">
        <f>N808-O808</f>
        <v>8000</v>
      </c>
      <c r="R808" s="15">
        <f>M808*N808</f>
        <v>8000</v>
      </c>
      <c r="S808" s="15">
        <f>M808*O808</f>
        <v>0</v>
      </c>
      <c r="T808" s="15">
        <f>M808*Q808</f>
        <v>8000</v>
      </c>
      <c r="U808" s="15"/>
      <c r="V808" s="15">
        <f>M808*U808</f>
        <v>0</v>
      </c>
      <c r="W808" s="15">
        <f>T808-V808</f>
        <v>8000</v>
      </c>
      <c r="X808" s="17">
        <f>IF(T808&gt;0, W808/T808, 0)</f>
        <v>1</v>
      </c>
      <c r="Y808" s="8" t="s">
        <v>41</v>
      </c>
      <c r="Z808" s="10" t="s">
        <v>42</v>
      </c>
      <c r="AA808" s="10" t="s">
        <v>43</v>
      </c>
      <c r="AB808" s="10" t="s">
        <v>44</v>
      </c>
      <c r="AC808" s="8" t="s">
        <v>44</v>
      </c>
    </row>
    <row r="809" spans="1:29">
      <c r="A809" s="11">
        <v>802</v>
      </c>
      <c r="B809" s="11" t="s">
        <v>1107</v>
      </c>
      <c r="C809" s="11" t="s">
        <v>1085</v>
      </c>
      <c r="D809" s="11" t="s">
        <v>655</v>
      </c>
      <c r="E809" s="11" t="s">
        <v>34</v>
      </c>
      <c r="F809" s="11" t="s">
        <v>35</v>
      </c>
      <c r="G809" s="9" t="s">
        <v>52</v>
      </c>
      <c r="H809" s="9" t="s">
        <v>71</v>
      </c>
      <c r="I809" s="9" t="s">
        <v>71</v>
      </c>
      <c r="J809" s="11">
        <v>140</v>
      </c>
      <c r="K809" s="11" t="s">
        <v>228</v>
      </c>
      <c r="L809" s="11" t="s">
        <v>40</v>
      </c>
      <c r="M809" s="13">
        <v>1</v>
      </c>
      <c r="N809" s="16">
        <v>16000.0</v>
      </c>
      <c r="O809" s="16"/>
      <c r="P809" s="18">
        <f>IF(N809&gt;0, O809/N809, 0)</f>
        <v>0</v>
      </c>
      <c r="Q809" s="16">
        <f>N809-O809</f>
        <v>16000</v>
      </c>
      <c r="R809" s="16">
        <f>M809*N809</f>
        <v>16000</v>
      </c>
      <c r="S809" s="16">
        <f>M809*O809</f>
        <v>0</v>
      </c>
      <c r="T809" s="16">
        <f>M809*Q809</f>
        <v>16000</v>
      </c>
      <c r="U809" s="16"/>
      <c r="V809" s="16">
        <f>M809*U809</f>
        <v>0</v>
      </c>
      <c r="W809" s="16">
        <f>T809-V809</f>
        <v>16000</v>
      </c>
      <c r="X809" s="18">
        <f>IF(T809&gt;0, W809/T809, 0)</f>
        <v>1</v>
      </c>
      <c r="Y809" s="9" t="s">
        <v>41</v>
      </c>
      <c r="Z809" s="11" t="s">
        <v>42</v>
      </c>
      <c r="AA809" s="11" t="s">
        <v>43</v>
      </c>
      <c r="AB809" s="11" t="s">
        <v>44</v>
      </c>
      <c r="AC809" s="9" t="s">
        <v>44</v>
      </c>
    </row>
    <row r="810" spans="1:29">
      <c r="A810" s="10">
        <v>803</v>
      </c>
      <c r="B810" s="10" t="s">
        <v>1108</v>
      </c>
      <c r="C810" s="10" t="s">
        <v>1085</v>
      </c>
      <c r="D810" s="10" t="s">
        <v>655</v>
      </c>
      <c r="E810" s="10" t="s">
        <v>34</v>
      </c>
      <c r="F810" s="10" t="s">
        <v>35</v>
      </c>
      <c r="G810" s="8" t="s">
        <v>52</v>
      </c>
      <c r="H810" s="8" t="s">
        <v>53</v>
      </c>
      <c r="I810" s="8" t="s">
        <v>53</v>
      </c>
      <c r="J810" s="10">
        <v>134</v>
      </c>
      <c r="K810" s="10" t="s">
        <v>178</v>
      </c>
      <c r="L810" s="10" t="s">
        <v>55</v>
      </c>
      <c r="M810" s="12">
        <v>1</v>
      </c>
      <c r="N810" s="15">
        <v>8000.0</v>
      </c>
      <c r="O810" s="15"/>
      <c r="P810" s="17">
        <f>IF(N810&gt;0, O810/N810, 0)</f>
        <v>0</v>
      </c>
      <c r="Q810" s="15">
        <f>N810-O810</f>
        <v>8000</v>
      </c>
      <c r="R810" s="15">
        <f>M810*N810</f>
        <v>8000</v>
      </c>
      <c r="S810" s="15">
        <f>M810*O810</f>
        <v>0</v>
      </c>
      <c r="T810" s="15">
        <f>M810*Q810</f>
        <v>8000</v>
      </c>
      <c r="U810" s="15"/>
      <c r="V810" s="15">
        <f>M810*U810</f>
        <v>0</v>
      </c>
      <c r="W810" s="15">
        <f>T810-V810</f>
        <v>8000</v>
      </c>
      <c r="X810" s="17">
        <f>IF(T810&gt;0, W810/T810, 0)</f>
        <v>1</v>
      </c>
      <c r="Y810" s="8" t="s">
        <v>41</v>
      </c>
      <c r="Z810" s="10" t="s">
        <v>42</v>
      </c>
      <c r="AA810" s="10" t="s">
        <v>43</v>
      </c>
      <c r="AB810" s="10" t="s">
        <v>44</v>
      </c>
      <c r="AC810" s="8" t="s">
        <v>44</v>
      </c>
    </row>
    <row r="811" spans="1:29">
      <c r="A811" s="11">
        <v>804</v>
      </c>
      <c r="B811" s="11" t="s">
        <v>1109</v>
      </c>
      <c r="C811" s="11" t="s">
        <v>1085</v>
      </c>
      <c r="D811" s="11" t="s">
        <v>655</v>
      </c>
      <c r="E811" s="11" t="s">
        <v>34</v>
      </c>
      <c r="F811" s="11" t="s">
        <v>35</v>
      </c>
      <c r="G811" s="9" t="s">
        <v>52</v>
      </c>
      <c r="H811" s="9" t="s">
        <v>37</v>
      </c>
      <c r="I811" s="9" t="s">
        <v>38</v>
      </c>
      <c r="J811" s="11">
        <v>134</v>
      </c>
      <c r="K811" s="11" t="s">
        <v>180</v>
      </c>
      <c r="L811" s="11" t="s">
        <v>55</v>
      </c>
      <c r="M811" s="13">
        <v>1</v>
      </c>
      <c r="N811" s="16">
        <v>7000.0</v>
      </c>
      <c r="O811" s="16"/>
      <c r="P811" s="18">
        <f>IF(N811&gt;0, O811/N811, 0)</f>
        <v>0</v>
      </c>
      <c r="Q811" s="16">
        <f>N811-O811</f>
        <v>7000</v>
      </c>
      <c r="R811" s="16">
        <f>M811*N811</f>
        <v>7000</v>
      </c>
      <c r="S811" s="16">
        <f>M811*O811</f>
        <v>0</v>
      </c>
      <c r="T811" s="16">
        <f>M811*Q811</f>
        <v>7000</v>
      </c>
      <c r="U811" s="16"/>
      <c r="V811" s="16">
        <f>M811*U811</f>
        <v>0</v>
      </c>
      <c r="W811" s="16">
        <f>T811-V811</f>
        <v>7000</v>
      </c>
      <c r="X811" s="18">
        <f>IF(T811&gt;0, W811/T811, 0)</f>
        <v>1</v>
      </c>
      <c r="Y811" s="9" t="s">
        <v>41</v>
      </c>
      <c r="Z811" s="11" t="s">
        <v>42</v>
      </c>
      <c r="AA811" s="11" t="s">
        <v>43</v>
      </c>
      <c r="AB811" s="11" t="s">
        <v>44</v>
      </c>
      <c r="AC811" s="9" t="s">
        <v>44</v>
      </c>
    </row>
    <row r="812" spans="1:29">
      <c r="A812" s="10">
        <v>805</v>
      </c>
      <c r="B812" s="10" t="s">
        <v>1110</v>
      </c>
      <c r="C812" s="10" t="s">
        <v>1085</v>
      </c>
      <c r="D812" s="10" t="s">
        <v>655</v>
      </c>
      <c r="E812" s="10" t="s">
        <v>34</v>
      </c>
      <c r="F812" s="10" t="s">
        <v>35</v>
      </c>
      <c r="G812" s="8" t="s">
        <v>52</v>
      </c>
      <c r="H812" s="8" t="s">
        <v>47</v>
      </c>
      <c r="I812" s="8" t="s">
        <v>48</v>
      </c>
      <c r="J812" s="10">
        <v>140</v>
      </c>
      <c r="K812" s="10" t="s">
        <v>417</v>
      </c>
      <c r="L812" s="10" t="s">
        <v>40</v>
      </c>
      <c r="M812" s="12">
        <v>1</v>
      </c>
      <c r="N812" s="15">
        <v>18000.0</v>
      </c>
      <c r="O812" s="15"/>
      <c r="P812" s="17">
        <f>IF(N812&gt;0, O812/N812, 0)</f>
        <v>0</v>
      </c>
      <c r="Q812" s="15">
        <f>N812-O812</f>
        <v>18000</v>
      </c>
      <c r="R812" s="15">
        <f>M812*N812</f>
        <v>18000</v>
      </c>
      <c r="S812" s="15">
        <f>M812*O812</f>
        <v>0</v>
      </c>
      <c r="T812" s="15">
        <f>M812*Q812</f>
        <v>18000</v>
      </c>
      <c r="U812" s="15"/>
      <c r="V812" s="15">
        <f>M812*U812</f>
        <v>0</v>
      </c>
      <c r="W812" s="15">
        <f>T812-V812</f>
        <v>18000</v>
      </c>
      <c r="X812" s="17">
        <f>IF(T812&gt;0, W812/T812, 0)</f>
        <v>1</v>
      </c>
      <c r="Y812" s="8" t="s">
        <v>41</v>
      </c>
      <c r="Z812" s="10" t="s">
        <v>42</v>
      </c>
      <c r="AA812" s="10" t="s">
        <v>43</v>
      </c>
      <c r="AB812" s="10" t="s">
        <v>44</v>
      </c>
      <c r="AC812" s="8" t="s">
        <v>44</v>
      </c>
    </row>
    <row r="813" spans="1:29">
      <c r="A813" s="11">
        <v>806</v>
      </c>
      <c r="B813" s="11" t="s">
        <v>1111</v>
      </c>
      <c r="C813" s="11" t="s">
        <v>1085</v>
      </c>
      <c r="D813" s="11" t="s">
        <v>655</v>
      </c>
      <c r="E813" s="11" t="s">
        <v>34</v>
      </c>
      <c r="F813" s="11" t="s">
        <v>35</v>
      </c>
      <c r="G813" s="9" t="s">
        <v>52</v>
      </c>
      <c r="H813" s="9" t="s">
        <v>53</v>
      </c>
      <c r="I813" s="9" t="s">
        <v>53</v>
      </c>
      <c r="J813" s="11">
        <v>134</v>
      </c>
      <c r="K813" s="11" t="s">
        <v>178</v>
      </c>
      <c r="L813" s="11" t="s">
        <v>55</v>
      </c>
      <c r="M813" s="13">
        <v>1</v>
      </c>
      <c r="N813" s="16">
        <v>8000.0</v>
      </c>
      <c r="O813" s="16"/>
      <c r="P813" s="18">
        <f>IF(N813&gt;0, O813/N813, 0)</f>
        <v>0</v>
      </c>
      <c r="Q813" s="16">
        <f>N813-O813</f>
        <v>8000</v>
      </c>
      <c r="R813" s="16">
        <f>M813*N813</f>
        <v>8000</v>
      </c>
      <c r="S813" s="16">
        <f>M813*O813</f>
        <v>0</v>
      </c>
      <c r="T813" s="16">
        <f>M813*Q813</f>
        <v>8000</v>
      </c>
      <c r="U813" s="16"/>
      <c r="V813" s="16">
        <f>M813*U813</f>
        <v>0</v>
      </c>
      <c r="W813" s="16">
        <f>T813-V813</f>
        <v>8000</v>
      </c>
      <c r="X813" s="18">
        <f>IF(T813&gt;0, W813/T813, 0)</f>
        <v>1</v>
      </c>
      <c r="Y813" s="9" t="s">
        <v>41</v>
      </c>
      <c r="Z813" s="11" t="s">
        <v>42</v>
      </c>
      <c r="AA813" s="11" t="s">
        <v>43</v>
      </c>
      <c r="AB813" s="11" t="s">
        <v>44</v>
      </c>
      <c r="AC813" s="9" t="s">
        <v>44</v>
      </c>
    </row>
    <row r="814" spans="1:29">
      <c r="A814" s="10">
        <v>807</v>
      </c>
      <c r="B814" s="10" t="s">
        <v>1112</v>
      </c>
      <c r="C814" s="10" t="s">
        <v>1085</v>
      </c>
      <c r="D814" s="10" t="s">
        <v>655</v>
      </c>
      <c r="E814" s="10" t="s">
        <v>34</v>
      </c>
      <c r="F814" s="10" t="s">
        <v>35</v>
      </c>
      <c r="G814" s="8" t="s">
        <v>52</v>
      </c>
      <c r="H814" s="8" t="s">
        <v>37</v>
      </c>
      <c r="I814" s="8" t="s">
        <v>38</v>
      </c>
      <c r="J814" s="10">
        <v>140</v>
      </c>
      <c r="K814" s="10" t="s">
        <v>226</v>
      </c>
      <c r="L814" s="10" t="s">
        <v>55</v>
      </c>
      <c r="M814" s="12">
        <v>2</v>
      </c>
      <c r="N814" s="15">
        <v>7000.0</v>
      </c>
      <c r="O814" s="15"/>
      <c r="P814" s="17">
        <f>IF(N814&gt;0, O814/N814, 0)</f>
        <v>0</v>
      </c>
      <c r="Q814" s="15">
        <f>N814-O814</f>
        <v>7000</v>
      </c>
      <c r="R814" s="15">
        <f>M814*N814</f>
        <v>14000</v>
      </c>
      <c r="S814" s="15">
        <f>M814*O814</f>
        <v>0</v>
      </c>
      <c r="T814" s="15">
        <f>M814*Q814</f>
        <v>14000</v>
      </c>
      <c r="U814" s="15"/>
      <c r="V814" s="15">
        <f>M814*U814</f>
        <v>0</v>
      </c>
      <c r="W814" s="15">
        <f>T814-V814</f>
        <v>14000</v>
      </c>
      <c r="X814" s="17">
        <f>IF(T814&gt;0, W814/T814, 0)</f>
        <v>1</v>
      </c>
      <c r="Y814" s="8" t="s">
        <v>41</v>
      </c>
      <c r="Z814" s="10" t="s">
        <v>42</v>
      </c>
      <c r="AA814" s="10" t="s">
        <v>43</v>
      </c>
      <c r="AB814" s="10" t="s">
        <v>44</v>
      </c>
      <c r="AC814" s="8" t="s">
        <v>44</v>
      </c>
    </row>
    <row r="815" spans="1:29">
      <c r="A815" s="11">
        <v>808</v>
      </c>
      <c r="B815" s="11" t="s">
        <v>1113</v>
      </c>
      <c r="C815" s="11" t="s">
        <v>1085</v>
      </c>
      <c r="D815" s="11" t="s">
        <v>655</v>
      </c>
      <c r="E815" s="11" t="s">
        <v>34</v>
      </c>
      <c r="F815" s="11" t="s">
        <v>35</v>
      </c>
      <c r="G815" s="9" t="s">
        <v>52</v>
      </c>
      <c r="H815" s="9" t="s">
        <v>71</v>
      </c>
      <c r="I815" s="9" t="s">
        <v>71</v>
      </c>
      <c r="J815" s="11">
        <v>146</v>
      </c>
      <c r="K815" s="11" t="s">
        <v>385</v>
      </c>
      <c r="L815" s="11" t="s">
        <v>40</v>
      </c>
      <c r="M815" s="13">
        <v>1</v>
      </c>
      <c r="N815" s="16">
        <v>18000.0</v>
      </c>
      <c r="O815" s="16"/>
      <c r="P815" s="18">
        <f>IF(N815&gt;0, O815/N815, 0)</f>
        <v>0</v>
      </c>
      <c r="Q815" s="16">
        <f>N815-O815</f>
        <v>18000</v>
      </c>
      <c r="R815" s="16">
        <f>M815*N815</f>
        <v>18000</v>
      </c>
      <c r="S815" s="16">
        <f>M815*O815</f>
        <v>0</v>
      </c>
      <c r="T815" s="16">
        <f>M815*Q815</f>
        <v>18000</v>
      </c>
      <c r="U815" s="16"/>
      <c r="V815" s="16">
        <f>M815*U815</f>
        <v>0</v>
      </c>
      <c r="W815" s="16">
        <f>T815-V815</f>
        <v>18000</v>
      </c>
      <c r="X815" s="18">
        <f>IF(T815&gt;0, W815/T815, 0)</f>
        <v>1</v>
      </c>
      <c r="Y815" s="9" t="s">
        <v>41</v>
      </c>
      <c r="Z815" s="11" t="s">
        <v>42</v>
      </c>
      <c r="AA815" s="11" t="s">
        <v>43</v>
      </c>
      <c r="AB815" s="11" t="s">
        <v>44</v>
      </c>
      <c r="AC815" s="9" t="s">
        <v>44</v>
      </c>
    </row>
    <row r="816" spans="1:29">
      <c r="A816" s="10">
        <v>809</v>
      </c>
      <c r="B816" s="10" t="s">
        <v>1114</v>
      </c>
      <c r="C816" s="10" t="s">
        <v>1085</v>
      </c>
      <c r="D816" s="10" t="s">
        <v>655</v>
      </c>
      <c r="E816" s="10" t="s">
        <v>34</v>
      </c>
      <c r="F816" s="10" t="s">
        <v>35</v>
      </c>
      <c r="G816" s="8" t="s">
        <v>52</v>
      </c>
      <c r="H816" s="8" t="s">
        <v>53</v>
      </c>
      <c r="I816" s="8" t="s">
        <v>53</v>
      </c>
      <c r="J816" s="10">
        <v>134</v>
      </c>
      <c r="K816" s="10" t="s">
        <v>178</v>
      </c>
      <c r="L816" s="10" t="s">
        <v>55</v>
      </c>
      <c r="M816" s="12">
        <v>1</v>
      </c>
      <c r="N816" s="15">
        <v>8000.0</v>
      </c>
      <c r="O816" s="15"/>
      <c r="P816" s="17">
        <f>IF(N816&gt;0, O816/N816, 0)</f>
        <v>0</v>
      </c>
      <c r="Q816" s="15">
        <f>N816-O816</f>
        <v>8000</v>
      </c>
      <c r="R816" s="15">
        <f>M816*N816</f>
        <v>8000</v>
      </c>
      <c r="S816" s="15">
        <f>M816*O816</f>
        <v>0</v>
      </c>
      <c r="T816" s="15">
        <f>M816*Q816</f>
        <v>8000</v>
      </c>
      <c r="U816" s="15"/>
      <c r="V816" s="15">
        <f>M816*U816</f>
        <v>0</v>
      </c>
      <c r="W816" s="15">
        <f>T816-V816</f>
        <v>8000</v>
      </c>
      <c r="X816" s="17">
        <f>IF(T816&gt;0, W816/T816, 0)</f>
        <v>1</v>
      </c>
      <c r="Y816" s="8" t="s">
        <v>41</v>
      </c>
      <c r="Z816" s="10" t="s">
        <v>42</v>
      </c>
      <c r="AA816" s="10" t="s">
        <v>43</v>
      </c>
      <c r="AB816" s="10" t="s">
        <v>44</v>
      </c>
      <c r="AC816" s="8" t="s">
        <v>44</v>
      </c>
    </row>
    <row r="817" spans="1:29">
      <c r="A817" s="11">
        <v>810</v>
      </c>
      <c r="B817" s="11" t="s">
        <v>1115</v>
      </c>
      <c r="C817" s="11" t="s">
        <v>1085</v>
      </c>
      <c r="D817" s="11" t="s">
        <v>655</v>
      </c>
      <c r="E817" s="11" t="s">
        <v>34</v>
      </c>
      <c r="F817" s="11" t="s">
        <v>35</v>
      </c>
      <c r="G817" s="9" t="s">
        <v>36</v>
      </c>
      <c r="H817" s="9" t="s">
        <v>53</v>
      </c>
      <c r="I817" s="9" t="s">
        <v>53</v>
      </c>
      <c r="J817" s="11">
        <v>158</v>
      </c>
      <c r="K817" s="11" t="s">
        <v>124</v>
      </c>
      <c r="L817" s="11" t="s">
        <v>40</v>
      </c>
      <c r="M817" s="13">
        <v>1</v>
      </c>
      <c r="N817" s="16">
        <v>9000.0</v>
      </c>
      <c r="O817" s="16"/>
      <c r="P817" s="18">
        <f>IF(N817&gt;0, O817/N817, 0)</f>
        <v>0</v>
      </c>
      <c r="Q817" s="16">
        <f>N817-O817</f>
        <v>9000</v>
      </c>
      <c r="R817" s="16">
        <f>M817*N817</f>
        <v>9000</v>
      </c>
      <c r="S817" s="16">
        <f>M817*O817</f>
        <v>0</v>
      </c>
      <c r="T817" s="16">
        <f>M817*Q817</f>
        <v>9000</v>
      </c>
      <c r="U817" s="16"/>
      <c r="V817" s="16">
        <f>M817*U817</f>
        <v>0</v>
      </c>
      <c r="W817" s="16">
        <f>T817-V817</f>
        <v>9000</v>
      </c>
      <c r="X817" s="18">
        <f>IF(T817&gt;0, W817/T817, 0)</f>
        <v>1</v>
      </c>
      <c r="Y817" s="9" t="s">
        <v>41</v>
      </c>
      <c r="Z817" s="11" t="s">
        <v>42</v>
      </c>
      <c r="AA817" s="11" t="s">
        <v>43</v>
      </c>
      <c r="AB817" s="11" t="s">
        <v>44</v>
      </c>
      <c r="AC817" s="9" t="s">
        <v>44</v>
      </c>
    </row>
    <row r="818" spans="1:29">
      <c r="A818" s="10">
        <v>811</v>
      </c>
      <c r="B818" s="10" t="s">
        <v>1116</v>
      </c>
      <c r="C818" s="10" t="s">
        <v>1085</v>
      </c>
      <c r="D818" s="10" t="s">
        <v>655</v>
      </c>
      <c r="E818" s="10" t="s">
        <v>34</v>
      </c>
      <c r="F818" s="10" t="s">
        <v>35</v>
      </c>
      <c r="G818" s="8" t="s">
        <v>36</v>
      </c>
      <c r="H818" s="8" t="s">
        <v>47</v>
      </c>
      <c r="I818" s="8" t="s">
        <v>48</v>
      </c>
      <c r="J818" s="10">
        <v>170</v>
      </c>
      <c r="K818" s="10" t="s">
        <v>184</v>
      </c>
      <c r="L818" s="10" t="s">
        <v>40</v>
      </c>
      <c r="M818" s="12">
        <v>2</v>
      </c>
      <c r="N818" s="15">
        <v>18000.0</v>
      </c>
      <c r="O818" s="15"/>
      <c r="P818" s="17">
        <f>IF(N818&gt;0, O818/N818, 0)</f>
        <v>0</v>
      </c>
      <c r="Q818" s="15">
        <f>N818-O818</f>
        <v>18000</v>
      </c>
      <c r="R818" s="15">
        <f>M818*N818</f>
        <v>36000</v>
      </c>
      <c r="S818" s="15">
        <f>M818*O818</f>
        <v>0</v>
      </c>
      <c r="T818" s="15">
        <f>M818*Q818</f>
        <v>36000</v>
      </c>
      <c r="U818" s="15"/>
      <c r="V818" s="15">
        <f>M818*U818</f>
        <v>0</v>
      </c>
      <c r="W818" s="15">
        <f>T818-V818</f>
        <v>36000</v>
      </c>
      <c r="X818" s="17">
        <f>IF(T818&gt;0, W818/T818, 0)</f>
        <v>1</v>
      </c>
      <c r="Y818" s="8" t="s">
        <v>41</v>
      </c>
      <c r="Z818" s="10" t="s">
        <v>42</v>
      </c>
      <c r="AA818" s="10" t="s">
        <v>43</v>
      </c>
      <c r="AB818" s="10" t="s">
        <v>44</v>
      </c>
      <c r="AC818" s="8" t="s">
        <v>44</v>
      </c>
    </row>
    <row r="819" spans="1:29">
      <c r="A819" s="11">
        <v>812</v>
      </c>
      <c r="B819" s="11" t="s">
        <v>1117</v>
      </c>
      <c r="C819" s="11" t="s">
        <v>1085</v>
      </c>
      <c r="D819" s="11" t="s">
        <v>655</v>
      </c>
      <c r="E819" s="11" t="s">
        <v>34</v>
      </c>
      <c r="F819" s="11" t="s">
        <v>35</v>
      </c>
      <c r="G819" s="9" t="s">
        <v>36</v>
      </c>
      <c r="H819" s="9" t="s">
        <v>47</v>
      </c>
      <c r="I819" s="9" t="s">
        <v>48</v>
      </c>
      <c r="J819" s="11">
        <v>164</v>
      </c>
      <c r="K819" s="11" t="s">
        <v>321</v>
      </c>
      <c r="L819" s="11" t="s">
        <v>40</v>
      </c>
      <c r="M819" s="13">
        <v>1</v>
      </c>
      <c r="N819" s="16">
        <v>18000.0</v>
      </c>
      <c r="O819" s="16"/>
      <c r="P819" s="18">
        <f>IF(N819&gt;0, O819/N819, 0)</f>
        <v>0</v>
      </c>
      <c r="Q819" s="16">
        <f>N819-O819</f>
        <v>18000</v>
      </c>
      <c r="R819" s="16">
        <f>M819*N819</f>
        <v>18000</v>
      </c>
      <c r="S819" s="16">
        <f>M819*O819</f>
        <v>0</v>
      </c>
      <c r="T819" s="16">
        <f>M819*Q819</f>
        <v>18000</v>
      </c>
      <c r="U819" s="16"/>
      <c r="V819" s="16">
        <f>M819*U819</f>
        <v>0</v>
      </c>
      <c r="W819" s="16">
        <f>T819-V819</f>
        <v>18000</v>
      </c>
      <c r="X819" s="18">
        <f>IF(T819&gt;0, W819/T819, 0)</f>
        <v>1</v>
      </c>
      <c r="Y819" s="9" t="s">
        <v>41</v>
      </c>
      <c r="Z819" s="11" t="s">
        <v>42</v>
      </c>
      <c r="AA819" s="11" t="s">
        <v>43</v>
      </c>
      <c r="AB819" s="11" t="s">
        <v>44</v>
      </c>
      <c r="AC819" s="9" t="s">
        <v>44</v>
      </c>
    </row>
    <row r="820" spans="1:29">
      <c r="A820" s="10">
        <v>813</v>
      </c>
      <c r="B820" s="10" t="s">
        <v>1118</v>
      </c>
      <c r="C820" s="10" t="s">
        <v>1085</v>
      </c>
      <c r="D820" s="10" t="s">
        <v>655</v>
      </c>
      <c r="E820" s="10" t="s">
        <v>34</v>
      </c>
      <c r="F820" s="10" t="s">
        <v>35</v>
      </c>
      <c r="G820" s="8" t="s">
        <v>36</v>
      </c>
      <c r="H820" s="8" t="s">
        <v>58</v>
      </c>
      <c r="I820" s="8" t="s">
        <v>58</v>
      </c>
      <c r="J820" s="10">
        <v>158</v>
      </c>
      <c r="K820" s="10" t="s">
        <v>130</v>
      </c>
      <c r="L820" s="10" t="s">
        <v>40</v>
      </c>
      <c r="M820" s="12">
        <v>1</v>
      </c>
      <c r="N820" s="15">
        <v>9000.0</v>
      </c>
      <c r="O820" s="15"/>
      <c r="P820" s="17">
        <f>IF(N820&gt;0, O820/N820, 0)</f>
        <v>0</v>
      </c>
      <c r="Q820" s="15">
        <f>N820-O820</f>
        <v>9000</v>
      </c>
      <c r="R820" s="15">
        <f>M820*N820</f>
        <v>9000</v>
      </c>
      <c r="S820" s="15">
        <f>M820*O820</f>
        <v>0</v>
      </c>
      <c r="T820" s="15">
        <f>M820*Q820</f>
        <v>9000</v>
      </c>
      <c r="U820" s="15"/>
      <c r="V820" s="15">
        <f>M820*U820</f>
        <v>0</v>
      </c>
      <c r="W820" s="15">
        <f>T820-V820</f>
        <v>9000</v>
      </c>
      <c r="X820" s="17">
        <f>IF(T820&gt;0, W820/T820, 0)</f>
        <v>1</v>
      </c>
      <c r="Y820" s="8" t="s">
        <v>41</v>
      </c>
      <c r="Z820" s="10" t="s">
        <v>42</v>
      </c>
      <c r="AA820" s="10" t="s">
        <v>43</v>
      </c>
      <c r="AB820" s="10" t="s">
        <v>44</v>
      </c>
      <c r="AC820" s="8" t="s">
        <v>44</v>
      </c>
    </row>
    <row r="821" spans="1:29">
      <c r="A821" s="11">
        <v>814</v>
      </c>
      <c r="B821" s="11" t="s">
        <v>1119</v>
      </c>
      <c r="C821" s="11" t="s">
        <v>1085</v>
      </c>
      <c r="D821" s="11" t="s">
        <v>655</v>
      </c>
      <c r="E821" s="11" t="s">
        <v>34</v>
      </c>
      <c r="F821" s="11" t="s">
        <v>35</v>
      </c>
      <c r="G821" s="9" t="s">
        <v>36</v>
      </c>
      <c r="H821" s="9" t="s">
        <v>47</v>
      </c>
      <c r="I821" s="9" t="s">
        <v>48</v>
      </c>
      <c r="J821" s="11">
        <v>164</v>
      </c>
      <c r="K821" s="11" t="s">
        <v>321</v>
      </c>
      <c r="L821" s="11" t="s">
        <v>40</v>
      </c>
      <c r="M821" s="13">
        <v>1</v>
      </c>
      <c r="N821" s="16">
        <v>18000.0</v>
      </c>
      <c r="O821" s="16"/>
      <c r="P821" s="18">
        <f>IF(N821&gt;0, O821/N821, 0)</f>
        <v>0</v>
      </c>
      <c r="Q821" s="16">
        <f>N821-O821</f>
        <v>18000</v>
      </c>
      <c r="R821" s="16">
        <f>M821*N821</f>
        <v>18000</v>
      </c>
      <c r="S821" s="16">
        <f>M821*O821</f>
        <v>0</v>
      </c>
      <c r="T821" s="16">
        <f>M821*Q821</f>
        <v>18000</v>
      </c>
      <c r="U821" s="16"/>
      <c r="V821" s="16">
        <f>M821*U821</f>
        <v>0</v>
      </c>
      <c r="W821" s="16">
        <f>T821-V821</f>
        <v>18000</v>
      </c>
      <c r="X821" s="18">
        <f>IF(T821&gt;0, W821/T821, 0)</f>
        <v>1</v>
      </c>
      <c r="Y821" s="9" t="s">
        <v>41</v>
      </c>
      <c r="Z821" s="11" t="s">
        <v>42</v>
      </c>
      <c r="AA821" s="11" t="s">
        <v>43</v>
      </c>
      <c r="AB821" s="11" t="s">
        <v>44</v>
      </c>
      <c r="AC821" s="9" t="s">
        <v>44</v>
      </c>
    </row>
    <row r="822" spans="1:29">
      <c r="A822" s="10">
        <v>815</v>
      </c>
      <c r="B822" s="10" t="s">
        <v>1120</v>
      </c>
      <c r="C822" s="10" t="s">
        <v>1085</v>
      </c>
      <c r="D822" s="10" t="s">
        <v>655</v>
      </c>
      <c r="E822" s="10" t="s">
        <v>34</v>
      </c>
      <c r="F822" s="10" t="s">
        <v>35</v>
      </c>
      <c r="G822" s="8" t="s">
        <v>36</v>
      </c>
      <c r="H822" s="8" t="s">
        <v>37</v>
      </c>
      <c r="I822" s="8" t="s">
        <v>38</v>
      </c>
      <c r="J822" s="10">
        <v>164</v>
      </c>
      <c r="K822" s="10" t="s">
        <v>79</v>
      </c>
      <c r="L822" s="10" t="s">
        <v>40</v>
      </c>
      <c r="M822" s="12">
        <v>1</v>
      </c>
      <c r="N822" s="15">
        <v>8000.0</v>
      </c>
      <c r="O822" s="15"/>
      <c r="P822" s="17">
        <f>IF(N822&gt;0, O822/N822, 0)</f>
        <v>0</v>
      </c>
      <c r="Q822" s="15">
        <f>N822-O822</f>
        <v>8000</v>
      </c>
      <c r="R822" s="15">
        <f>M822*N822</f>
        <v>8000</v>
      </c>
      <c r="S822" s="15">
        <f>M822*O822</f>
        <v>0</v>
      </c>
      <c r="T822" s="15">
        <f>M822*Q822</f>
        <v>8000</v>
      </c>
      <c r="U822" s="15"/>
      <c r="V822" s="15">
        <f>M822*U822</f>
        <v>0</v>
      </c>
      <c r="W822" s="15">
        <f>T822-V822</f>
        <v>8000</v>
      </c>
      <c r="X822" s="17">
        <f>IF(T822&gt;0, W822/T822, 0)</f>
        <v>1</v>
      </c>
      <c r="Y822" s="8" t="s">
        <v>41</v>
      </c>
      <c r="Z822" s="10" t="s">
        <v>42</v>
      </c>
      <c r="AA822" s="10" t="s">
        <v>43</v>
      </c>
      <c r="AB822" s="10" t="s">
        <v>44</v>
      </c>
      <c r="AC822" s="8" t="s">
        <v>44</v>
      </c>
    </row>
    <row r="823" spans="1:29">
      <c r="A823" s="11">
        <v>816</v>
      </c>
      <c r="B823" s="11" t="s">
        <v>1121</v>
      </c>
      <c r="C823" s="11" t="s">
        <v>1085</v>
      </c>
      <c r="D823" s="11" t="s">
        <v>655</v>
      </c>
      <c r="E823" s="11" t="s">
        <v>70</v>
      </c>
      <c r="F823" s="11" t="s">
        <v>35</v>
      </c>
      <c r="G823" s="9" t="s">
        <v>36</v>
      </c>
      <c r="H823" s="9" t="s">
        <v>37</v>
      </c>
      <c r="I823" s="9" t="s">
        <v>38</v>
      </c>
      <c r="J823" s="11">
        <v>158</v>
      </c>
      <c r="K823" s="11" t="s">
        <v>39</v>
      </c>
      <c r="L823" s="11" t="s">
        <v>40</v>
      </c>
      <c r="M823" s="13">
        <v>1</v>
      </c>
      <c r="N823" s="16">
        <v>10000.0</v>
      </c>
      <c r="O823" s="16"/>
      <c r="P823" s="18">
        <f>IF(N823&gt;0, O823/N823, 0)</f>
        <v>0</v>
      </c>
      <c r="Q823" s="16">
        <f>N823-O823</f>
        <v>10000</v>
      </c>
      <c r="R823" s="16">
        <f>M823*N823</f>
        <v>10000</v>
      </c>
      <c r="S823" s="16">
        <f>M823*O823</f>
        <v>0</v>
      </c>
      <c r="T823" s="16">
        <f>M823*Q823</f>
        <v>10000</v>
      </c>
      <c r="U823" s="16"/>
      <c r="V823" s="16">
        <f>M823*U823</f>
        <v>0</v>
      </c>
      <c r="W823" s="16">
        <f>T823-V823</f>
        <v>10000</v>
      </c>
      <c r="X823" s="18">
        <f>IF(T823&gt;0, W823/T823, 0)</f>
        <v>1</v>
      </c>
      <c r="Y823" s="9" t="s">
        <v>41</v>
      </c>
      <c r="Z823" s="11" t="s">
        <v>42</v>
      </c>
      <c r="AA823" s="11" t="s">
        <v>73</v>
      </c>
      <c r="AB823" s="11" t="s">
        <v>44</v>
      </c>
      <c r="AC823" s="9" t="s">
        <v>44</v>
      </c>
    </row>
    <row r="824" spans="1:29">
      <c r="A824" s="10">
        <v>817</v>
      </c>
      <c r="B824" s="10" t="s">
        <v>1122</v>
      </c>
      <c r="C824" s="10" t="s">
        <v>1085</v>
      </c>
      <c r="D824" s="10" t="s">
        <v>655</v>
      </c>
      <c r="E824" s="10" t="s">
        <v>70</v>
      </c>
      <c r="F824" s="10" t="s">
        <v>35</v>
      </c>
      <c r="G824" s="8" t="s">
        <v>36</v>
      </c>
      <c r="H824" s="8" t="s">
        <v>71</v>
      </c>
      <c r="I824" s="8" t="s">
        <v>71</v>
      </c>
      <c r="J824" s="10">
        <v>158</v>
      </c>
      <c r="K824" s="10" t="s">
        <v>263</v>
      </c>
      <c r="L824" s="10" t="s">
        <v>40</v>
      </c>
      <c r="M824" s="12">
        <v>1</v>
      </c>
      <c r="N824" s="15">
        <v>18000.0</v>
      </c>
      <c r="O824" s="15"/>
      <c r="P824" s="17">
        <f>IF(N824&gt;0, O824/N824, 0)</f>
        <v>0</v>
      </c>
      <c r="Q824" s="15">
        <f>N824-O824</f>
        <v>18000</v>
      </c>
      <c r="R824" s="15">
        <f>M824*N824</f>
        <v>18000</v>
      </c>
      <c r="S824" s="15">
        <f>M824*O824</f>
        <v>0</v>
      </c>
      <c r="T824" s="15">
        <f>M824*Q824</f>
        <v>18000</v>
      </c>
      <c r="U824" s="15"/>
      <c r="V824" s="15">
        <f>M824*U824</f>
        <v>0</v>
      </c>
      <c r="W824" s="15">
        <f>T824-V824</f>
        <v>18000</v>
      </c>
      <c r="X824" s="17">
        <f>IF(T824&gt;0, W824/T824, 0)</f>
        <v>1</v>
      </c>
      <c r="Y824" s="8" t="s">
        <v>41</v>
      </c>
      <c r="Z824" s="10" t="s">
        <v>42</v>
      </c>
      <c r="AA824" s="10" t="s">
        <v>73</v>
      </c>
      <c r="AB824" s="10" t="s">
        <v>44</v>
      </c>
      <c r="AC824" s="8" t="s">
        <v>44</v>
      </c>
    </row>
    <row r="825" spans="1:29">
      <c r="A825" s="11">
        <v>818</v>
      </c>
      <c r="B825" s="11" t="s">
        <v>1123</v>
      </c>
      <c r="C825" s="11" t="s">
        <v>1085</v>
      </c>
      <c r="D825" s="11" t="s">
        <v>655</v>
      </c>
      <c r="E825" s="11" t="s">
        <v>34</v>
      </c>
      <c r="F825" s="11" t="s">
        <v>35</v>
      </c>
      <c r="G825" s="9" t="s">
        <v>36</v>
      </c>
      <c r="H825" s="9" t="s">
        <v>58</v>
      </c>
      <c r="I825" s="9" t="s">
        <v>58</v>
      </c>
      <c r="J825" s="11">
        <v>152</v>
      </c>
      <c r="K825" s="11" t="s">
        <v>332</v>
      </c>
      <c r="L825" s="11" t="s">
        <v>40</v>
      </c>
      <c r="M825" s="13">
        <v>1</v>
      </c>
      <c r="N825" s="16">
        <v>7500.0</v>
      </c>
      <c r="O825" s="16"/>
      <c r="P825" s="18">
        <f>IF(N825&gt;0, O825/N825, 0)</f>
        <v>0</v>
      </c>
      <c r="Q825" s="16">
        <f>N825-O825</f>
        <v>7500</v>
      </c>
      <c r="R825" s="16">
        <f>M825*N825</f>
        <v>7500</v>
      </c>
      <c r="S825" s="16">
        <f>M825*O825</f>
        <v>0</v>
      </c>
      <c r="T825" s="16">
        <f>M825*Q825</f>
        <v>7500</v>
      </c>
      <c r="U825" s="16"/>
      <c r="V825" s="16">
        <f>M825*U825</f>
        <v>0</v>
      </c>
      <c r="W825" s="16">
        <f>T825-V825</f>
        <v>7500</v>
      </c>
      <c r="X825" s="18">
        <f>IF(T825&gt;0, W825/T825, 0)</f>
        <v>1</v>
      </c>
      <c r="Y825" s="9" t="s">
        <v>41</v>
      </c>
      <c r="Z825" s="11" t="s">
        <v>42</v>
      </c>
      <c r="AA825" s="11" t="s">
        <v>43</v>
      </c>
      <c r="AB825" s="11" t="s">
        <v>44</v>
      </c>
      <c r="AC825" s="9" t="s">
        <v>44</v>
      </c>
    </row>
    <row r="826" spans="1:29">
      <c r="A826" s="10">
        <v>819</v>
      </c>
      <c r="B826" s="10" t="s">
        <v>1124</v>
      </c>
      <c r="C826" s="10" t="s">
        <v>1085</v>
      </c>
      <c r="D826" s="10" t="s">
        <v>655</v>
      </c>
      <c r="E826" s="10" t="s">
        <v>34</v>
      </c>
      <c r="F826" s="10" t="s">
        <v>35</v>
      </c>
      <c r="G826" s="8" t="s">
        <v>36</v>
      </c>
      <c r="H826" s="8" t="s">
        <v>37</v>
      </c>
      <c r="I826" s="8" t="s">
        <v>38</v>
      </c>
      <c r="J826" s="10">
        <v>164</v>
      </c>
      <c r="K826" s="10" t="s">
        <v>79</v>
      </c>
      <c r="L826" s="10" t="s">
        <v>40</v>
      </c>
      <c r="M826" s="12">
        <v>1</v>
      </c>
      <c r="N826" s="15">
        <v>8000.0</v>
      </c>
      <c r="O826" s="15"/>
      <c r="P826" s="17">
        <f>IF(N826&gt;0, O826/N826, 0)</f>
        <v>0</v>
      </c>
      <c r="Q826" s="15">
        <f>N826-O826</f>
        <v>8000</v>
      </c>
      <c r="R826" s="15">
        <f>M826*N826</f>
        <v>8000</v>
      </c>
      <c r="S826" s="15">
        <f>M826*O826</f>
        <v>0</v>
      </c>
      <c r="T826" s="15">
        <f>M826*Q826</f>
        <v>8000</v>
      </c>
      <c r="U826" s="15"/>
      <c r="V826" s="15">
        <f>M826*U826</f>
        <v>0</v>
      </c>
      <c r="W826" s="15">
        <f>T826-V826</f>
        <v>8000</v>
      </c>
      <c r="X826" s="17">
        <f>IF(T826&gt;0, W826/T826, 0)</f>
        <v>1</v>
      </c>
      <c r="Y826" s="8" t="s">
        <v>41</v>
      </c>
      <c r="Z826" s="10" t="s">
        <v>42</v>
      </c>
      <c r="AA826" s="10" t="s">
        <v>43</v>
      </c>
      <c r="AB826" s="10" t="s">
        <v>44</v>
      </c>
      <c r="AC826" s="8" t="s">
        <v>44</v>
      </c>
    </row>
    <row r="827" spans="1:29">
      <c r="A827" s="11">
        <v>820</v>
      </c>
      <c r="B827" s="11" t="s">
        <v>1125</v>
      </c>
      <c r="C827" s="11" t="s">
        <v>1085</v>
      </c>
      <c r="D827" s="11" t="s">
        <v>655</v>
      </c>
      <c r="E827" s="11" t="s">
        <v>70</v>
      </c>
      <c r="F827" s="11" t="s">
        <v>35</v>
      </c>
      <c r="G827" s="9" t="s">
        <v>52</v>
      </c>
      <c r="H827" s="9" t="s">
        <v>65</v>
      </c>
      <c r="I827" s="9" t="s">
        <v>151</v>
      </c>
      <c r="J827" s="11">
        <v>140</v>
      </c>
      <c r="K827" s="11" t="s">
        <v>224</v>
      </c>
      <c r="L827" s="11" t="s">
        <v>40</v>
      </c>
      <c r="M827" s="13">
        <v>1</v>
      </c>
      <c r="N827" s="16">
        <v>10000.0</v>
      </c>
      <c r="O827" s="16"/>
      <c r="P827" s="18">
        <f>IF(N827&gt;0, O827/N827, 0)</f>
        <v>0</v>
      </c>
      <c r="Q827" s="16">
        <f>N827-O827</f>
        <v>10000</v>
      </c>
      <c r="R827" s="16">
        <f>M827*N827</f>
        <v>10000</v>
      </c>
      <c r="S827" s="16">
        <f>M827*O827</f>
        <v>0</v>
      </c>
      <c r="T827" s="16">
        <f>M827*Q827</f>
        <v>10000</v>
      </c>
      <c r="U827" s="16"/>
      <c r="V827" s="16">
        <f>M827*U827</f>
        <v>0</v>
      </c>
      <c r="W827" s="16">
        <f>T827-V827</f>
        <v>10000</v>
      </c>
      <c r="X827" s="18">
        <f>IF(T827&gt;0, W827/T827, 0)</f>
        <v>1</v>
      </c>
      <c r="Y827" s="9" t="s">
        <v>41</v>
      </c>
      <c r="Z827" s="11" t="s">
        <v>42</v>
      </c>
      <c r="AA827" s="11" t="s">
        <v>73</v>
      </c>
      <c r="AB827" s="11" t="s">
        <v>44</v>
      </c>
      <c r="AC827" s="9" t="s">
        <v>44</v>
      </c>
    </row>
    <row r="828" spans="1:29">
      <c r="A828" s="10">
        <v>821</v>
      </c>
      <c r="B828" s="10" t="s">
        <v>1126</v>
      </c>
      <c r="C828" s="10" t="s">
        <v>1085</v>
      </c>
      <c r="D828" s="10" t="s">
        <v>655</v>
      </c>
      <c r="E828" s="10" t="s">
        <v>70</v>
      </c>
      <c r="F828" s="10" t="s">
        <v>35</v>
      </c>
      <c r="G828" s="8" t="s">
        <v>52</v>
      </c>
      <c r="H828" s="8" t="s">
        <v>58</v>
      </c>
      <c r="I828" s="8" t="s">
        <v>58</v>
      </c>
      <c r="J828" s="10">
        <v>140</v>
      </c>
      <c r="K828" s="10" t="s">
        <v>600</v>
      </c>
      <c r="L828" s="10" t="s">
        <v>40</v>
      </c>
      <c r="M828" s="12">
        <v>1</v>
      </c>
      <c r="N828" s="15">
        <v>8000.0</v>
      </c>
      <c r="O828" s="15"/>
      <c r="P828" s="17">
        <f>IF(N828&gt;0, O828/N828, 0)</f>
        <v>0</v>
      </c>
      <c r="Q828" s="15">
        <f>N828-O828</f>
        <v>8000</v>
      </c>
      <c r="R828" s="15">
        <f>M828*N828</f>
        <v>8000</v>
      </c>
      <c r="S828" s="15">
        <f>M828*O828</f>
        <v>0</v>
      </c>
      <c r="T828" s="15">
        <f>M828*Q828</f>
        <v>8000</v>
      </c>
      <c r="U828" s="15"/>
      <c r="V828" s="15">
        <f>M828*U828</f>
        <v>0</v>
      </c>
      <c r="W828" s="15">
        <f>T828-V828</f>
        <v>8000</v>
      </c>
      <c r="X828" s="17">
        <f>IF(T828&gt;0, W828/T828, 0)</f>
        <v>1</v>
      </c>
      <c r="Y828" s="8" t="s">
        <v>41</v>
      </c>
      <c r="Z828" s="10" t="s">
        <v>42</v>
      </c>
      <c r="AA828" s="10" t="s">
        <v>73</v>
      </c>
      <c r="AB828" s="10" t="s">
        <v>44</v>
      </c>
      <c r="AC828" s="8" t="s">
        <v>44</v>
      </c>
    </row>
    <row r="829" spans="1:29">
      <c r="A829" s="11">
        <v>822</v>
      </c>
      <c r="B829" s="11" t="s">
        <v>1127</v>
      </c>
      <c r="C829" s="11" t="s">
        <v>1085</v>
      </c>
      <c r="D829" s="11" t="s">
        <v>655</v>
      </c>
      <c r="E829" s="11" t="s">
        <v>34</v>
      </c>
      <c r="F829" s="11" t="s">
        <v>35</v>
      </c>
      <c r="G829" s="9" t="s">
        <v>52</v>
      </c>
      <c r="H829" s="9" t="s">
        <v>53</v>
      </c>
      <c r="I829" s="9" t="s">
        <v>53</v>
      </c>
      <c r="J829" s="11">
        <v>140</v>
      </c>
      <c r="K829" s="11" t="s">
        <v>282</v>
      </c>
      <c r="L829" s="11" t="s">
        <v>55</v>
      </c>
      <c r="M829" s="13">
        <v>1</v>
      </c>
      <c r="N829" s="16">
        <v>8000.0</v>
      </c>
      <c r="O829" s="16"/>
      <c r="P829" s="18">
        <f>IF(N829&gt;0, O829/N829, 0)</f>
        <v>0</v>
      </c>
      <c r="Q829" s="16">
        <f>N829-O829</f>
        <v>8000</v>
      </c>
      <c r="R829" s="16">
        <f>M829*N829</f>
        <v>8000</v>
      </c>
      <c r="S829" s="16">
        <f>M829*O829</f>
        <v>0</v>
      </c>
      <c r="T829" s="16">
        <f>M829*Q829</f>
        <v>8000</v>
      </c>
      <c r="U829" s="16"/>
      <c r="V829" s="16">
        <f>M829*U829</f>
        <v>0</v>
      </c>
      <c r="W829" s="16">
        <f>T829-V829</f>
        <v>8000</v>
      </c>
      <c r="X829" s="18">
        <f>IF(T829&gt;0, W829/T829, 0)</f>
        <v>1</v>
      </c>
      <c r="Y829" s="9" t="s">
        <v>41</v>
      </c>
      <c r="Z829" s="11" t="s">
        <v>42</v>
      </c>
      <c r="AA829" s="11" t="s">
        <v>43</v>
      </c>
      <c r="AB829" s="11" t="s">
        <v>44</v>
      </c>
      <c r="AC829" s="9" t="s">
        <v>44</v>
      </c>
    </row>
    <row r="830" spans="1:29">
      <c r="A830" s="10">
        <v>823</v>
      </c>
      <c r="B830" s="10" t="s">
        <v>1128</v>
      </c>
      <c r="C830" s="10" t="s">
        <v>1085</v>
      </c>
      <c r="D830" s="10" t="s">
        <v>655</v>
      </c>
      <c r="E830" s="10" t="s">
        <v>34</v>
      </c>
      <c r="F830" s="10" t="s">
        <v>35</v>
      </c>
      <c r="G830" s="8" t="s">
        <v>52</v>
      </c>
      <c r="H830" s="8" t="s">
        <v>71</v>
      </c>
      <c r="I830" s="8" t="s">
        <v>71</v>
      </c>
      <c r="J830" s="10">
        <v>140</v>
      </c>
      <c r="K830" s="10" t="s">
        <v>228</v>
      </c>
      <c r="L830" s="10" t="s">
        <v>40</v>
      </c>
      <c r="M830" s="12">
        <v>1</v>
      </c>
      <c r="N830" s="15">
        <v>16000.0</v>
      </c>
      <c r="O830" s="15"/>
      <c r="P830" s="17">
        <f>IF(N830&gt;0, O830/N830, 0)</f>
        <v>0</v>
      </c>
      <c r="Q830" s="15">
        <f>N830-O830</f>
        <v>16000</v>
      </c>
      <c r="R830" s="15">
        <f>M830*N830</f>
        <v>16000</v>
      </c>
      <c r="S830" s="15">
        <f>M830*O830</f>
        <v>0</v>
      </c>
      <c r="T830" s="15">
        <f>M830*Q830</f>
        <v>16000</v>
      </c>
      <c r="U830" s="15"/>
      <c r="V830" s="15">
        <f>M830*U830</f>
        <v>0</v>
      </c>
      <c r="W830" s="15">
        <f>T830-V830</f>
        <v>16000</v>
      </c>
      <c r="X830" s="17">
        <f>IF(T830&gt;0, W830/T830, 0)</f>
        <v>1</v>
      </c>
      <c r="Y830" s="8" t="s">
        <v>41</v>
      </c>
      <c r="Z830" s="10" t="s">
        <v>42</v>
      </c>
      <c r="AA830" s="10" t="s">
        <v>43</v>
      </c>
      <c r="AB830" s="10" t="s">
        <v>44</v>
      </c>
      <c r="AC830" s="8" t="s">
        <v>44</v>
      </c>
    </row>
    <row r="831" spans="1:29">
      <c r="A831" s="11">
        <v>824</v>
      </c>
      <c r="B831" s="11" t="s">
        <v>1129</v>
      </c>
      <c r="C831" s="11" t="s">
        <v>1085</v>
      </c>
      <c r="D831" s="11" t="s">
        <v>655</v>
      </c>
      <c r="E831" s="11" t="s">
        <v>34</v>
      </c>
      <c r="F831" s="11" t="s">
        <v>35</v>
      </c>
      <c r="G831" s="9" t="s">
        <v>52</v>
      </c>
      <c r="H831" s="9" t="s">
        <v>37</v>
      </c>
      <c r="I831" s="9" t="s">
        <v>38</v>
      </c>
      <c r="J831" s="11">
        <v>140</v>
      </c>
      <c r="K831" s="11" t="s">
        <v>226</v>
      </c>
      <c r="L831" s="11" t="s">
        <v>55</v>
      </c>
      <c r="M831" s="13">
        <v>2</v>
      </c>
      <c r="N831" s="16">
        <v>7000.0</v>
      </c>
      <c r="O831" s="16"/>
      <c r="P831" s="18">
        <f>IF(N831&gt;0, O831/N831, 0)</f>
        <v>0</v>
      </c>
      <c r="Q831" s="16">
        <f>N831-O831</f>
        <v>7000</v>
      </c>
      <c r="R831" s="16">
        <f>M831*N831</f>
        <v>14000</v>
      </c>
      <c r="S831" s="16">
        <f>M831*O831</f>
        <v>0</v>
      </c>
      <c r="T831" s="16">
        <f>M831*Q831</f>
        <v>14000</v>
      </c>
      <c r="U831" s="16"/>
      <c r="V831" s="16">
        <f>M831*U831</f>
        <v>0</v>
      </c>
      <c r="W831" s="16">
        <f>T831-V831</f>
        <v>14000</v>
      </c>
      <c r="X831" s="18">
        <f>IF(T831&gt;0, W831/T831, 0)</f>
        <v>1</v>
      </c>
      <c r="Y831" s="9" t="s">
        <v>41</v>
      </c>
      <c r="Z831" s="11" t="s">
        <v>42</v>
      </c>
      <c r="AA831" s="11" t="s">
        <v>43</v>
      </c>
      <c r="AB831" s="11" t="s">
        <v>44</v>
      </c>
      <c r="AC831" s="9" t="s">
        <v>44</v>
      </c>
    </row>
    <row r="832" spans="1:29">
      <c r="A832" s="10">
        <v>825</v>
      </c>
      <c r="B832" s="10" t="s">
        <v>1130</v>
      </c>
      <c r="C832" s="10" t="s">
        <v>1085</v>
      </c>
      <c r="D832" s="10" t="s">
        <v>655</v>
      </c>
      <c r="E832" s="10" t="s">
        <v>34</v>
      </c>
      <c r="F832" s="10" t="s">
        <v>35</v>
      </c>
      <c r="G832" s="8" t="s">
        <v>52</v>
      </c>
      <c r="H832" s="8" t="s">
        <v>71</v>
      </c>
      <c r="I832" s="8" t="s">
        <v>71</v>
      </c>
      <c r="J832" s="10">
        <v>128</v>
      </c>
      <c r="K832" s="10" t="s">
        <v>112</v>
      </c>
      <c r="L832" s="10" t="s">
        <v>40</v>
      </c>
      <c r="M832" s="12">
        <v>1</v>
      </c>
      <c r="N832" s="15">
        <v>16000.0</v>
      </c>
      <c r="O832" s="15"/>
      <c r="P832" s="17">
        <f>IF(N832&gt;0, O832/N832, 0)</f>
        <v>0</v>
      </c>
      <c r="Q832" s="15">
        <f>N832-O832</f>
        <v>16000</v>
      </c>
      <c r="R832" s="15">
        <f>M832*N832</f>
        <v>16000</v>
      </c>
      <c r="S832" s="15">
        <f>M832*O832</f>
        <v>0</v>
      </c>
      <c r="T832" s="15">
        <f>M832*Q832</f>
        <v>16000</v>
      </c>
      <c r="U832" s="15"/>
      <c r="V832" s="15">
        <f>M832*U832</f>
        <v>0</v>
      </c>
      <c r="W832" s="15">
        <f>T832-V832</f>
        <v>16000</v>
      </c>
      <c r="X832" s="17">
        <f>IF(T832&gt;0, W832/T832, 0)</f>
        <v>1</v>
      </c>
      <c r="Y832" s="8" t="s">
        <v>41</v>
      </c>
      <c r="Z832" s="10" t="s">
        <v>42</v>
      </c>
      <c r="AA832" s="10" t="s">
        <v>43</v>
      </c>
      <c r="AB832" s="10" t="s">
        <v>44</v>
      </c>
      <c r="AC832" s="8" t="s">
        <v>44</v>
      </c>
    </row>
    <row r="833" spans="1:29">
      <c r="A833" s="11">
        <v>826</v>
      </c>
      <c r="B833" s="11" t="s">
        <v>1131</v>
      </c>
      <c r="C833" s="11" t="s">
        <v>1085</v>
      </c>
      <c r="D833" s="11" t="s">
        <v>655</v>
      </c>
      <c r="E833" s="11" t="s">
        <v>34</v>
      </c>
      <c r="F833" s="11" t="s">
        <v>35</v>
      </c>
      <c r="G833" s="9" t="s">
        <v>52</v>
      </c>
      <c r="H833" s="9" t="s">
        <v>71</v>
      </c>
      <c r="I833" s="9" t="s">
        <v>71</v>
      </c>
      <c r="J833" s="11">
        <v>152</v>
      </c>
      <c r="K833" s="11" t="s">
        <v>353</v>
      </c>
      <c r="L833" s="11" t="s">
        <v>40</v>
      </c>
      <c r="M833" s="13">
        <v>1</v>
      </c>
      <c r="N833" s="16">
        <v>16000.0</v>
      </c>
      <c r="O833" s="16"/>
      <c r="P833" s="18">
        <f>IF(N833&gt;0, O833/N833, 0)</f>
        <v>0</v>
      </c>
      <c r="Q833" s="16">
        <f>N833-O833</f>
        <v>16000</v>
      </c>
      <c r="R833" s="16">
        <f>M833*N833</f>
        <v>16000</v>
      </c>
      <c r="S833" s="16">
        <f>M833*O833</f>
        <v>0</v>
      </c>
      <c r="T833" s="16">
        <f>M833*Q833</f>
        <v>16000</v>
      </c>
      <c r="U833" s="16"/>
      <c r="V833" s="16">
        <f>M833*U833</f>
        <v>0</v>
      </c>
      <c r="W833" s="16">
        <f>T833-V833</f>
        <v>16000</v>
      </c>
      <c r="X833" s="18">
        <f>IF(T833&gt;0, W833/T833, 0)</f>
        <v>1</v>
      </c>
      <c r="Y833" s="9" t="s">
        <v>41</v>
      </c>
      <c r="Z833" s="11" t="s">
        <v>42</v>
      </c>
      <c r="AA833" s="11" t="s">
        <v>43</v>
      </c>
      <c r="AB833" s="11" t="s">
        <v>44</v>
      </c>
      <c r="AC833" s="9" t="s">
        <v>44</v>
      </c>
    </row>
    <row r="834" spans="1:29">
      <c r="A834" s="10">
        <v>827</v>
      </c>
      <c r="B834" s="10" t="s">
        <v>1132</v>
      </c>
      <c r="C834" s="10" t="s">
        <v>1085</v>
      </c>
      <c r="D834" s="10" t="s">
        <v>655</v>
      </c>
      <c r="E834" s="10" t="s">
        <v>34</v>
      </c>
      <c r="F834" s="10" t="s">
        <v>35</v>
      </c>
      <c r="G834" s="8" t="s">
        <v>52</v>
      </c>
      <c r="H834" s="8" t="s">
        <v>37</v>
      </c>
      <c r="I834" s="8" t="s">
        <v>38</v>
      </c>
      <c r="J834" s="10">
        <v>128</v>
      </c>
      <c r="K834" s="10" t="s">
        <v>159</v>
      </c>
      <c r="L834" s="10" t="s">
        <v>55</v>
      </c>
      <c r="M834" s="12">
        <v>1</v>
      </c>
      <c r="N834" s="15">
        <v>7000.0</v>
      </c>
      <c r="O834" s="15"/>
      <c r="P834" s="17">
        <f>IF(N834&gt;0, O834/N834, 0)</f>
        <v>0</v>
      </c>
      <c r="Q834" s="15">
        <f>N834-O834</f>
        <v>7000</v>
      </c>
      <c r="R834" s="15">
        <f>M834*N834</f>
        <v>7000</v>
      </c>
      <c r="S834" s="15">
        <f>M834*O834</f>
        <v>0</v>
      </c>
      <c r="T834" s="15">
        <f>M834*Q834</f>
        <v>7000</v>
      </c>
      <c r="U834" s="15"/>
      <c r="V834" s="15">
        <f>M834*U834</f>
        <v>0</v>
      </c>
      <c r="W834" s="15">
        <f>T834-V834</f>
        <v>7000</v>
      </c>
      <c r="X834" s="17">
        <f>IF(T834&gt;0, W834/T834, 0)</f>
        <v>1</v>
      </c>
      <c r="Y834" s="8" t="s">
        <v>41</v>
      </c>
      <c r="Z834" s="10" t="s">
        <v>42</v>
      </c>
      <c r="AA834" s="10" t="s">
        <v>43</v>
      </c>
      <c r="AB834" s="10" t="s">
        <v>44</v>
      </c>
      <c r="AC834" s="8" t="s">
        <v>44</v>
      </c>
    </row>
    <row r="835" spans="1:29">
      <c r="A835" s="11">
        <v>828</v>
      </c>
      <c r="B835" s="11" t="s">
        <v>1133</v>
      </c>
      <c r="C835" s="11" t="s">
        <v>1085</v>
      </c>
      <c r="D835" s="11" t="s">
        <v>655</v>
      </c>
      <c r="E835" s="11" t="s">
        <v>34</v>
      </c>
      <c r="F835" s="11" t="s">
        <v>35</v>
      </c>
      <c r="G835" s="9" t="s">
        <v>52</v>
      </c>
      <c r="H835" s="9" t="s">
        <v>37</v>
      </c>
      <c r="I835" s="9" t="s">
        <v>38</v>
      </c>
      <c r="J835" s="11">
        <v>146</v>
      </c>
      <c r="K835" s="11" t="s">
        <v>260</v>
      </c>
      <c r="L835" s="11" t="s">
        <v>55</v>
      </c>
      <c r="M835" s="13">
        <v>1</v>
      </c>
      <c r="N835" s="16">
        <v>7000.0</v>
      </c>
      <c r="O835" s="16"/>
      <c r="P835" s="18">
        <f>IF(N835&gt;0, O835/N835, 0)</f>
        <v>0</v>
      </c>
      <c r="Q835" s="16">
        <f>N835-O835</f>
        <v>7000</v>
      </c>
      <c r="R835" s="16">
        <f>M835*N835</f>
        <v>7000</v>
      </c>
      <c r="S835" s="16">
        <f>M835*O835</f>
        <v>0</v>
      </c>
      <c r="T835" s="16">
        <f>M835*Q835</f>
        <v>7000</v>
      </c>
      <c r="U835" s="16"/>
      <c r="V835" s="16">
        <f>M835*U835</f>
        <v>0</v>
      </c>
      <c r="W835" s="16">
        <f>T835-V835</f>
        <v>7000</v>
      </c>
      <c r="X835" s="18">
        <f>IF(T835&gt;0, W835/T835, 0)</f>
        <v>1</v>
      </c>
      <c r="Y835" s="9" t="s">
        <v>41</v>
      </c>
      <c r="Z835" s="11" t="s">
        <v>42</v>
      </c>
      <c r="AA835" s="11" t="s">
        <v>43</v>
      </c>
      <c r="AB835" s="11" t="s">
        <v>44</v>
      </c>
      <c r="AC835" s="9" t="s">
        <v>44</v>
      </c>
    </row>
    <row r="836" spans="1:29">
      <c r="A836" s="10">
        <v>829</v>
      </c>
      <c r="B836" s="10" t="s">
        <v>1134</v>
      </c>
      <c r="C836" s="10" t="s">
        <v>1085</v>
      </c>
      <c r="D836" s="10" t="s">
        <v>655</v>
      </c>
      <c r="E836" s="10" t="s">
        <v>34</v>
      </c>
      <c r="F836" s="10" t="s">
        <v>35</v>
      </c>
      <c r="G836" s="8" t="s">
        <v>52</v>
      </c>
      <c r="H836" s="8" t="s">
        <v>53</v>
      </c>
      <c r="I836" s="8" t="s">
        <v>53</v>
      </c>
      <c r="J836" s="10">
        <v>140</v>
      </c>
      <c r="K836" s="10" t="s">
        <v>282</v>
      </c>
      <c r="L836" s="10" t="s">
        <v>55</v>
      </c>
      <c r="M836" s="12">
        <v>1</v>
      </c>
      <c r="N836" s="15">
        <v>9000.0</v>
      </c>
      <c r="O836" s="15"/>
      <c r="P836" s="17">
        <f>IF(N836&gt;0, O836/N836, 0)</f>
        <v>0</v>
      </c>
      <c r="Q836" s="15">
        <f>N836-O836</f>
        <v>9000</v>
      </c>
      <c r="R836" s="15">
        <f>M836*N836</f>
        <v>9000</v>
      </c>
      <c r="S836" s="15">
        <f>M836*O836</f>
        <v>0</v>
      </c>
      <c r="T836" s="15">
        <f>M836*Q836</f>
        <v>9000</v>
      </c>
      <c r="U836" s="15"/>
      <c r="V836" s="15">
        <f>M836*U836</f>
        <v>0</v>
      </c>
      <c r="W836" s="15">
        <f>T836-V836</f>
        <v>9000</v>
      </c>
      <c r="X836" s="17">
        <f>IF(T836&gt;0, W836/T836, 0)</f>
        <v>1</v>
      </c>
      <c r="Y836" s="8" t="s">
        <v>41</v>
      </c>
      <c r="Z836" s="10" t="s">
        <v>42</v>
      </c>
      <c r="AA836" s="10" t="s">
        <v>43</v>
      </c>
      <c r="AB836" s="10" t="s">
        <v>44</v>
      </c>
      <c r="AC836" s="8" t="s">
        <v>44</v>
      </c>
    </row>
    <row r="837" spans="1:29">
      <c r="A837" s="11">
        <v>830</v>
      </c>
      <c r="B837" s="11" t="s">
        <v>1135</v>
      </c>
      <c r="C837" s="11" t="s">
        <v>1085</v>
      </c>
      <c r="D837" s="11" t="s">
        <v>655</v>
      </c>
      <c r="E837" s="11" t="s">
        <v>34</v>
      </c>
      <c r="F837" s="11" t="s">
        <v>35</v>
      </c>
      <c r="G837" s="9" t="s">
        <v>52</v>
      </c>
      <c r="H837" s="9" t="s">
        <v>71</v>
      </c>
      <c r="I837" s="9" t="s">
        <v>71</v>
      </c>
      <c r="J837" s="11">
        <v>146</v>
      </c>
      <c r="K837" s="11" t="s">
        <v>385</v>
      </c>
      <c r="L837" s="11" t="s">
        <v>40</v>
      </c>
      <c r="M837" s="13">
        <v>1</v>
      </c>
      <c r="N837" s="16">
        <v>16000.0</v>
      </c>
      <c r="O837" s="16"/>
      <c r="P837" s="18">
        <f>IF(N837&gt;0, O837/N837, 0)</f>
        <v>0</v>
      </c>
      <c r="Q837" s="16">
        <f>N837-O837</f>
        <v>16000</v>
      </c>
      <c r="R837" s="16">
        <f>M837*N837</f>
        <v>16000</v>
      </c>
      <c r="S837" s="16">
        <f>M837*O837</f>
        <v>0</v>
      </c>
      <c r="T837" s="16">
        <f>M837*Q837</f>
        <v>16000</v>
      </c>
      <c r="U837" s="16"/>
      <c r="V837" s="16">
        <f>M837*U837</f>
        <v>0</v>
      </c>
      <c r="W837" s="16">
        <f>T837-V837</f>
        <v>16000</v>
      </c>
      <c r="X837" s="18">
        <f>IF(T837&gt;0, W837/T837, 0)</f>
        <v>1</v>
      </c>
      <c r="Y837" s="9" t="s">
        <v>41</v>
      </c>
      <c r="Z837" s="11" t="s">
        <v>42</v>
      </c>
      <c r="AA837" s="11" t="s">
        <v>43</v>
      </c>
      <c r="AB837" s="11" t="s">
        <v>44</v>
      </c>
      <c r="AC837" s="9" t="s">
        <v>44</v>
      </c>
    </row>
    <row r="838" spans="1:29">
      <c r="A838" s="10">
        <v>831</v>
      </c>
      <c r="B838" s="10" t="s">
        <v>1136</v>
      </c>
      <c r="C838" s="10" t="s">
        <v>1085</v>
      </c>
      <c r="D838" s="10" t="s">
        <v>655</v>
      </c>
      <c r="E838" s="10" t="s">
        <v>34</v>
      </c>
      <c r="F838" s="10" t="s">
        <v>35</v>
      </c>
      <c r="G838" s="8" t="s">
        <v>52</v>
      </c>
      <c r="H838" s="8" t="s">
        <v>37</v>
      </c>
      <c r="I838" s="8" t="s">
        <v>38</v>
      </c>
      <c r="J838" s="10">
        <v>140</v>
      </c>
      <c r="K838" s="10" t="s">
        <v>226</v>
      </c>
      <c r="L838" s="10" t="s">
        <v>55</v>
      </c>
      <c r="M838" s="12">
        <v>2</v>
      </c>
      <c r="N838" s="15">
        <v>8000.0</v>
      </c>
      <c r="O838" s="15"/>
      <c r="P838" s="17">
        <f>IF(N838&gt;0, O838/N838, 0)</f>
        <v>0</v>
      </c>
      <c r="Q838" s="15">
        <f>N838-O838</f>
        <v>8000</v>
      </c>
      <c r="R838" s="15">
        <f>M838*N838</f>
        <v>16000</v>
      </c>
      <c r="S838" s="15">
        <f>M838*O838</f>
        <v>0</v>
      </c>
      <c r="T838" s="15">
        <f>M838*Q838</f>
        <v>16000</v>
      </c>
      <c r="U838" s="15"/>
      <c r="V838" s="15">
        <f>M838*U838</f>
        <v>0</v>
      </c>
      <c r="W838" s="15">
        <f>T838-V838</f>
        <v>16000</v>
      </c>
      <c r="X838" s="17">
        <f>IF(T838&gt;0, W838/T838, 0)</f>
        <v>1</v>
      </c>
      <c r="Y838" s="8" t="s">
        <v>41</v>
      </c>
      <c r="Z838" s="10" t="s">
        <v>42</v>
      </c>
      <c r="AA838" s="10" t="s">
        <v>43</v>
      </c>
      <c r="AB838" s="10" t="s">
        <v>44</v>
      </c>
      <c r="AC838" s="8" t="s">
        <v>44</v>
      </c>
    </row>
    <row r="839" spans="1:29">
      <c r="A839" s="11">
        <v>832</v>
      </c>
      <c r="B839" s="11" t="s">
        <v>1137</v>
      </c>
      <c r="C839" s="11" t="s">
        <v>1085</v>
      </c>
      <c r="D839" s="11" t="s">
        <v>655</v>
      </c>
      <c r="E839" s="11" t="s">
        <v>34</v>
      </c>
      <c r="F839" s="11" t="s">
        <v>35</v>
      </c>
      <c r="G839" s="9" t="s">
        <v>52</v>
      </c>
      <c r="H839" s="9" t="s">
        <v>65</v>
      </c>
      <c r="I839" s="9" t="s">
        <v>151</v>
      </c>
      <c r="J839" s="11">
        <v>122</v>
      </c>
      <c r="K839" s="11" t="s">
        <v>244</v>
      </c>
      <c r="L839" s="11" t="s">
        <v>40</v>
      </c>
      <c r="M839" s="13">
        <v>1</v>
      </c>
      <c r="N839" s="16">
        <v>9000.0</v>
      </c>
      <c r="O839" s="16"/>
      <c r="P839" s="18">
        <f>IF(N839&gt;0, O839/N839, 0)</f>
        <v>0</v>
      </c>
      <c r="Q839" s="16">
        <f>N839-O839</f>
        <v>9000</v>
      </c>
      <c r="R839" s="16">
        <f>M839*N839</f>
        <v>9000</v>
      </c>
      <c r="S839" s="16">
        <f>M839*O839</f>
        <v>0</v>
      </c>
      <c r="T839" s="16">
        <f>M839*Q839</f>
        <v>9000</v>
      </c>
      <c r="U839" s="16"/>
      <c r="V839" s="16">
        <f>M839*U839</f>
        <v>0</v>
      </c>
      <c r="W839" s="16">
        <f>T839-V839</f>
        <v>9000</v>
      </c>
      <c r="X839" s="18">
        <f>IF(T839&gt;0, W839/T839, 0)</f>
        <v>1</v>
      </c>
      <c r="Y839" s="9" t="s">
        <v>41</v>
      </c>
      <c r="Z839" s="11" t="s">
        <v>42</v>
      </c>
      <c r="AA839" s="11" t="s">
        <v>43</v>
      </c>
      <c r="AB839" s="11" t="s">
        <v>44</v>
      </c>
      <c r="AC839" s="9" t="s">
        <v>44</v>
      </c>
    </row>
    <row r="840" spans="1:29">
      <c r="A840" s="10">
        <v>833</v>
      </c>
      <c r="B840" s="10" t="s">
        <v>1138</v>
      </c>
      <c r="C840" s="10" t="s">
        <v>1085</v>
      </c>
      <c r="D840" s="10" t="s">
        <v>655</v>
      </c>
      <c r="E840" s="10" t="s">
        <v>34</v>
      </c>
      <c r="F840" s="10" t="s">
        <v>35</v>
      </c>
      <c r="G840" s="8" t="s">
        <v>52</v>
      </c>
      <c r="H840" s="8" t="s">
        <v>71</v>
      </c>
      <c r="I840" s="8" t="s">
        <v>71</v>
      </c>
      <c r="J840" s="10">
        <v>128</v>
      </c>
      <c r="K840" s="10" t="s">
        <v>112</v>
      </c>
      <c r="L840" s="10" t="s">
        <v>40</v>
      </c>
      <c r="M840" s="12">
        <v>1</v>
      </c>
      <c r="N840" s="15">
        <v>16000.0</v>
      </c>
      <c r="O840" s="15"/>
      <c r="P840" s="17">
        <f>IF(N840&gt;0, O840/N840, 0)</f>
        <v>0</v>
      </c>
      <c r="Q840" s="15">
        <f>N840-O840</f>
        <v>16000</v>
      </c>
      <c r="R840" s="15">
        <f>M840*N840</f>
        <v>16000</v>
      </c>
      <c r="S840" s="15">
        <f>M840*O840</f>
        <v>0</v>
      </c>
      <c r="T840" s="15">
        <f>M840*Q840</f>
        <v>16000</v>
      </c>
      <c r="U840" s="15"/>
      <c r="V840" s="15">
        <f>M840*U840</f>
        <v>0</v>
      </c>
      <c r="W840" s="15">
        <f>T840-V840</f>
        <v>16000</v>
      </c>
      <c r="X840" s="17">
        <f>IF(T840&gt;0, W840/T840, 0)</f>
        <v>1</v>
      </c>
      <c r="Y840" s="8" t="s">
        <v>41</v>
      </c>
      <c r="Z840" s="10" t="s">
        <v>42</v>
      </c>
      <c r="AA840" s="10" t="s">
        <v>43</v>
      </c>
      <c r="AB840" s="10" t="s">
        <v>44</v>
      </c>
      <c r="AC840" s="8" t="s">
        <v>44</v>
      </c>
    </row>
    <row r="841" spans="1:29">
      <c r="A841" s="11">
        <v>834</v>
      </c>
      <c r="B841" s="11" t="s">
        <v>1139</v>
      </c>
      <c r="C841" s="11" t="s">
        <v>1085</v>
      </c>
      <c r="D841" s="11" t="s">
        <v>655</v>
      </c>
      <c r="E841" s="11" t="s">
        <v>34</v>
      </c>
      <c r="F841" s="11" t="s">
        <v>35</v>
      </c>
      <c r="G841" s="9" t="s">
        <v>52</v>
      </c>
      <c r="H841" s="9" t="s">
        <v>53</v>
      </c>
      <c r="I841" s="9" t="s">
        <v>53</v>
      </c>
      <c r="J841" s="11">
        <v>122</v>
      </c>
      <c r="K841" s="11" t="s">
        <v>84</v>
      </c>
      <c r="L841" s="11" t="s">
        <v>55</v>
      </c>
      <c r="M841" s="13">
        <v>1</v>
      </c>
      <c r="N841" s="16">
        <v>8000.0</v>
      </c>
      <c r="O841" s="16"/>
      <c r="P841" s="18">
        <f>IF(N841&gt;0, O841/N841, 0)</f>
        <v>0</v>
      </c>
      <c r="Q841" s="16">
        <f>N841-O841</f>
        <v>8000</v>
      </c>
      <c r="R841" s="16">
        <f>M841*N841</f>
        <v>8000</v>
      </c>
      <c r="S841" s="16">
        <f>M841*O841</f>
        <v>0</v>
      </c>
      <c r="T841" s="16">
        <f>M841*Q841</f>
        <v>8000</v>
      </c>
      <c r="U841" s="16"/>
      <c r="V841" s="16">
        <f>M841*U841</f>
        <v>0</v>
      </c>
      <c r="W841" s="16">
        <f>T841-V841</f>
        <v>8000</v>
      </c>
      <c r="X841" s="18">
        <f>IF(T841&gt;0, W841/T841, 0)</f>
        <v>1</v>
      </c>
      <c r="Y841" s="9" t="s">
        <v>41</v>
      </c>
      <c r="Z841" s="11" t="s">
        <v>42</v>
      </c>
      <c r="AA841" s="11" t="s">
        <v>43</v>
      </c>
      <c r="AB841" s="11" t="s">
        <v>44</v>
      </c>
      <c r="AC841" s="9" t="s">
        <v>44</v>
      </c>
    </row>
    <row r="842" spans="1:29">
      <c r="A842" s="10">
        <v>835</v>
      </c>
      <c r="B842" s="10" t="s">
        <v>1140</v>
      </c>
      <c r="C842" s="10" t="s">
        <v>1085</v>
      </c>
      <c r="D842" s="10" t="s">
        <v>655</v>
      </c>
      <c r="E842" s="10" t="s">
        <v>34</v>
      </c>
      <c r="F842" s="10" t="s">
        <v>35</v>
      </c>
      <c r="G842" s="8" t="s">
        <v>52</v>
      </c>
      <c r="H842" s="8" t="s">
        <v>37</v>
      </c>
      <c r="I842" s="8" t="s">
        <v>38</v>
      </c>
      <c r="J842" s="10">
        <v>122</v>
      </c>
      <c r="K842" s="10" t="s">
        <v>107</v>
      </c>
      <c r="L842" s="10" t="s">
        <v>55</v>
      </c>
      <c r="M842" s="12">
        <v>1</v>
      </c>
      <c r="N842" s="15">
        <v>7000.0</v>
      </c>
      <c r="O842" s="15"/>
      <c r="P842" s="17">
        <f>IF(N842&gt;0, O842/N842, 0)</f>
        <v>0</v>
      </c>
      <c r="Q842" s="15">
        <f>N842-O842</f>
        <v>7000</v>
      </c>
      <c r="R842" s="15">
        <f>M842*N842</f>
        <v>7000</v>
      </c>
      <c r="S842" s="15">
        <f>M842*O842</f>
        <v>0</v>
      </c>
      <c r="T842" s="15">
        <f>M842*Q842</f>
        <v>7000</v>
      </c>
      <c r="U842" s="15"/>
      <c r="V842" s="15">
        <f>M842*U842</f>
        <v>0</v>
      </c>
      <c r="W842" s="15">
        <f>T842-V842</f>
        <v>7000</v>
      </c>
      <c r="X842" s="17">
        <f>IF(T842&gt;0, W842/T842, 0)</f>
        <v>1</v>
      </c>
      <c r="Y842" s="8" t="s">
        <v>41</v>
      </c>
      <c r="Z842" s="10" t="s">
        <v>42</v>
      </c>
      <c r="AA842" s="10" t="s">
        <v>43</v>
      </c>
      <c r="AB842" s="10" t="s">
        <v>44</v>
      </c>
      <c r="AC842" s="8" t="s">
        <v>44</v>
      </c>
    </row>
    <row r="843" spans="1:29">
      <c r="A843" s="11">
        <v>836</v>
      </c>
      <c r="B843" s="11" t="s">
        <v>1141</v>
      </c>
      <c r="C843" s="11" t="s">
        <v>1085</v>
      </c>
      <c r="D843" s="11" t="s">
        <v>655</v>
      </c>
      <c r="E843" s="11" t="s">
        <v>70</v>
      </c>
      <c r="F843" s="11" t="s">
        <v>35</v>
      </c>
      <c r="G843" s="9" t="s">
        <v>36</v>
      </c>
      <c r="H843" s="9" t="s">
        <v>53</v>
      </c>
      <c r="I843" s="9" t="s">
        <v>53</v>
      </c>
      <c r="J843" s="11">
        <v>170</v>
      </c>
      <c r="K843" s="11" t="s">
        <v>1142</v>
      </c>
      <c r="L843" s="11" t="s">
        <v>40</v>
      </c>
      <c r="M843" s="13">
        <v>1</v>
      </c>
      <c r="N843" s="16">
        <v>10000.0</v>
      </c>
      <c r="O843" s="16"/>
      <c r="P843" s="18">
        <f>IF(N843&gt;0, O843/N843, 0)</f>
        <v>0</v>
      </c>
      <c r="Q843" s="16">
        <f>N843-O843</f>
        <v>10000</v>
      </c>
      <c r="R843" s="16">
        <f>M843*N843</f>
        <v>10000</v>
      </c>
      <c r="S843" s="16">
        <f>M843*O843</f>
        <v>0</v>
      </c>
      <c r="T843" s="16">
        <f>M843*Q843</f>
        <v>10000</v>
      </c>
      <c r="U843" s="16"/>
      <c r="V843" s="16">
        <f>M843*U843</f>
        <v>0</v>
      </c>
      <c r="W843" s="16">
        <f>T843-V843</f>
        <v>10000</v>
      </c>
      <c r="X843" s="18">
        <f>IF(T843&gt;0, W843/T843, 0)</f>
        <v>1</v>
      </c>
      <c r="Y843" s="9" t="s">
        <v>41</v>
      </c>
      <c r="Z843" s="11" t="s">
        <v>42</v>
      </c>
      <c r="AA843" s="11" t="s">
        <v>73</v>
      </c>
      <c r="AB843" s="11" t="s">
        <v>44</v>
      </c>
      <c r="AC843" s="9" t="s">
        <v>44</v>
      </c>
    </row>
    <row r="844" spans="1:29">
      <c r="A844" s="10">
        <v>837</v>
      </c>
      <c r="B844" s="10" t="s">
        <v>1143</v>
      </c>
      <c r="C844" s="10" t="s">
        <v>1085</v>
      </c>
      <c r="D844" s="10" t="s">
        <v>655</v>
      </c>
      <c r="E844" s="10" t="s">
        <v>70</v>
      </c>
      <c r="F844" s="10" t="s">
        <v>35</v>
      </c>
      <c r="G844" s="8" t="s">
        <v>36</v>
      </c>
      <c r="H844" s="8" t="s">
        <v>71</v>
      </c>
      <c r="I844" s="8" t="s">
        <v>71</v>
      </c>
      <c r="J844" s="10">
        <v>170</v>
      </c>
      <c r="K844" s="10" t="s">
        <v>182</v>
      </c>
      <c r="L844" s="10" t="s">
        <v>40</v>
      </c>
      <c r="M844" s="12">
        <v>1</v>
      </c>
      <c r="N844" s="15">
        <v>18000.0</v>
      </c>
      <c r="O844" s="15"/>
      <c r="P844" s="17">
        <f>IF(N844&gt;0, O844/N844, 0)</f>
        <v>0</v>
      </c>
      <c r="Q844" s="15">
        <f>N844-O844</f>
        <v>18000</v>
      </c>
      <c r="R844" s="15">
        <f>M844*N844</f>
        <v>18000</v>
      </c>
      <c r="S844" s="15">
        <f>M844*O844</f>
        <v>0</v>
      </c>
      <c r="T844" s="15">
        <f>M844*Q844</f>
        <v>18000</v>
      </c>
      <c r="U844" s="15"/>
      <c r="V844" s="15">
        <f>M844*U844</f>
        <v>0</v>
      </c>
      <c r="W844" s="15">
        <f>T844-V844</f>
        <v>18000</v>
      </c>
      <c r="X844" s="17">
        <f>IF(T844&gt;0, W844/T844, 0)</f>
        <v>1</v>
      </c>
      <c r="Y844" s="8" t="s">
        <v>41</v>
      </c>
      <c r="Z844" s="10" t="s">
        <v>42</v>
      </c>
      <c r="AA844" s="10" t="s">
        <v>73</v>
      </c>
      <c r="AB844" s="10" t="s">
        <v>44</v>
      </c>
      <c r="AC844" s="8" t="s">
        <v>44</v>
      </c>
    </row>
    <row r="845" spans="1:29">
      <c r="A845" s="11">
        <v>838</v>
      </c>
      <c r="B845" s="11" t="s">
        <v>1144</v>
      </c>
      <c r="C845" s="11" t="s">
        <v>1085</v>
      </c>
      <c r="D845" s="11" t="s">
        <v>655</v>
      </c>
      <c r="E845" s="11" t="s">
        <v>34</v>
      </c>
      <c r="F845" s="11" t="s">
        <v>35</v>
      </c>
      <c r="G845" s="9" t="s">
        <v>52</v>
      </c>
      <c r="H845" s="9" t="s">
        <v>37</v>
      </c>
      <c r="I845" s="9" t="s">
        <v>38</v>
      </c>
      <c r="J845" s="11">
        <v>152</v>
      </c>
      <c r="K845" s="11" t="s">
        <v>154</v>
      </c>
      <c r="L845" s="11" t="s">
        <v>55</v>
      </c>
      <c r="M845" s="13">
        <v>1</v>
      </c>
      <c r="N845" s="16">
        <v>7000.0</v>
      </c>
      <c r="O845" s="16"/>
      <c r="P845" s="18">
        <f>IF(N845&gt;0, O845/N845, 0)</f>
        <v>0</v>
      </c>
      <c r="Q845" s="16">
        <f>N845-O845</f>
        <v>7000</v>
      </c>
      <c r="R845" s="16">
        <f>M845*N845</f>
        <v>7000</v>
      </c>
      <c r="S845" s="16">
        <f>M845*O845</f>
        <v>0</v>
      </c>
      <c r="T845" s="16">
        <f>M845*Q845</f>
        <v>7000</v>
      </c>
      <c r="U845" s="16"/>
      <c r="V845" s="16">
        <f>M845*U845</f>
        <v>0</v>
      </c>
      <c r="W845" s="16">
        <f>T845-V845</f>
        <v>7000</v>
      </c>
      <c r="X845" s="18">
        <f>IF(T845&gt;0, W845/T845, 0)</f>
        <v>1</v>
      </c>
      <c r="Y845" s="9" t="s">
        <v>41</v>
      </c>
      <c r="Z845" s="11" t="s">
        <v>42</v>
      </c>
      <c r="AA845" s="11" t="s">
        <v>43</v>
      </c>
      <c r="AB845" s="11" t="s">
        <v>44</v>
      </c>
      <c r="AC845" s="9" t="s">
        <v>44</v>
      </c>
    </row>
    <row r="846" spans="1:29">
      <c r="A846" s="10">
        <v>839</v>
      </c>
      <c r="B846" s="10" t="s">
        <v>1145</v>
      </c>
      <c r="C846" s="10" t="s">
        <v>1085</v>
      </c>
      <c r="D846" s="10" t="s">
        <v>655</v>
      </c>
      <c r="E846" s="10" t="s">
        <v>34</v>
      </c>
      <c r="F846" s="10" t="s">
        <v>35</v>
      </c>
      <c r="G846" s="8" t="s">
        <v>52</v>
      </c>
      <c r="H846" s="8" t="s">
        <v>53</v>
      </c>
      <c r="I846" s="8" t="s">
        <v>53</v>
      </c>
      <c r="J846" s="10">
        <v>140</v>
      </c>
      <c r="K846" s="10" t="s">
        <v>282</v>
      </c>
      <c r="L846" s="10" t="s">
        <v>55</v>
      </c>
      <c r="M846" s="12">
        <v>1</v>
      </c>
      <c r="N846" s="15">
        <v>8000.0</v>
      </c>
      <c r="O846" s="15"/>
      <c r="P846" s="17">
        <f>IF(N846&gt;0, O846/N846, 0)</f>
        <v>0</v>
      </c>
      <c r="Q846" s="15">
        <f>N846-O846</f>
        <v>8000</v>
      </c>
      <c r="R846" s="15">
        <f>M846*N846</f>
        <v>8000</v>
      </c>
      <c r="S846" s="15">
        <f>M846*O846</f>
        <v>0</v>
      </c>
      <c r="T846" s="15">
        <f>M846*Q846</f>
        <v>8000</v>
      </c>
      <c r="U846" s="15"/>
      <c r="V846" s="15">
        <f>M846*U846</f>
        <v>0</v>
      </c>
      <c r="W846" s="15">
        <f>T846-V846</f>
        <v>8000</v>
      </c>
      <c r="X846" s="17">
        <f>IF(T846&gt;0, W846/T846, 0)</f>
        <v>1</v>
      </c>
      <c r="Y846" s="8" t="s">
        <v>41</v>
      </c>
      <c r="Z846" s="10" t="s">
        <v>42</v>
      </c>
      <c r="AA846" s="10" t="s">
        <v>43</v>
      </c>
      <c r="AB846" s="10" t="s">
        <v>44</v>
      </c>
      <c r="AC846" s="8" t="s">
        <v>44</v>
      </c>
    </row>
    <row r="847" spans="1:29">
      <c r="A847" s="11">
        <v>840</v>
      </c>
      <c r="B847" s="11" t="s">
        <v>1146</v>
      </c>
      <c r="C847" s="11" t="s">
        <v>1085</v>
      </c>
      <c r="D847" s="11" t="s">
        <v>655</v>
      </c>
      <c r="E847" s="11" t="s">
        <v>34</v>
      </c>
      <c r="F847" s="11" t="s">
        <v>35</v>
      </c>
      <c r="G847" s="9" t="s">
        <v>52</v>
      </c>
      <c r="H847" s="9" t="s">
        <v>37</v>
      </c>
      <c r="I847" s="9" t="s">
        <v>38</v>
      </c>
      <c r="J847" s="11">
        <v>140</v>
      </c>
      <c r="K847" s="11" t="s">
        <v>226</v>
      </c>
      <c r="L847" s="11" t="s">
        <v>55</v>
      </c>
      <c r="M847" s="13">
        <v>1</v>
      </c>
      <c r="N847" s="16">
        <v>7000.0</v>
      </c>
      <c r="O847" s="16"/>
      <c r="P847" s="18">
        <f>IF(N847&gt;0, O847/N847, 0)</f>
        <v>0</v>
      </c>
      <c r="Q847" s="16">
        <f>N847-O847</f>
        <v>7000</v>
      </c>
      <c r="R847" s="16">
        <f>M847*N847</f>
        <v>7000</v>
      </c>
      <c r="S847" s="16">
        <f>M847*O847</f>
        <v>0</v>
      </c>
      <c r="T847" s="16">
        <f>M847*Q847</f>
        <v>7000</v>
      </c>
      <c r="U847" s="16"/>
      <c r="V847" s="16">
        <f>M847*U847</f>
        <v>0</v>
      </c>
      <c r="W847" s="16">
        <f>T847-V847</f>
        <v>7000</v>
      </c>
      <c r="X847" s="18">
        <f>IF(T847&gt;0, W847/T847, 0)</f>
        <v>1</v>
      </c>
      <c r="Y847" s="9" t="s">
        <v>41</v>
      </c>
      <c r="Z847" s="11" t="s">
        <v>42</v>
      </c>
      <c r="AA847" s="11" t="s">
        <v>43</v>
      </c>
      <c r="AB847" s="11" t="s">
        <v>44</v>
      </c>
      <c r="AC847" s="9" t="s">
        <v>44</v>
      </c>
    </row>
    <row r="848" spans="1:29">
      <c r="A848" s="10">
        <v>841</v>
      </c>
      <c r="B848" s="10" t="s">
        <v>1147</v>
      </c>
      <c r="C848" s="10" t="s">
        <v>1085</v>
      </c>
      <c r="D848" s="10" t="s">
        <v>655</v>
      </c>
      <c r="E848" s="10" t="s">
        <v>34</v>
      </c>
      <c r="F848" s="10" t="s">
        <v>35</v>
      </c>
      <c r="G848" s="8" t="s">
        <v>52</v>
      </c>
      <c r="H848" s="8" t="s">
        <v>37</v>
      </c>
      <c r="I848" s="8" t="s">
        <v>38</v>
      </c>
      <c r="J848" s="10">
        <v>122</v>
      </c>
      <c r="K848" s="10" t="s">
        <v>107</v>
      </c>
      <c r="L848" s="10" t="s">
        <v>55</v>
      </c>
      <c r="M848" s="12">
        <v>1</v>
      </c>
      <c r="N848" s="15">
        <v>7000.0</v>
      </c>
      <c r="O848" s="15"/>
      <c r="P848" s="17">
        <f>IF(N848&gt;0, O848/N848, 0)</f>
        <v>0</v>
      </c>
      <c r="Q848" s="15">
        <f>N848-O848</f>
        <v>7000</v>
      </c>
      <c r="R848" s="15">
        <f>M848*N848</f>
        <v>7000</v>
      </c>
      <c r="S848" s="15">
        <f>M848*O848</f>
        <v>0</v>
      </c>
      <c r="T848" s="15">
        <f>M848*Q848</f>
        <v>7000</v>
      </c>
      <c r="U848" s="15"/>
      <c r="V848" s="15">
        <f>M848*U848</f>
        <v>0</v>
      </c>
      <c r="W848" s="15">
        <f>T848-V848</f>
        <v>7000</v>
      </c>
      <c r="X848" s="17">
        <f>IF(T848&gt;0, W848/T848, 0)</f>
        <v>1</v>
      </c>
      <c r="Y848" s="8" t="s">
        <v>41</v>
      </c>
      <c r="Z848" s="10" t="s">
        <v>42</v>
      </c>
      <c r="AA848" s="10" t="s">
        <v>43</v>
      </c>
      <c r="AB848" s="10" t="s">
        <v>44</v>
      </c>
      <c r="AC848" s="8" t="s">
        <v>44</v>
      </c>
    </row>
    <row r="849" spans="1:29">
      <c r="A849" s="11">
        <v>842</v>
      </c>
      <c r="B849" s="11" t="s">
        <v>1148</v>
      </c>
      <c r="C849" s="11" t="s">
        <v>1085</v>
      </c>
      <c r="D849" s="11" t="s">
        <v>655</v>
      </c>
      <c r="E849" s="11" t="s">
        <v>34</v>
      </c>
      <c r="F849" s="11" t="s">
        <v>35</v>
      </c>
      <c r="G849" s="9" t="s">
        <v>52</v>
      </c>
      <c r="H849" s="9" t="s">
        <v>58</v>
      </c>
      <c r="I849" s="9" t="s">
        <v>58</v>
      </c>
      <c r="J849" s="11">
        <v>110</v>
      </c>
      <c r="K849" s="11" t="s">
        <v>961</v>
      </c>
      <c r="L849" s="11" t="s">
        <v>40</v>
      </c>
      <c r="M849" s="13">
        <v>1</v>
      </c>
      <c r="N849" s="16">
        <v>8000.0</v>
      </c>
      <c r="O849" s="16"/>
      <c r="P849" s="18">
        <f>IF(N849&gt;0, O849/N849, 0)</f>
        <v>0</v>
      </c>
      <c r="Q849" s="16">
        <f>N849-O849</f>
        <v>8000</v>
      </c>
      <c r="R849" s="16">
        <f>M849*N849</f>
        <v>8000</v>
      </c>
      <c r="S849" s="16">
        <f>M849*O849</f>
        <v>0</v>
      </c>
      <c r="T849" s="16">
        <f>M849*Q849</f>
        <v>8000</v>
      </c>
      <c r="U849" s="16"/>
      <c r="V849" s="16">
        <f>M849*U849</f>
        <v>0</v>
      </c>
      <c r="W849" s="16">
        <f>T849-V849</f>
        <v>8000</v>
      </c>
      <c r="X849" s="18">
        <f>IF(T849&gt;0, W849/T849, 0)</f>
        <v>1</v>
      </c>
      <c r="Y849" s="9" t="s">
        <v>41</v>
      </c>
      <c r="Z849" s="11" t="s">
        <v>42</v>
      </c>
      <c r="AA849" s="11" t="s">
        <v>43</v>
      </c>
      <c r="AB849" s="11" t="s">
        <v>44</v>
      </c>
      <c r="AC849" s="9" t="s">
        <v>44</v>
      </c>
    </row>
    <row r="850" spans="1:29">
      <c r="A850" s="10">
        <v>843</v>
      </c>
      <c r="B850" s="10" t="s">
        <v>1149</v>
      </c>
      <c r="C850" s="10" t="s">
        <v>1085</v>
      </c>
      <c r="D850" s="10" t="s">
        <v>655</v>
      </c>
      <c r="E850" s="10" t="s">
        <v>34</v>
      </c>
      <c r="F850" s="10" t="s">
        <v>35</v>
      </c>
      <c r="G850" s="8" t="s">
        <v>52</v>
      </c>
      <c r="H850" s="8" t="s">
        <v>53</v>
      </c>
      <c r="I850" s="8" t="s">
        <v>53</v>
      </c>
      <c r="J850" s="10">
        <v>122</v>
      </c>
      <c r="K850" s="10" t="s">
        <v>84</v>
      </c>
      <c r="L850" s="10" t="s">
        <v>55</v>
      </c>
      <c r="M850" s="12">
        <v>1</v>
      </c>
      <c r="N850" s="15">
        <v>8000.0</v>
      </c>
      <c r="O850" s="15"/>
      <c r="P850" s="17">
        <f>IF(N850&gt;0, O850/N850, 0)</f>
        <v>0</v>
      </c>
      <c r="Q850" s="15">
        <f>N850-O850</f>
        <v>8000</v>
      </c>
      <c r="R850" s="15">
        <f>M850*N850</f>
        <v>8000</v>
      </c>
      <c r="S850" s="15">
        <f>M850*O850</f>
        <v>0</v>
      </c>
      <c r="T850" s="15">
        <f>M850*Q850</f>
        <v>8000</v>
      </c>
      <c r="U850" s="15"/>
      <c r="V850" s="15">
        <f>M850*U850</f>
        <v>0</v>
      </c>
      <c r="W850" s="15">
        <f>T850-V850</f>
        <v>8000</v>
      </c>
      <c r="X850" s="17">
        <f>IF(T850&gt;0, W850/T850, 0)</f>
        <v>1</v>
      </c>
      <c r="Y850" s="8" t="s">
        <v>41</v>
      </c>
      <c r="Z850" s="10" t="s">
        <v>42</v>
      </c>
      <c r="AA850" s="10" t="s">
        <v>43</v>
      </c>
      <c r="AB850" s="10" t="s">
        <v>44</v>
      </c>
      <c r="AC850" s="8" t="s">
        <v>44</v>
      </c>
    </row>
    <row r="851" spans="1:29">
      <c r="A851" s="11">
        <v>844</v>
      </c>
      <c r="B851" s="11" t="s">
        <v>1150</v>
      </c>
      <c r="C851" s="11" t="s">
        <v>1085</v>
      </c>
      <c r="D851" s="11" t="s">
        <v>655</v>
      </c>
      <c r="E851" s="11" t="s">
        <v>34</v>
      </c>
      <c r="F851" s="11" t="s">
        <v>35</v>
      </c>
      <c r="G851" s="9" t="s">
        <v>52</v>
      </c>
      <c r="H851" s="9" t="s">
        <v>37</v>
      </c>
      <c r="I851" s="9" t="s">
        <v>38</v>
      </c>
      <c r="J851" s="11">
        <v>128</v>
      </c>
      <c r="K851" s="11" t="s">
        <v>159</v>
      </c>
      <c r="L851" s="11" t="s">
        <v>55</v>
      </c>
      <c r="M851" s="13">
        <v>1</v>
      </c>
      <c r="N851" s="16">
        <v>7000.0</v>
      </c>
      <c r="O851" s="16"/>
      <c r="P851" s="18">
        <f>IF(N851&gt;0, O851/N851, 0)</f>
        <v>0</v>
      </c>
      <c r="Q851" s="16">
        <f>N851-O851</f>
        <v>7000</v>
      </c>
      <c r="R851" s="16">
        <f>M851*N851</f>
        <v>7000</v>
      </c>
      <c r="S851" s="16">
        <f>M851*O851</f>
        <v>0</v>
      </c>
      <c r="T851" s="16">
        <f>M851*Q851</f>
        <v>7000</v>
      </c>
      <c r="U851" s="16"/>
      <c r="V851" s="16">
        <f>M851*U851</f>
        <v>0</v>
      </c>
      <c r="W851" s="16">
        <f>T851-V851</f>
        <v>7000</v>
      </c>
      <c r="X851" s="18">
        <f>IF(T851&gt;0, W851/T851, 0)</f>
        <v>1</v>
      </c>
      <c r="Y851" s="9" t="s">
        <v>41</v>
      </c>
      <c r="Z851" s="11" t="s">
        <v>42</v>
      </c>
      <c r="AA851" s="11" t="s">
        <v>43</v>
      </c>
      <c r="AB851" s="11" t="s">
        <v>44</v>
      </c>
      <c r="AC851" s="9" t="s">
        <v>44</v>
      </c>
    </row>
    <row r="852" spans="1:29">
      <c r="A852" s="10">
        <v>845</v>
      </c>
      <c r="B852" s="10" t="s">
        <v>1151</v>
      </c>
      <c r="C852" s="10" t="s">
        <v>1085</v>
      </c>
      <c r="D852" s="10" t="s">
        <v>655</v>
      </c>
      <c r="E852" s="10" t="s">
        <v>34</v>
      </c>
      <c r="F852" s="10" t="s">
        <v>35</v>
      </c>
      <c r="G852" s="8" t="s">
        <v>52</v>
      </c>
      <c r="H852" s="8" t="s">
        <v>47</v>
      </c>
      <c r="I852" s="8" t="s">
        <v>48</v>
      </c>
      <c r="J852" s="10">
        <v>128</v>
      </c>
      <c r="K852" s="10" t="s">
        <v>186</v>
      </c>
      <c r="L852" s="10" t="s">
        <v>40</v>
      </c>
      <c r="M852" s="12">
        <v>1</v>
      </c>
      <c r="N852" s="15">
        <v>18000.0</v>
      </c>
      <c r="O852" s="15"/>
      <c r="P852" s="17">
        <f>IF(N852&gt;0, O852/N852, 0)</f>
        <v>0</v>
      </c>
      <c r="Q852" s="15">
        <f>N852-O852</f>
        <v>18000</v>
      </c>
      <c r="R852" s="15">
        <f>M852*N852</f>
        <v>18000</v>
      </c>
      <c r="S852" s="15">
        <f>M852*O852</f>
        <v>0</v>
      </c>
      <c r="T852" s="15">
        <f>M852*Q852</f>
        <v>18000</v>
      </c>
      <c r="U852" s="15"/>
      <c r="V852" s="15">
        <f>M852*U852</f>
        <v>0</v>
      </c>
      <c r="W852" s="15">
        <f>T852-V852</f>
        <v>18000</v>
      </c>
      <c r="X852" s="17">
        <f>IF(T852&gt;0, W852/T852, 0)</f>
        <v>1</v>
      </c>
      <c r="Y852" s="8" t="s">
        <v>41</v>
      </c>
      <c r="Z852" s="10" t="s">
        <v>42</v>
      </c>
      <c r="AA852" s="10" t="s">
        <v>43</v>
      </c>
      <c r="AB852" s="10" t="s">
        <v>44</v>
      </c>
      <c r="AC852" s="8" t="s">
        <v>44</v>
      </c>
    </row>
    <row r="853" spans="1:29">
      <c r="A853" s="11">
        <v>846</v>
      </c>
      <c r="B853" s="11" t="s">
        <v>1152</v>
      </c>
      <c r="C853" s="11" t="s">
        <v>1085</v>
      </c>
      <c r="D853" s="11" t="s">
        <v>655</v>
      </c>
      <c r="E853" s="11" t="s">
        <v>34</v>
      </c>
      <c r="F853" s="11" t="s">
        <v>35</v>
      </c>
      <c r="G853" s="9" t="s">
        <v>52</v>
      </c>
      <c r="H853" s="9" t="s">
        <v>71</v>
      </c>
      <c r="I853" s="9" t="s">
        <v>71</v>
      </c>
      <c r="J853" s="11">
        <v>128</v>
      </c>
      <c r="K853" s="11" t="s">
        <v>112</v>
      </c>
      <c r="L853" s="11" t="s">
        <v>40</v>
      </c>
      <c r="M853" s="13">
        <v>1</v>
      </c>
      <c r="N853" s="16">
        <v>16000.0</v>
      </c>
      <c r="O853" s="16"/>
      <c r="P853" s="18">
        <f>IF(N853&gt;0, O853/N853, 0)</f>
        <v>0</v>
      </c>
      <c r="Q853" s="16">
        <f>N853-O853</f>
        <v>16000</v>
      </c>
      <c r="R853" s="16">
        <f>M853*N853</f>
        <v>16000</v>
      </c>
      <c r="S853" s="16">
        <f>M853*O853</f>
        <v>0</v>
      </c>
      <c r="T853" s="16">
        <f>M853*Q853</f>
        <v>16000</v>
      </c>
      <c r="U853" s="16"/>
      <c r="V853" s="16">
        <f>M853*U853</f>
        <v>0</v>
      </c>
      <c r="W853" s="16">
        <f>T853-V853</f>
        <v>16000</v>
      </c>
      <c r="X853" s="18">
        <f>IF(T853&gt;0, W853/T853, 0)</f>
        <v>1</v>
      </c>
      <c r="Y853" s="9" t="s">
        <v>41</v>
      </c>
      <c r="Z853" s="11" t="s">
        <v>42</v>
      </c>
      <c r="AA853" s="11" t="s">
        <v>43</v>
      </c>
      <c r="AB853" s="11" t="s">
        <v>44</v>
      </c>
      <c r="AC853" s="9" t="s">
        <v>44</v>
      </c>
    </row>
    <row r="854" spans="1:29">
      <c r="A854" s="10">
        <v>847</v>
      </c>
      <c r="B854" s="10" t="s">
        <v>1153</v>
      </c>
      <c r="C854" s="10" t="s">
        <v>1085</v>
      </c>
      <c r="D854" s="10" t="s">
        <v>655</v>
      </c>
      <c r="E854" s="10" t="s">
        <v>34</v>
      </c>
      <c r="F854" s="10" t="s">
        <v>35</v>
      </c>
      <c r="G854" s="8" t="s">
        <v>36</v>
      </c>
      <c r="H854" s="8" t="s">
        <v>47</v>
      </c>
      <c r="I854" s="8" t="s">
        <v>48</v>
      </c>
      <c r="J854" s="10">
        <v>164</v>
      </c>
      <c r="K854" s="10" t="s">
        <v>321</v>
      </c>
      <c r="L854" s="10" t="s">
        <v>40</v>
      </c>
      <c r="M854" s="12">
        <v>1</v>
      </c>
      <c r="N854" s="15">
        <v>18000.0</v>
      </c>
      <c r="O854" s="15"/>
      <c r="P854" s="17">
        <f>IF(N854&gt;0, O854/N854, 0)</f>
        <v>0</v>
      </c>
      <c r="Q854" s="15">
        <f>N854-O854</f>
        <v>18000</v>
      </c>
      <c r="R854" s="15">
        <f>M854*N854</f>
        <v>18000</v>
      </c>
      <c r="S854" s="15">
        <f>M854*O854</f>
        <v>0</v>
      </c>
      <c r="T854" s="15">
        <f>M854*Q854</f>
        <v>18000</v>
      </c>
      <c r="U854" s="15"/>
      <c r="V854" s="15">
        <f>M854*U854</f>
        <v>0</v>
      </c>
      <c r="W854" s="15">
        <f>T854-V854</f>
        <v>18000</v>
      </c>
      <c r="X854" s="17">
        <f>IF(T854&gt;0, W854/T854, 0)</f>
        <v>1</v>
      </c>
      <c r="Y854" s="8" t="s">
        <v>41</v>
      </c>
      <c r="Z854" s="10" t="s">
        <v>42</v>
      </c>
      <c r="AA854" s="10" t="s">
        <v>43</v>
      </c>
      <c r="AB854" s="10" t="s">
        <v>44</v>
      </c>
      <c r="AC854" s="8" t="s">
        <v>44</v>
      </c>
    </row>
    <row r="855" spans="1:29">
      <c r="A855" s="11">
        <v>848</v>
      </c>
      <c r="B855" s="11" t="s">
        <v>1154</v>
      </c>
      <c r="C855" s="11" t="s">
        <v>1085</v>
      </c>
      <c r="D855" s="11" t="s">
        <v>655</v>
      </c>
      <c r="E855" s="11" t="s">
        <v>34</v>
      </c>
      <c r="F855" s="11" t="s">
        <v>35</v>
      </c>
      <c r="G855" s="9" t="s">
        <v>36</v>
      </c>
      <c r="H855" s="9" t="s">
        <v>37</v>
      </c>
      <c r="I855" s="9" t="s">
        <v>38</v>
      </c>
      <c r="J855" s="11">
        <v>164</v>
      </c>
      <c r="K855" s="11" t="s">
        <v>79</v>
      </c>
      <c r="L855" s="11" t="s">
        <v>40</v>
      </c>
      <c r="M855" s="13">
        <v>4</v>
      </c>
      <c r="N855" s="16">
        <v>8000.0</v>
      </c>
      <c r="O855" s="16"/>
      <c r="P855" s="18">
        <f>IF(N855&gt;0, O855/N855, 0)</f>
        <v>0</v>
      </c>
      <c r="Q855" s="16">
        <f>N855-O855</f>
        <v>8000</v>
      </c>
      <c r="R855" s="16">
        <f>M855*N855</f>
        <v>32000</v>
      </c>
      <c r="S855" s="16">
        <f>M855*O855</f>
        <v>0</v>
      </c>
      <c r="T855" s="16">
        <f>M855*Q855</f>
        <v>32000</v>
      </c>
      <c r="U855" s="16"/>
      <c r="V855" s="16">
        <f>M855*U855</f>
        <v>0</v>
      </c>
      <c r="W855" s="16">
        <f>T855-V855</f>
        <v>32000</v>
      </c>
      <c r="X855" s="18">
        <f>IF(T855&gt;0, W855/T855, 0)</f>
        <v>1</v>
      </c>
      <c r="Y855" s="9" t="s">
        <v>41</v>
      </c>
      <c r="Z855" s="11" t="s">
        <v>42</v>
      </c>
      <c r="AA855" s="11" t="s">
        <v>43</v>
      </c>
      <c r="AB855" s="11" t="s">
        <v>44</v>
      </c>
      <c r="AC855" s="9" t="s">
        <v>44</v>
      </c>
    </row>
    <row r="856" spans="1:29">
      <c r="A856" s="10">
        <v>849</v>
      </c>
      <c r="B856" s="10" t="s">
        <v>1155</v>
      </c>
      <c r="C856" s="10" t="s">
        <v>1085</v>
      </c>
      <c r="D856" s="10" t="s">
        <v>655</v>
      </c>
      <c r="E856" s="10" t="s">
        <v>34</v>
      </c>
      <c r="F856" s="10" t="s">
        <v>35</v>
      </c>
      <c r="G856" s="8" t="s">
        <v>36</v>
      </c>
      <c r="H856" s="8" t="s">
        <v>37</v>
      </c>
      <c r="I856" s="8" t="s">
        <v>38</v>
      </c>
      <c r="J856" s="10">
        <v>176</v>
      </c>
      <c r="K856" s="10" t="s">
        <v>355</v>
      </c>
      <c r="L856" s="10" t="s">
        <v>40</v>
      </c>
      <c r="M856" s="12">
        <v>1</v>
      </c>
      <c r="N856" s="15">
        <v>8000.0</v>
      </c>
      <c r="O856" s="15"/>
      <c r="P856" s="17">
        <f>IF(N856&gt;0, O856/N856, 0)</f>
        <v>0</v>
      </c>
      <c r="Q856" s="15">
        <f>N856-O856</f>
        <v>8000</v>
      </c>
      <c r="R856" s="15">
        <f>M856*N856</f>
        <v>8000</v>
      </c>
      <c r="S856" s="15">
        <f>M856*O856</f>
        <v>0</v>
      </c>
      <c r="T856" s="15">
        <f>M856*Q856</f>
        <v>8000</v>
      </c>
      <c r="U856" s="15"/>
      <c r="V856" s="15">
        <f>M856*U856</f>
        <v>0</v>
      </c>
      <c r="W856" s="15">
        <f>T856-V856</f>
        <v>8000</v>
      </c>
      <c r="X856" s="17">
        <f>IF(T856&gt;0, W856/T856, 0)</f>
        <v>1</v>
      </c>
      <c r="Y856" s="8" t="s">
        <v>41</v>
      </c>
      <c r="Z856" s="10" t="s">
        <v>42</v>
      </c>
      <c r="AA856" s="10" t="s">
        <v>43</v>
      </c>
      <c r="AB856" s="10" t="s">
        <v>44</v>
      </c>
      <c r="AC856" s="8" t="s">
        <v>44</v>
      </c>
    </row>
    <row r="857" spans="1:29">
      <c r="A857" s="11">
        <v>850</v>
      </c>
      <c r="B857" s="11" t="s">
        <v>1156</v>
      </c>
      <c r="C857" s="11" t="s">
        <v>1085</v>
      </c>
      <c r="D857" s="11" t="s">
        <v>655</v>
      </c>
      <c r="E857" s="11" t="s">
        <v>70</v>
      </c>
      <c r="F857" s="11" t="s">
        <v>35</v>
      </c>
      <c r="G857" s="9" t="s">
        <v>52</v>
      </c>
      <c r="H857" s="9" t="s">
        <v>65</v>
      </c>
      <c r="I857" s="9" t="s">
        <v>151</v>
      </c>
      <c r="J857" s="11">
        <v>134</v>
      </c>
      <c r="K857" s="11" t="s">
        <v>249</v>
      </c>
      <c r="L857" s="11" t="s">
        <v>40</v>
      </c>
      <c r="M857" s="13">
        <v>3</v>
      </c>
      <c r="N857" s="16">
        <v>10000.0</v>
      </c>
      <c r="O857" s="16"/>
      <c r="P857" s="18">
        <f>IF(N857&gt;0, O857/N857, 0)</f>
        <v>0</v>
      </c>
      <c r="Q857" s="16">
        <f>N857-O857</f>
        <v>10000</v>
      </c>
      <c r="R857" s="16">
        <f>M857*N857</f>
        <v>30000</v>
      </c>
      <c r="S857" s="16">
        <f>M857*O857</f>
        <v>0</v>
      </c>
      <c r="T857" s="16">
        <f>M857*Q857</f>
        <v>30000</v>
      </c>
      <c r="U857" s="16"/>
      <c r="V857" s="16">
        <f>M857*U857</f>
        <v>0</v>
      </c>
      <c r="W857" s="16">
        <f>T857-V857</f>
        <v>30000</v>
      </c>
      <c r="X857" s="18">
        <f>IF(T857&gt;0, W857/T857, 0)</f>
        <v>1</v>
      </c>
      <c r="Y857" s="9" t="s">
        <v>41</v>
      </c>
      <c r="Z857" s="11" t="s">
        <v>42</v>
      </c>
      <c r="AA857" s="11" t="s">
        <v>73</v>
      </c>
      <c r="AB857" s="11" t="s">
        <v>44</v>
      </c>
      <c r="AC857" s="9" t="s">
        <v>44</v>
      </c>
    </row>
    <row r="858" spans="1:29">
      <c r="A858" s="10">
        <v>851</v>
      </c>
      <c r="B858" s="10" t="s">
        <v>1157</v>
      </c>
      <c r="C858" s="10" t="s">
        <v>1085</v>
      </c>
      <c r="D858" s="10" t="s">
        <v>655</v>
      </c>
      <c r="E858" s="10" t="s">
        <v>70</v>
      </c>
      <c r="F858" s="10" t="s">
        <v>35</v>
      </c>
      <c r="G858" s="8" t="s">
        <v>36</v>
      </c>
      <c r="H858" s="8" t="s">
        <v>65</v>
      </c>
      <c r="I858" s="8" t="s">
        <v>151</v>
      </c>
      <c r="J858" s="10">
        <v>152</v>
      </c>
      <c r="K858" s="10" t="s">
        <v>220</v>
      </c>
      <c r="L858" s="10" t="s">
        <v>40</v>
      </c>
      <c r="M858" s="12">
        <v>2</v>
      </c>
      <c r="N858" s="15">
        <v>11000.0</v>
      </c>
      <c r="O858" s="15"/>
      <c r="P858" s="17">
        <f>IF(N858&gt;0, O858/N858, 0)</f>
        <v>0</v>
      </c>
      <c r="Q858" s="15">
        <f>N858-O858</f>
        <v>11000</v>
      </c>
      <c r="R858" s="15">
        <f>M858*N858</f>
        <v>22000</v>
      </c>
      <c r="S858" s="15">
        <f>M858*O858</f>
        <v>0</v>
      </c>
      <c r="T858" s="15">
        <f>M858*Q858</f>
        <v>22000</v>
      </c>
      <c r="U858" s="15"/>
      <c r="V858" s="15">
        <f>M858*U858</f>
        <v>0</v>
      </c>
      <c r="W858" s="15">
        <f>T858-V858</f>
        <v>22000</v>
      </c>
      <c r="X858" s="17">
        <f>IF(T858&gt;0, W858/T858, 0)</f>
        <v>1</v>
      </c>
      <c r="Y858" s="8" t="s">
        <v>41</v>
      </c>
      <c r="Z858" s="10" t="s">
        <v>42</v>
      </c>
      <c r="AA858" s="10" t="s">
        <v>73</v>
      </c>
      <c r="AB858" s="10" t="s">
        <v>44</v>
      </c>
      <c r="AC858" s="8" t="s">
        <v>44</v>
      </c>
    </row>
    <row r="859" spans="1:29">
      <c r="A859" s="11">
        <v>852</v>
      </c>
      <c r="B859" s="11" t="s">
        <v>1158</v>
      </c>
      <c r="C859" s="11" t="s">
        <v>1085</v>
      </c>
      <c r="D859" s="11" t="s">
        <v>655</v>
      </c>
      <c r="E859" s="11" t="s">
        <v>34</v>
      </c>
      <c r="F859" s="11" t="s">
        <v>35</v>
      </c>
      <c r="G859" s="9" t="s">
        <v>52</v>
      </c>
      <c r="H859" s="9" t="s">
        <v>37</v>
      </c>
      <c r="I859" s="9" t="s">
        <v>38</v>
      </c>
      <c r="J859" s="11">
        <v>146</v>
      </c>
      <c r="K859" s="11" t="s">
        <v>260</v>
      </c>
      <c r="L859" s="11" t="s">
        <v>55</v>
      </c>
      <c r="M859" s="13">
        <v>1</v>
      </c>
      <c r="N859" s="16">
        <v>7000.0</v>
      </c>
      <c r="O859" s="16"/>
      <c r="P859" s="18">
        <f>IF(N859&gt;0, O859/N859, 0)</f>
        <v>0</v>
      </c>
      <c r="Q859" s="16">
        <f>N859-O859</f>
        <v>7000</v>
      </c>
      <c r="R859" s="16">
        <f>M859*N859</f>
        <v>7000</v>
      </c>
      <c r="S859" s="16">
        <f>M859*O859</f>
        <v>0</v>
      </c>
      <c r="T859" s="16">
        <f>M859*Q859</f>
        <v>7000</v>
      </c>
      <c r="U859" s="16"/>
      <c r="V859" s="16">
        <f>M859*U859</f>
        <v>0</v>
      </c>
      <c r="W859" s="16">
        <f>T859-V859</f>
        <v>7000</v>
      </c>
      <c r="X859" s="18">
        <f>IF(T859&gt;0, W859/T859, 0)</f>
        <v>1</v>
      </c>
      <c r="Y859" s="9" t="s">
        <v>41</v>
      </c>
      <c r="Z859" s="11" t="s">
        <v>42</v>
      </c>
      <c r="AA859" s="11" t="s">
        <v>43</v>
      </c>
      <c r="AB859" s="11" t="s">
        <v>44</v>
      </c>
      <c r="AC859" s="9" t="s">
        <v>44</v>
      </c>
    </row>
    <row r="860" spans="1:29">
      <c r="A860" s="10">
        <v>853</v>
      </c>
      <c r="B860" s="10" t="s">
        <v>1159</v>
      </c>
      <c r="C860" s="10" t="s">
        <v>1085</v>
      </c>
      <c r="D860" s="10" t="s">
        <v>655</v>
      </c>
      <c r="E860" s="10" t="s">
        <v>34</v>
      </c>
      <c r="F860" s="10" t="s">
        <v>35</v>
      </c>
      <c r="G860" s="8" t="s">
        <v>36</v>
      </c>
      <c r="H860" s="8" t="s">
        <v>37</v>
      </c>
      <c r="I860" s="8" t="s">
        <v>38</v>
      </c>
      <c r="J860" s="10">
        <v>164</v>
      </c>
      <c r="K860" s="10" t="s">
        <v>79</v>
      </c>
      <c r="L860" s="10" t="s">
        <v>40</v>
      </c>
      <c r="M860" s="12">
        <v>2</v>
      </c>
      <c r="N860" s="15">
        <v>8000.0</v>
      </c>
      <c r="O860" s="15"/>
      <c r="P860" s="17">
        <f>IF(N860&gt;0, O860/N860, 0)</f>
        <v>0</v>
      </c>
      <c r="Q860" s="15">
        <f>N860-O860</f>
        <v>8000</v>
      </c>
      <c r="R860" s="15">
        <f>M860*N860</f>
        <v>16000</v>
      </c>
      <c r="S860" s="15">
        <f>M860*O860</f>
        <v>0</v>
      </c>
      <c r="T860" s="15">
        <f>M860*Q860</f>
        <v>16000</v>
      </c>
      <c r="U860" s="15"/>
      <c r="V860" s="15">
        <f>M860*U860</f>
        <v>0</v>
      </c>
      <c r="W860" s="15">
        <f>T860-V860</f>
        <v>16000</v>
      </c>
      <c r="X860" s="17">
        <f>IF(T860&gt;0, W860/T860, 0)</f>
        <v>1</v>
      </c>
      <c r="Y860" s="8" t="s">
        <v>41</v>
      </c>
      <c r="Z860" s="10" t="s">
        <v>42</v>
      </c>
      <c r="AA860" s="10" t="s">
        <v>43</v>
      </c>
      <c r="AB860" s="10" t="s">
        <v>44</v>
      </c>
      <c r="AC860" s="8" t="s">
        <v>44</v>
      </c>
    </row>
    <row r="861" spans="1:29">
      <c r="A861" s="11">
        <v>854</v>
      </c>
      <c r="B861" s="11" t="s">
        <v>1160</v>
      </c>
      <c r="C861" s="11" t="s">
        <v>1085</v>
      </c>
      <c r="D861" s="11" t="s">
        <v>655</v>
      </c>
      <c r="E861" s="11" t="s">
        <v>34</v>
      </c>
      <c r="F861" s="11" t="s">
        <v>35</v>
      </c>
      <c r="G861" s="9" t="s">
        <v>36</v>
      </c>
      <c r="H861" s="9" t="s">
        <v>53</v>
      </c>
      <c r="I861" s="9" t="s">
        <v>53</v>
      </c>
      <c r="J861" s="11">
        <v>164</v>
      </c>
      <c r="K861" s="11" t="s">
        <v>63</v>
      </c>
      <c r="L861" s="11" t="s">
        <v>40</v>
      </c>
      <c r="M861" s="13">
        <v>3</v>
      </c>
      <c r="N861" s="16">
        <v>8500.0</v>
      </c>
      <c r="O861" s="16"/>
      <c r="P861" s="18">
        <f>IF(N861&gt;0, O861/N861, 0)</f>
        <v>0</v>
      </c>
      <c r="Q861" s="16">
        <f>N861-O861</f>
        <v>8500</v>
      </c>
      <c r="R861" s="16">
        <f>M861*N861</f>
        <v>25500</v>
      </c>
      <c r="S861" s="16">
        <f>M861*O861</f>
        <v>0</v>
      </c>
      <c r="T861" s="16">
        <f>M861*Q861</f>
        <v>25500</v>
      </c>
      <c r="U861" s="16"/>
      <c r="V861" s="16">
        <f>M861*U861</f>
        <v>0</v>
      </c>
      <c r="W861" s="16">
        <f>T861-V861</f>
        <v>25500</v>
      </c>
      <c r="X861" s="18">
        <f>IF(T861&gt;0, W861/T861, 0)</f>
        <v>1</v>
      </c>
      <c r="Y861" s="9" t="s">
        <v>41</v>
      </c>
      <c r="Z861" s="11" t="s">
        <v>42</v>
      </c>
      <c r="AA861" s="11" t="s">
        <v>43</v>
      </c>
      <c r="AB861" s="11" t="s">
        <v>44</v>
      </c>
      <c r="AC861" s="9" t="s">
        <v>44</v>
      </c>
    </row>
    <row r="862" spans="1:29">
      <c r="A862" s="10">
        <v>855</v>
      </c>
      <c r="B862" s="10" t="s">
        <v>1161</v>
      </c>
      <c r="C862" s="10" t="s">
        <v>1085</v>
      </c>
      <c r="D862" s="10" t="s">
        <v>655</v>
      </c>
      <c r="E862" s="10" t="s">
        <v>70</v>
      </c>
      <c r="F862" s="10" t="s">
        <v>35</v>
      </c>
      <c r="G862" s="8" t="s">
        <v>52</v>
      </c>
      <c r="H862" s="8" t="s">
        <v>53</v>
      </c>
      <c r="I862" s="8" t="s">
        <v>53</v>
      </c>
      <c r="J862" s="10">
        <v>164</v>
      </c>
      <c r="K862" s="10" t="s">
        <v>407</v>
      </c>
      <c r="L862" s="10" t="s">
        <v>55</v>
      </c>
      <c r="M862" s="12">
        <v>1</v>
      </c>
      <c r="N862" s="15">
        <v>9000.0</v>
      </c>
      <c r="O862" s="15"/>
      <c r="P862" s="17">
        <f>IF(N862&gt;0, O862/N862, 0)</f>
        <v>0</v>
      </c>
      <c r="Q862" s="15">
        <f>N862-O862</f>
        <v>9000</v>
      </c>
      <c r="R862" s="15">
        <f>M862*N862</f>
        <v>9000</v>
      </c>
      <c r="S862" s="15">
        <f>M862*O862</f>
        <v>0</v>
      </c>
      <c r="T862" s="15">
        <f>M862*Q862</f>
        <v>9000</v>
      </c>
      <c r="U862" s="15"/>
      <c r="V862" s="15">
        <f>M862*U862</f>
        <v>0</v>
      </c>
      <c r="W862" s="15">
        <f>T862-V862</f>
        <v>9000</v>
      </c>
      <c r="X862" s="17">
        <f>IF(T862&gt;0, W862/T862, 0)</f>
        <v>1</v>
      </c>
      <c r="Y862" s="8" t="s">
        <v>41</v>
      </c>
      <c r="Z862" s="10" t="s">
        <v>42</v>
      </c>
      <c r="AA862" s="10" t="s">
        <v>73</v>
      </c>
      <c r="AB862" s="10" t="s">
        <v>44</v>
      </c>
      <c r="AC862" s="8" t="s">
        <v>44</v>
      </c>
    </row>
    <row r="863" spans="1:29">
      <c r="A863" s="11">
        <v>856</v>
      </c>
      <c r="B863" s="11" t="s">
        <v>1162</v>
      </c>
      <c r="C863" s="11" t="s">
        <v>1085</v>
      </c>
      <c r="D863" s="11" t="s">
        <v>655</v>
      </c>
      <c r="E863" s="11" t="s">
        <v>34</v>
      </c>
      <c r="F863" s="11" t="s">
        <v>35</v>
      </c>
      <c r="G863" s="9" t="s">
        <v>52</v>
      </c>
      <c r="H863" s="9" t="s">
        <v>71</v>
      </c>
      <c r="I863" s="9" t="s">
        <v>71</v>
      </c>
      <c r="J863" s="11">
        <v>152</v>
      </c>
      <c r="K863" s="11" t="s">
        <v>353</v>
      </c>
      <c r="L863" s="11" t="s">
        <v>40</v>
      </c>
      <c r="M863" s="13">
        <v>2</v>
      </c>
      <c r="N863" s="16">
        <v>16000.0</v>
      </c>
      <c r="O863" s="16"/>
      <c r="P863" s="18">
        <f>IF(N863&gt;0, O863/N863, 0)</f>
        <v>0</v>
      </c>
      <c r="Q863" s="16">
        <f>N863-O863</f>
        <v>16000</v>
      </c>
      <c r="R863" s="16">
        <f>M863*N863</f>
        <v>32000</v>
      </c>
      <c r="S863" s="16">
        <f>M863*O863</f>
        <v>0</v>
      </c>
      <c r="T863" s="16">
        <f>M863*Q863</f>
        <v>32000</v>
      </c>
      <c r="U863" s="16"/>
      <c r="V863" s="16">
        <f>M863*U863</f>
        <v>0</v>
      </c>
      <c r="W863" s="16">
        <f>T863-V863</f>
        <v>32000</v>
      </c>
      <c r="X863" s="18">
        <f>IF(T863&gt;0, W863/T863, 0)</f>
        <v>1</v>
      </c>
      <c r="Y863" s="9" t="s">
        <v>41</v>
      </c>
      <c r="Z863" s="11" t="s">
        <v>42</v>
      </c>
      <c r="AA863" s="11" t="s">
        <v>43</v>
      </c>
      <c r="AB863" s="11" t="s">
        <v>44</v>
      </c>
      <c r="AC863" s="9" t="s">
        <v>44</v>
      </c>
    </row>
    <row r="864" spans="1:29">
      <c r="A864" s="10">
        <v>857</v>
      </c>
      <c r="B864" s="10" t="s">
        <v>1163</v>
      </c>
      <c r="C864" s="10" t="s">
        <v>1085</v>
      </c>
      <c r="D864" s="10" t="s">
        <v>655</v>
      </c>
      <c r="E864" s="10" t="s">
        <v>34</v>
      </c>
      <c r="F864" s="10" t="s">
        <v>35</v>
      </c>
      <c r="G864" s="8" t="s">
        <v>52</v>
      </c>
      <c r="H864" s="8" t="s">
        <v>58</v>
      </c>
      <c r="I864" s="8" t="s">
        <v>58</v>
      </c>
      <c r="J864" s="10">
        <v>152</v>
      </c>
      <c r="K864" s="10" t="s">
        <v>314</v>
      </c>
      <c r="L864" s="10" t="s">
        <v>40</v>
      </c>
      <c r="M864" s="12">
        <v>1</v>
      </c>
      <c r="N864" s="15">
        <v>7000.0</v>
      </c>
      <c r="O864" s="15"/>
      <c r="P864" s="17">
        <f>IF(N864&gt;0, O864/N864, 0)</f>
        <v>0</v>
      </c>
      <c r="Q864" s="15">
        <f>N864-O864</f>
        <v>7000</v>
      </c>
      <c r="R864" s="15">
        <f>M864*N864</f>
        <v>7000</v>
      </c>
      <c r="S864" s="15">
        <f>M864*O864</f>
        <v>0</v>
      </c>
      <c r="T864" s="15">
        <f>M864*Q864</f>
        <v>7000</v>
      </c>
      <c r="U864" s="15"/>
      <c r="V864" s="15">
        <f>M864*U864</f>
        <v>0</v>
      </c>
      <c r="W864" s="15">
        <f>T864-V864</f>
        <v>7000</v>
      </c>
      <c r="X864" s="17">
        <f>IF(T864&gt;0, W864/T864, 0)</f>
        <v>1</v>
      </c>
      <c r="Y864" s="8" t="s">
        <v>41</v>
      </c>
      <c r="Z864" s="10" t="s">
        <v>42</v>
      </c>
      <c r="AA864" s="10" t="s">
        <v>43</v>
      </c>
      <c r="AB864" s="10" t="s">
        <v>44</v>
      </c>
      <c r="AC864" s="8" t="s">
        <v>44</v>
      </c>
    </row>
    <row r="865" spans="1:29">
      <c r="A865" s="11">
        <v>858</v>
      </c>
      <c r="B865" s="11" t="s">
        <v>1164</v>
      </c>
      <c r="C865" s="11" t="s">
        <v>1085</v>
      </c>
      <c r="D865" s="11" t="s">
        <v>655</v>
      </c>
      <c r="E865" s="11" t="s">
        <v>34</v>
      </c>
      <c r="F865" s="11" t="s">
        <v>35</v>
      </c>
      <c r="G865" s="9" t="s">
        <v>52</v>
      </c>
      <c r="H865" s="9" t="s">
        <v>53</v>
      </c>
      <c r="I865" s="9" t="s">
        <v>53</v>
      </c>
      <c r="J865" s="11">
        <v>152</v>
      </c>
      <c r="K865" s="11" t="s">
        <v>405</v>
      </c>
      <c r="L865" s="11" t="s">
        <v>55</v>
      </c>
      <c r="M865" s="13">
        <v>1</v>
      </c>
      <c r="N865" s="16">
        <v>8000.0</v>
      </c>
      <c r="O865" s="16"/>
      <c r="P865" s="18">
        <f>IF(N865&gt;0, O865/N865, 0)</f>
        <v>0</v>
      </c>
      <c r="Q865" s="16">
        <f>N865-O865</f>
        <v>8000</v>
      </c>
      <c r="R865" s="16">
        <f>M865*N865</f>
        <v>8000</v>
      </c>
      <c r="S865" s="16">
        <f>M865*O865</f>
        <v>0</v>
      </c>
      <c r="T865" s="16">
        <f>M865*Q865</f>
        <v>8000</v>
      </c>
      <c r="U865" s="16"/>
      <c r="V865" s="16">
        <f>M865*U865</f>
        <v>0</v>
      </c>
      <c r="W865" s="16">
        <f>T865-V865</f>
        <v>8000</v>
      </c>
      <c r="X865" s="18">
        <f>IF(T865&gt;0, W865/T865, 0)</f>
        <v>1</v>
      </c>
      <c r="Y865" s="9" t="s">
        <v>41</v>
      </c>
      <c r="Z865" s="11" t="s">
        <v>42</v>
      </c>
      <c r="AA865" s="11" t="s">
        <v>43</v>
      </c>
      <c r="AB865" s="11" t="s">
        <v>44</v>
      </c>
      <c r="AC865" s="9" t="s">
        <v>44</v>
      </c>
    </row>
    <row r="866" spans="1:29">
      <c r="A866" s="10">
        <v>859</v>
      </c>
      <c r="B866" s="10" t="s">
        <v>1165</v>
      </c>
      <c r="C866" s="10" t="s">
        <v>1085</v>
      </c>
      <c r="D866" s="10" t="s">
        <v>655</v>
      </c>
      <c r="E866" s="10" t="s">
        <v>34</v>
      </c>
      <c r="F866" s="10" t="s">
        <v>35</v>
      </c>
      <c r="G866" s="8" t="s">
        <v>52</v>
      </c>
      <c r="H866" s="8" t="s">
        <v>37</v>
      </c>
      <c r="I866" s="8" t="s">
        <v>38</v>
      </c>
      <c r="J866" s="10">
        <v>158</v>
      </c>
      <c r="K866" s="10" t="s">
        <v>132</v>
      </c>
      <c r="L866" s="10" t="s">
        <v>55</v>
      </c>
      <c r="M866" s="12">
        <v>2</v>
      </c>
      <c r="N866" s="15">
        <v>7000.0</v>
      </c>
      <c r="O866" s="15"/>
      <c r="P866" s="17">
        <f>IF(N866&gt;0, O866/N866, 0)</f>
        <v>0</v>
      </c>
      <c r="Q866" s="15">
        <f>N866-O866</f>
        <v>7000</v>
      </c>
      <c r="R866" s="15">
        <f>M866*N866</f>
        <v>14000</v>
      </c>
      <c r="S866" s="15">
        <f>M866*O866</f>
        <v>0</v>
      </c>
      <c r="T866" s="15">
        <f>M866*Q866</f>
        <v>14000</v>
      </c>
      <c r="U866" s="15"/>
      <c r="V866" s="15">
        <f>M866*U866</f>
        <v>0</v>
      </c>
      <c r="W866" s="15">
        <f>T866-V866</f>
        <v>14000</v>
      </c>
      <c r="X866" s="17">
        <f>IF(T866&gt;0, W866/T866, 0)</f>
        <v>1</v>
      </c>
      <c r="Y866" s="8" t="s">
        <v>41</v>
      </c>
      <c r="Z866" s="10" t="s">
        <v>42</v>
      </c>
      <c r="AA866" s="10" t="s">
        <v>43</v>
      </c>
      <c r="AB866" s="10" t="s">
        <v>44</v>
      </c>
      <c r="AC866" s="8" t="s">
        <v>44</v>
      </c>
    </row>
    <row r="867" spans="1:29">
      <c r="A867" s="11">
        <v>860</v>
      </c>
      <c r="B867" s="11" t="s">
        <v>1166</v>
      </c>
      <c r="C867" s="11" t="s">
        <v>1085</v>
      </c>
      <c r="D867" s="11" t="s">
        <v>655</v>
      </c>
      <c r="E867" s="11" t="s">
        <v>34</v>
      </c>
      <c r="F867" s="11" t="s">
        <v>35</v>
      </c>
      <c r="G867" s="9" t="s">
        <v>52</v>
      </c>
      <c r="H867" s="9" t="s">
        <v>37</v>
      </c>
      <c r="I867" s="9" t="s">
        <v>38</v>
      </c>
      <c r="J867" s="11">
        <v>152</v>
      </c>
      <c r="K867" s="11" t="s">
        <v>154</v>
      </c>
      <c r="L867" s="11" t="s">
        <v>55</v>
      </c>
      <c r="M867" s="13">
        <v>2</v>
      </c>
      <c r="N867" s="16">
        <v>7000.0</v>
      </c>
      <c r="O867" s="16"/>
      <c r="P867" s="18">
        <f>IF(N867&gt;0, O867/N867, 0)</f>
        <v>0</v>
      </c>
      <c r="Q867" s="16">
        <f>N867-O867</f>
        <v>7000</v>
      </c>
      <c r="R867" s="16">
        <f>M867*N867</f>
        <v>14000</v>
      </c>
      <c r="S867" s="16">
        <f>M867*O867</f>
        <v>0</v>
      </c>
      <c r="T867" s="16">
        <f>M867*Q867</f>
        <v>14000</v>
      </c>
      <c r="U867" s="16"/>
      <c r="V867" s="16">
        <f>M867*U867</f>
        <v>0</v>
      </c>
      <c r="W867" s="16">
        <f>T867-V867</f>
        <v>14000</v>
      </c>
      <c r="X867" s="18">
        <f>IF(T867&gt;0, W867/T867, 0)</f>
        <v>1</v>
      </c>
      <c r="Y867" s="9" t="s">
        <v>41</v>
      </c>
      <c r="Z867" s="11" t="s">
        <v>42</v>
      </c>
      <c r="AA867" s="11" t="s">
        <v>43</v>
      </c>
      <c r="AB867" s="11" t="s">
        <v>44</v>
      </c>
      <c r="AC867" s="9" t="s">
        <v>44</v>
      </c>
    </row>
    <row r="868" spans="1:29">
      <c r="A868" s="10">
        <v>861</v>
      </c>
      <c r="B868" s="10" t="s">
        <v>1167</v>
      </c>
      <c r="C868" s="10" t="s">
        <v>1085</v>
      </c>
      <c r="D868" s="10" t="s">
        <v>655</v>
      </c>
      <c r="E868" s="10" t="s">
        <v>34</v>
      </c>
      <c r="F868" s="10" t="s">
        <v>35</v>
      </c>
      <c r="G868" s="8" t="s">
        <v>52</v>
      </c>
      <c r="H868" s="8" t="s">
        <v>65</v>
      </c>
      <c r="I868" s="8" t="s">
        <v>151</v>
      </c>
      <c r="J868" s="10">
        <v>146</v>
      </c>
      <c r="K868" s="10" t="s">
        <v>170</v>
      </c>
      <c r="L868" s="10" t="s">
        <v>40</v>
      </c>
      <c r="M868" s="12">
        <v>1</v>
      </c>
      <c r="N868" s="15">
        <v>10000.0</v>
      </c>
      <c r="O868" s="15"/>
      <c r="P868" s="17">
        <f>IF(N868&gt;0, O868/N868, 0)</f>
        <v>0</v>
      </c>
      <c r="Q868" s="15">
        <f>N868-O868</f>
        <v>10000</v>
      </c>
      <c r="R868" s="15">
        <f>M868*N868</f>
        <v>10000</v>
      </c>
      <c r="S868" s="15">
        <f>M868*O868</f>
        <v>0</v>
      </c>
      <c r="T868" s="15">
        <f>M868*Q868</f>
        <v>10000</v>
      </c>
      <c r="U868" s="15"/>
      <c r="V868" s="15">
        <f>M868*U868</f>
        <v>0</v>
      </c>
      <c r="W868" s="15">
        <f>T868-V868</f>
        <v>10000</v>
      </c>
      <c r="X868" s="17">
        <f>IF(T868&gt;0, W868/T868, 0)</f>
        <v>1</v>
      </c>
      <c r="Y868" s="8" t="s">
        <v>41</v>
      </c>
      <c r="Z868" s="10" t="s">
        <v>42</v>
      </c>
      <c r="AA868" s="10" t="s">
        <v>43</v>
      </c>
      <c r="AB868" s="10" t="s">
        <v>44</v>
      </c>
      <c r="AC868" s="8" t="s">
        <v>44</v>
      </c>
    </row>
    <row r="869" spans="1:29">
      <c r="A869" s="11">
        <v>862</v>
      </c>
      <c r="B869" s="11" t="s">
        <v>1168</v>
      </c>
      <c r="C869" s="11" t="s">
        <v>1085</v>
      </c>
      <c r="D869" s="11" t="s">
        <v>655</v>
      </c>
      <c r="E869" s="11" t="s">
        <v>70</v>
      </c>
      <c r="F869" s="11" t="s">
        <v>35</v>
      </c>
      <c r="G869" s="9" t="s">
        <v>52</v>
      </c>
      <c r="H869" s="9" t="s">
        <v>58</v>
      </c>
      <c r="I869" s="9" t="s">
        <v>58</v>
      </c>
      <c r="J869" s="11">
        <v>146</v>
      </c>
      <c r="K869" s="11" t="s">
        <v>755</v>
      </c>
      <c r="L869" s="11" t="s">
        <v>40</v>
      </c>
      <c r="M869" s="13">
        <v>1</v>
      </c>
      <c r="N869" s="16">
        <v>8000.0</v>
      </c>
      <c r="O869" s="16"/>
      <c r="P869" s="18">
        <f>IF(N869&gt;0, O869/N869, 0)</f>
        <v>0</v>
      </c>
      <c r="Q869" s="16">
        <f>N869-O869</f>
        <v>8000</v>
      </c>
      <c r="R869" s="16">
        <f>M869*N869</f>
        <v>8000</v>
      </c>
      <c r="S869" s="16">
        <f>M869*O869</f>
        <v>0</v>
      </c>
      <c r="T869" s="16">
        <f>M869*Q869</f>
        <v>8000</v>
      </c>
      <c r="U869" s="16"/>
      <c r="V869" s="16">
        <f>M869*U869</f>
        <v>0</v>
      </c>
      <c r="W869" s="16">
        <f>T869-V869</f>
        <v>8000</v>
      </c>
      <c r="X869" s="18">
        <f>IF(T869&gt;0, W869/T869, 0)</f>
        <v>1</v>
      </c>
      <c r="Y869" s="9" t="s">
        <v>41</v>
      </c>
      <c r="Z869" s="11" t="s">
        <v>42</v>
      </c>
      <c r="AA869" s="11" t="s">
        <v>73</v>
      </c>
      <c r="AB869" s="11" t="s">
        <v>44</v>
      </c>
      <c r="AC869" s="9" t="s">
        <v>44</v>
      </c>
    </row>
    <row r="870" spans="1:29">
      <c r="A870" s="10">
        <v>863</v>
      </c>
      <c r="B870" s="10" t="s">
        <v>1169</v>
      </c>
      <c r="C870" s="10" t="s">
        <v>1085</v>
      </c>
      <c r="D870" s="10" t="s">
        <v>655</v>
      </c>
      <c r="E870" s="10" t="s">
        <v>34</v>
      </c>
      <c r="F870" s="10" t="s">
        <v>35</v>
      </c>
      <c r="G870" s="8" t="s">
        <v>52</v>
      </c>
      <c r="H870" s="8" t="s">
        <v>37</v>
      </c>
      <c r="I870" s="8" t="s">
        <v>75</v>
      </c>
      <c r="J870" s="10">
        <v>152</v>
      </c>
      <c r="K870" s="10" t="s">
        <v>608</v>
      </c>
      <c r="L870" s="10" t="s">
        <v>55</v>
      </c>
      <c r="M870" s="12">
        <v>1</v>
      </c>
      <c r="N870" s="15">
        <v>8000.0</v>
      </c>
      <c r="O870" s="15"/>
      <c r="P870" s="17">
        <f>IF(N870&gt;0, O870/N870, 0)</f>
        <v>0</v>
      </c>
      <c r="Q870" s="15">
        <f>N870-O870</f>
        <v>8000</v>
      </c>
      <c r="R870" s="15">
        <f>M870*N870</f>
        <v>8000</v>
      </c>
      <c r="S870" s="15">
        <f>M870*O870</f>
        <v>0</v>
      </c>
      <c r="T870" s="15">
        <f>M870*Q870</f>
        <v>8000</v>
      </c>
      <c r="U870" s="15"/>
      <c r="V870" s="15">
        <f>M870*U870</f>
        <v>0</v>
      </c>
      <c r="W870" s="15">
        <f>T870-V870</f>
        <v>8000</v>
      </c>
      <c r="X870" s="17">
        <f>IF(T870&gt;0, W870/T870, 0)</f>
        <v>1</v>
      </c>
      <c r="Y870" s="8" t="s">
        <v>41</v>
      </c>
      <c r="Z870" s="10" t="s">
        <v>42</v>
      </c>
      <c r="AA870" s="10" t="s">
        <v>43</v>
      </c>
      <c r="AB870" s="10" t="s">
        <v>44</v>
      </c>
      <c r="AC870" s="8" t="s">
        <v>44</v>
      </c>
    </row>
    <row r="871" spans="1:29">
      <c r="A871" s="11">
        <v>864</v>
      </c>
      <c r="B871" s="11" t="s">
        <v>1170</v>
      </c>
      <c r="C871" s="11" t="s">
        <v>1085</v>
      </c>
      <c r="D871" s="11" t="s">
        <v>655</v>
      </c>
      <c r="E871" s="11" t="s">
        <v>34</v>
      </c>
      <c r="F871" s="11" t="s">
        <v>35</v>
      </c>
      <c r="G871" s="9" t="s">
        <v>52</v>
      </c>
      <c r="H871" s="9" t="s">
        <v>37</v>
      </c>
      <c r="I871" s="9" t="s">
        <v>38</v>
      </c>
      <c r="J871" s="11">
        <v>152</v>
      </c>
      <c r="K871" s="11" t="s">
        <v>154</v>
      </c>
      <c r="L871" s="11" t="s">
        <v>55</v>
      </c>
      <c r="M871" s="13">
        <v>1</v>
      </c>
      <c r="N871" s="16">
        <v>7000.0</v>
      </c>
      <c r="O871" s="16"/>
      <c r="P871" s="18">
        <f>IF(N871&gt;0, O871/N871, 0)</f>
        <v>0</v>
      </c>
      <c r="Q871" s="16">
        <f>N871-O871</f>
        <v>7000</v>
      </c>
      <c r="R871" s="16">
        <f>M871*N871</f>
        <v>7000</v>
      </c>
      <c r="S871" s="16">
        <f>M871*O871</f>
        <v>0</v>
      </c>
      <c r="T871" s="16">
        <f>M871*Q871</f>
        <v>7000</v>
      </c>
      <c r="U871" s="16"/>
      <c r="V871" s="16">
        <f>M871*U871</f>
        <v>0</v>
      </c>
      <c r="W871" s="16">
        <f>T871-V871</f>
        <v>7000</v>
      </c>
      <c r="X871" s="18">
        <f>IF(T871&gt;0, W871/T871, 0)</f>
        <v>1</v>
      </c>
      <c r="Y871" s="9" t="s">
        <v>41</v>
      </c>
      <c r="Z871" s="11" t="s">
        <v>42</v>
      </c>
      <c r="AA871" s="11" t="s">
        <v>43</v>
      </c>
      <c r="AB871" s="11" t="s">
        <v>44</v>
      </c>
      <c r="AC871" s="9" t="s">
        <v>44</v>
      </c>
    </row>
    <row r="872" spans="1:29">
      <c r="A872" s="10">
        <v>865</v>
      </c>
      <c r="B872" s="10" t="s">
        <v>1171</v>
      </c>
      <c r="C872" s="10" t="s">
        <v>1085</v>
      </c>
      <c r="D872" s="10" t="s">
        <v>655</v>
      </c>
      <c r="E872" s="10" t="s">
        <v>34</v>
      </c>
      <c r="F872" s="10" t="s">
        <v>35</v>
      </c>
      <c r="G872" s="8" t="s">
        <v>52</v>
      </c>
      <c r="H872" s="8" t="s">
        <v>53</v>
      </c>
      <c r="I872" s="8" t="s">
        <v>53</v>
      </c>
      <c r="J872" s="10">
        <v>152</v>
      </c>
      <c r="K872" s="10" t="s">
        <v>405</v>
      </c>
      <c r="L872" s="10" t="s">
        <v>55</v>
      </c>
      <c r="M872" s="12">
        <v>1</v>
      </c>
      <c r="N872" s="15">
        <v>8000.0</v>
      </c>
      <c r="O872" s="15"/>
      <c r="P872" s="17">
        <f>IF(N872&gt;0, O872/N872, 0)</f>
        <v>0</v>
      </c>
      <c r="Q872" s="15">
        <f>N872-O872</f>
        <v>8000</v>
      </c>
      <c r="R872" s="15">
        <f>M872*N872</f>
        <v>8000</v>
      </c>
      <c r="S872" s="15">
        <f>M872*O872</f>
        <v>0</v>
      </c>
      <c r="T872" s="15">
        <f>M872*Q872</f>
        <v>8000</v>
      </c>
      <c r="U872" s="15"/>
      <c r="V872" s="15">
        <f>M872*U872</f>
        <v>0</v>
      </c>
      <c r="W872" s="15">
        <f>T872-V872</f>
        <v>8000</v>
      </c>
      <c r="X872" s="17">
        <f>IF(T872&gt;0, W872/T872, 0)</f>
        <v>1</v>
      </c>
      <c r="Y872" s="8" t="s">
        <v>41</v>
      </c>
      <c r="Z872" s="10" t="s">
        <v>42</v>
      </c>
      <c r="AA872" s="10" t="s">
        <v>43</v>
      </c>
      <c r="AB872" s="10" t="s">
        <v>44</v>
      </c>
      <c r="AC872" s="8" t="s">
        <v>44</v>
      </c>
    </row>
    <row r="873" spans="1:29">
      <c r="A873" s="11">
        <v>866</v>
      </c>
      <c r="B873" s="11" t="s">
        <v>1172</v>
      </c>
      <c r="C873" s="11" t="s">
        <v>1085</v>
      </c>
      <c r="D873" s="11" t="s">
        <v>655</v>
      </c>
      <c r="E873" s="11" t="s">
        <v>34</v>
      </c>
      <c r="F873" s="11" t="s">
        <v>35</v>
      </c>
      <c r="G873" s="9" t="s">
        <v>52</v>
      </c>
      <c r="H873" s="9" t="s">
        <v>71</v>
      </c>
      <c r="I873" s="9" t="s">
        <v>71</v>
      </c>
      <c r="J873" s="11">
        <v>152</v>
      </c>
      <c r="K873" s="11" t="s">
        <v>353</v>
      </c>
      <c r="L873" s="11" t="s">
        <v>40</v>
      </c>
      <c r="M873" s="13">
        <v>1</v>
      </c>
      <c r="N873" s="16">
        <v>16000.0</v>
      </c>
      <c r="O873" s="16"/>
      <c r="P873" s="18">
        <f>IF(N873&gt;0, O873/N873, 0)</f>
        <v>0</v>
      </c>
      <c r="Q873" s="16">
        <f>N873-O873</f>
        <v>16000</v>
      </c>
      <c r="R873" s="16">
        <f>M873*N873</f>
        <v>16000</v>
      </c>
      <c r="S873" s="16">
        <f>M873*O873</f>
        <v>0</v>
      </c>
      <c r="T873" s="16">
        <f>M873*Q873</f>
        <v>16000</v>
      </c>
      <c r="U873" s="16"/>
      <c r="V873" s="16">
        <f>M873*U873</f>
        <v>0</v>
      </c>
      <c r="W873" s="16">
        <f>T873-V873</f>
        <v>16000</v>
      </c>
      <c r="X873" s="18">
        <f>IF(T873&gt;0, W873/T873, 0)</f>
        <v>1</v>
      </c>
      <c r="Y873" s="9" t="s">
        <v>41</v>
      </c>
      <c r="Z873" s="11" t="s">
        <v>42</v>
      </c>
      <c r="AA873" s="11" t="s">
        <v>43</v>
      </c>
      <c r="AB873" s="11" t="s">
        <v>44</v>
      </c>
      <c r="AC873" s="9" t="s">
        <v>44</v>
      </c>
    </row>
    <row r="874" spans="1:29">
      <c r="A874" s="10">
        <v>867</v>
      </c>
      <c r="B874" s="10" t="s">
        <v>1173</v>
      </c>
      <c r="C874" s="10" t="s">
        <v>1085</v>
      </c>
      <c r="D874" s="10" t="s">
        <v>655</v>
      </c>
      <c r="E874" s="10" t="s">
        <v>70</v>
      </c>
      <c r="F874" s="10" t="s">
        <v>35</v>
      </c>
      <c r="G874" s="8" t="s">
        <v>36</v>
      </c>
      <c r="H874" s="8" t="s">
        <v>37</v>
      </c>
      <c r="I874" s="8" t="s">
        <v>38</v>
      </c>
      <c r="J874" s="10">
        <v>158</v>
      </c>
      <c r="K874" s="10" t="s">
        <v>39</v>
      </c>
      <c r="L874" s="10" t="s">
        <v>40</v>
      </c>
      <c r="M874" s="12">
        <v>2</v>
      </c>
      <c r="N874" s="15">
        <v>10000.0</v>
      </c>
      <c r="O874" s="15"/>
      <c r="P874" s="17">
        <f>IF(N874&gt;0, O874/N874, 0)</f>
        <v>0</v>
      </c>
      <c r="Q874" s="15">
        <f>N874-O874</f>
        <v>10000</v>
      </c>
      <c r="R874" s="15">
        <f>M874*N874</f>
        <v>20000</v>
      </c>
      <c r="S874" s="15">
        <f>M874*O874</f>
        <v>0</v>
      </c>
      <c r="T874" s="15">
        <f>M874*Q874</f>
        <v>20000</v>
      </c>
      <c r="U874" s="15"/>
      <c r="V874" s="15">
        <f>M874*U874</f>
        <v>0</v>
      </c>
      <c r="W874" s="15">
        <f>T874-V874</f>
        <v>20000</v>
      </c>
      <c r="X874" s="17">
        <f>IF(T874&gt;0, W874/T874, 0)</f>
        <v>1</v>
      </c>
      <c r="Y874" s="8" t="s">
        <v>41</v>
      </c>
      <c r="Z874" s="10" t="s">
        <v>42</v>
      </c>
      <c r="AA874" s="10" t="s">
        <v>73</v>
      </c>
      <c r="AB874" s="10" t="s">
        <v>44</v>
      </c>
      <c r="AC874" s="8" t="s">
        <v>44</v>
      </c>
    </row>
    <row r="875" spans="1:29">
      <c r="A875" s="11">
        <v>868</v>
      </c>
      <c r="B875" s="11" t="s">
        <v>1174</v>
      </c>
      <c r="C875" s="11" t="s">
        <v>1085</v>
      </c>
      <c r="D875" s="11" t="s">
        <v>655</v>
      </c>
      <c r="E875" s="11" t="s">
        <v>70</v>
      </c>
      <c r="F875" s="11" t="s">
        <v>35</v>
      </c>
      <c r="G875" s="9" t="s">
        <v>36</v>
      </c>
      <c r="H875" s="9" t="s">
        <v>71</v>
      </c>
      <c r="I875" s="9" t="s">
        <v>71</v>
      </c>
      <c r="J875" s="11">
        <v>164</v>
      </c>
      <c r="K875" s="11" t="s">
        <v>72</v>
      </c>
      <c r="L875" s="11" t="s">
        <v>40</v>
      </c>
      <c r="M875" s="13">
        <v>1</v>
      </c>
      <c r="N875" s="16">
        <v>18000.0</v>
      </c>
      <c r="O875" s="16"/>
      <c r="P875" s="18">
        <f>IF(N875&gt;0, O875/N875, 0)</f>
        <v>0</v>
      </c>
      <c r="Q875" s="16">
        <f>N875-O875</f>
        <v>18000</v>
      </c>
      <c r="R875" s="16">
        <f>M875*N875</f>
        <v>18000</v>
      </c>
      <c r="S875" s="16">
        <f>M875*O875</f>
        <v>0</v>
      </c>
      <c r="T875" s="16">
        <f>M875*Q875</f>
        <v>18000</v>
      </c>
      <c r="U875" s="16"/>
      <c r="V875" s="16">
        <f>M875*U875</f>
        <v>0</v>
      </c>
      <c r="W875" s="16">
        <f>T875-V875</f>
        <v>18000</v>
      </c>
      <c r="X875" s="18">
        <f>IF(T875&gt;0, W875/T875, 0)</f>
        <v>1</v>
      </c>
      <c r="Y875" s="9" t="s">
        <v>41</v>
      </c>
      <c r="Z875" s="11" t="s">
        <v>42</v>
      </c>
      <c r="AA875" s="11" t="s">
        <v>73</v>
      </c>
      <c r="AB875" s="11" t="s">
        <v>44</v>
      </c>
      <c r="AC875" s="9" t="s">
        <v>44</v>
      </c>
    </row>
    <row r="876" spans="1:29">
      <c r="A876" s="10">
        <v>869</v>
      </c>
      <c r="B876" s="10" t="s">
        <v>1175</v>
      </c>
      <c r="C876" s="10" t="s">
        <v>1085</v>
      </c>
      <c r="D876" s="10" t="s">
        <v>655</v>
      </c>
      <c r="E876" s="10" t="s">
        <v>70</v>
      </c>
      <c r="F876" s="10" t="s">
        <v>35</v>
      </c>
      <c r="G876" s="8" t="s">
        <v>36</v>
      </c>
      <c r="H876" s="8" t="s">
        <v>65</v>
      </c>
      <c r="I876" s="8" t="s">
        <v>151</v>
      </c>
      <c r="J876" s="10">
        <v>164</v>
      </c>
      <c r="K876" s="10" t="s">
        <v>368</v>
      </c>
      <c r="L876" s="10" t="s">
        <v>40</v>
      </c>
      <c r="M876" s="12">
        <v>2</v>
      </c>
      <c r="N876" s="15">
        <v>11000.0</v>
      </c>
      <c r="O876" s="15"/>
      <c r="P876" s="17">
        <f>IF(N876&gt;0, O876/N876, 0)</f>
        <v>0</v>
      </c>
      <c r="Q876" s="15">
        <f>N876-O876</f>
        <v>11000</v>
      </c>
      <c r="R876" s="15">
        <f>M876*N876</f>
        <v>22000</v>
      </c>
      <c r="S876" s="15">
        <f>M876*O876</f>
        <v>0</v>
      </c>
      <c r="T876" s="15">
        <f>M876*Q876</f>
        <v>22000</v>
      </c>
      <c r="U876" s="15"/>
      <c r="V876" s="15">
        <f>M876*U876</f>
        <v>0</v>
      </c>
      <c r="W876" s="15">
        <f>T876-V876</f>
        <v>22000</v>
      </c>
      <c r="X876" s="17">
        <f>IF(T876&gt;0, W876/T876, 0)</f>
        <v>1</v>
      </c>
      <c r="Y876" s="8" t="s">
        <v>41</v>
      </c>
      <c r="Z876" s="10" t="s">
        <v>42</v>
      </c>
      <c r="AA876" s="10" t="s">
        <v>73</v>
      </c>
      <c r="AB876" s="10" t="s">
        <v>44</v>
      </c>
      <c r="AC876" s="8" t="s">
        <v>44</v>
      </c>
    </row>
    <row r="877" spans="1:29">
      <c r="A877" s="11">
        <v>870</v>
      </c>
      <c r="B877" s="11" t="s">
        <v>1176</v>
      </c>
      <c r="C877" s="11" t="s">
        <v>1085</v>
      </c>
      <c r="D877" s="11" t="s">
        <v>655</v>
      </c>
      <c r="E877" s="11" t="s">
        <v>34</v>
      </c>
      <c r="F877" s="11" t="s">
        <v>35</v>
      </c>
      <c r="G877" s="9" t="s">
        <v>36</v>
      </c>
      <c r="H877" s="9" t="s">
        <v>47</v>
      </c>
      <c r="I877" s="9" t="s">
        <v>48</v>
      </c>
      <c r="J877" s="11">
        <v>158</v>
      </c>
      <c r="K877" s="11" t="s">
        <v>49</v>
      </c>
      <c r="L877" s="11" t="s">
        <v>40</v>
      </c>
      <c r="M877" s="13">
        <v>1</v>
      </c>
      <c r="N877" s="16">
        <v>18000.0</v>
      </c>
      <c r="O877" s="16"/>
      <c r="P877" s="18">
        <f>IF(N877&gt;0, O877/N877, 0)</f>
        <v>0</v>
      </c>
      <c r="Q877" s="16">
        <f>N877-O877</f>
        <v>18000</v>
      </c>
      <c r="R877" s="16">
        <f>M877*N877</f>
        <v>18000</v>
      </c>
      <c r="S877" s="16">
        <f>M877*O877</f>
        <v>0</v>
      </c>
      <c r="T877" s="16">
        <f>M877*Q877</f>
        <v>18000</v>
      </c>
      <c r="U877" s="16"/>
      <c r="V877" s="16">
        <f>M877*U877</f>
        <v>0</v>
      </c>
      <c r="W877" s="16">
        <f>T877-V877</f>
        <v>18000</v>
      </c>
      <c r="X877" s="18">
        <f>IF(T877&gt;0, W877/T877, 0)</f>
        <v>1</v>
      </c>
      <c r="Y877" s="9" t="s">
        <v>41</v>
      </c>
      <c r="Z877" s="11" t="s">
        <v>42</v>
      </c>
      <c r="AA877" s="11" t="s">
        <v>43</v>
      </c>
      <c r="AB877" s="11" t="s">
        <v>44</v>
      </c>
      <c r="AC877" s="9" t="s">
        <v>44</v>
      </c>
    </row>
    <row r="878" spans="1:29">
      <c r="A878" s="10">
        <v>871</v>
      </c>
      <c r="B878" s="10" t="s">
        <v>1177</v>
      </c>
      <c r="C878" s="10" t="s">
        <v>1085</v>
      </c>
      <c r="D878" s="10" t="s">
        <v>655</v>
      </c>
      <c r="E878" s="10" t="s">
        <v>34</v>
      </c>
      <c r="F878" s="10" t="s">
        <v>35</v>
      </c>
      <c r="G878" s="8" t="s">
        <v>36</v>
      </c>
      <c r="H878" s="8" t="s">
        <v>47</v>
      </c>
      <c r="I878" s="8" t="s">
        <v>48</v>
      </c>
      <c r="J878" s="10">
        <v>164</v>
      </c>
      <c r="K878" s="10" t="s">
        <v>321</v>
      </c>
      <c r="L878" s="10" t="s">
        <v>40</v>
      </c>
      <c r="M878" s="12">
        <v>1</v>
      </c>
      <c r="N878" s="15">
        <v>18000.0</v>
      </c>
      <c r="O878" s="15"/>
      <c r="P878" s="17">
        <f>IF(N878&gt;0, O878/N878, 0)</f>
        <v>0</v>
      </c>
      <c r="Q878" s="15">
        <f>N878-O878</f>
        <v>18000</v>
      </c>
      <c r="R878" s="15">
        <f>M878*N878</f>
        <v>18000</v>
      </c>
      <c r="S878" s="15">
        <f>M878*O878</f>
        <v>0</v>
      </c>
      <c r="T878" s="15">
        <f>M878*Q878</f>
        <v>18000</v>
      </c>
      <c r="U878" s="15"/>
      <c r="V878" s="15">
        <f>M878*U878</f>
        <v>0</v>
      </c>
      <c r="W878" s="15">
        <f>T878-V878</f>
        <v>18000</v>
      </c>
      <c r="X878" s="17">
        <f>IF(T878&gt;0, W878/T878, 0)</f>
        <v>1</v>
      </c>
      <c r="Y878" s="8" t="s">
        <v>41</v>
      </c>
      <c r="Z878" s="10" t="s">
        <v>42</v>
      </c>
      <c r="AA878" s="10" t="s">
        <v>43</v>
      </c>
      <c r="AB878" s="10" t="s">
        <v>44</v>
      </c>
      <c r="AC878" s="8" t="s">
        <v>44</v>
      </c>
    </row>
    <row r="879" spans="1:29">
      <c r="A879" s="11">
        <v>872</v>
      </c>
      <c r="B879" s="11" t="s">
        <v>1178</v>
      </c>
      <c r="C879" s="11" t="s">
        <v>1085</v>
      </c>
      <c r="D879" s="11" t="s">
        <v>655</v>
      </c>
      <c r="E879" s="11" t="s">
        <v>34</v>
      </c>
      <c r="F879" s="11" t="s">
        <v>35</v>
      </c>
      <c r="G879" s="9" t="s">
        <v>36</v>
      </c>
      <c r="H879" s="9" t="s">
        <v>37</v>
      </c>
      <c r="I879" s="9" t="s">
        <v>38</v>
      </c>
      <c r="J879" s="11">
        <v>170</v>
      </c>
      <c r="K879" s="11" t="s">
        <v>145</v>
      </c>
      <c r="L879" s="11" t="s">
        <v>40</v>
      </c>
      <c r="M879" s="13">
        <v>1</v>
      </c>
      <c r="N879" s="16">
        <v>8000.0</v>
      </c>
      <c r="O879" s="16"/>
      <c r="P879" s="18">
        <f>IF(N879&gt;0, O879/N879, 0)</f>
        <v>0</v>
      </c>
      <c r="Q879" s="16">
        <f>N879-O879</f>
        <v>8000</v>
      </c>
      <c r="R879" s="16">
        <f>M879*N879</f>
        <v>8000</v>
      </c>
      <c r="S879" s="16">
        <f>M879*O879</f>
        <v>0</v>
      </c>
      <c r="T879" s="16">
        <f>M879*Q879</f>
        <v>8000</v>
      </c>
      <c r="U879" s="16"/>
      <c r="V879" s="16">
        <f>M879*U879</f>
        <v>0</v>
      </c>
      <c r="W879" s="16">
        <f>T879-V879</f>
        <v>8000</v>
      </c>
      <c r="X879" s="18">
        <f>IF(T879&gt;0, W879/T879, 0)</f>
        <v>1</v>
      </c>
      <c r="Y879" s="9" t="s">
        <v>41</v>
      </c>
      <c r="Z879" s="11" t="s">
        <v>42</v>
      </c>
      <c r="AA879" s="11" t="s">
        <v>43</v>
      </c>
      <c r="AB879" s="11" t="s">
        <v>44</v>
      </c>
      <c r="AC879" s="9" t="s">
        <v>44</v>
      </c>
    </row>
    <row r="880" spans="1:29">
      <c r="A880" s="10">
        <v>873</v>
      </c>
      <c r="B880" s="10" t="s">
        <v>1179</v>
      </c>
      <c r="C880" s="10" t="s">
        <v>1085</v>
      </c>
      <c r="D880" s="10" t="s">
        <v>655</v>
      </c>
      <c r="E880" s="10" t="s">
        <v>34</v>
      </c>
      <c r="F880" s="10" t="s">
        <v>35</v>
      </c>
      <c r="G880" s="8" t="s">
        <v>36</v>
      </c>
      <c r="H880" s="8" t="s">
        <v>37</v>
      </c>
      <c r="I880" s="8" t="s">
        <v>75</v>
      </c>
      <c r="J880" s="10">
        <v>170</v>
      </c>
      <c r="K880" s="10" t="s">
        <v>651</v>
      </c>
      <c r="L880" s="10" t="s">
        <v>40</v>
      </c>
      <c r="M880" s="12">
        <v>1</v>
      </c>
      <c r="N880" s="15">
        <v>9000.0</v>
      </c>
      <c r="O880" s="15"/>
      <c r="P880" s="17">
        <f>IF(N880&gt;0, O880/N880, 0)</f>
        <v>0</v>
      </c>
      <c r="Q880" s="15">
        <f>N880-O880</f>
        <v>9000</v>
      </c>
      <c r="R880" s="15">
        <f>M880*N880</f>
        <v>9000</v>
      </c>
      <c r="S880" s="15">
        <f>M880*O880</f>
        <v>0</v>
      </c>
      <c r="T880" s="15">
        <f>M880*Q880</f>
        <v>9000</v>
      </c>
      <c r="U880" s="15"/>
      <c r="V880" s="15">
        <f>M880*U880</f>
        <v>0</v>
      </c>
      <c r="W880" s="15">
        <f>T880-V880</f>
        <v>9000</v>
      </c>
      <c r="X880" s="17">
        <f>IF(T880&gt;0, W880/T880, 0)</f>
        <v>1</v>
      </c>
      <c r="Y880" s="8" t="s">
        <v>41</v>
      </c>
      <c r="Z880" s="10" t="s">
        <v>42</v>
      </c>
      <c r="AA880" s="10" t="s">
        <v>43</v>
      </c>
      <c r="AB880" s="10" t="s">
        <v>44</v>
      </c>
      <c r="AC880" s="8" t="s">
        <v>44</v>
      </c>
    </row>
    <row r="881" spans="1:29">
      <c r="A881" s="11">
        <v>874</v>
      </c>
      <c r="B881" s="11" t="s">
        <v>1180</v>
      </c>
      <c r="C881" s="11" t="s">
        <v>1085</v>
      </c>
      <c r="D881" s="11" t="s">
        <v>655</v>
      </c>
      <c r="E881" s="11" t="s">
        <v>34</v>
      </c>
      <c r="F881" s="11" t="s">
        <v>35</v>
      </c>
      <c r="G881" s="9" t="s">
        <v>36</v>
      </c>
      <c r="H881" s="9" t="s">
        <v>58</v>
      </c>
      <c r="I881" s="9" t="s">
        <v>58</v>
      </c>
      <c r="J881" s="11">
        <v>194</v>
      </c>
      <c r="K881" s="11" t="s">
        <v>1181</v>
      </c>
      <c r="L881" s="11" t="s">
        <v>40</v>
      </c>
      <c r="M881" s="13">
        <v>1</v>
      </c>
      <c r="N881" s="16">
        <v>7500.0</v>
      </c>
      <c r="O881" s="16"/>
      <c r="P881" s="18">
        <f>IF(N881&gt;0, O881/N881, 0)</f>
        <v>0</v>
      </c>
      <c r="Q881" s="16">
        <f>N881-O881</f>
        <v>7500</v>
      </c>
      <c r="R881" s="16">
        <f>M881*N881</f>
        <v>7500</v>
      </c>
      <c r="S881" s="16">
        <f>M881*O881</f>
        <v>0</v>
      </c>
      <c r="T881" s="16">
        <f>M881*Q881</f>
        <v>7500</v>
      </c>
      <c r="U881" s="16"/>
      <c r="V881" s="16">
        <f>M881*U881</f>
        <v>0</v>
      </c>
      <c r="W881" s="16">
        <f>T881-V881</f>
        <v>7500</v>
      </c>
      <c r="X881" s="18">
        <f>IF(T881&gt;0, W881/T881, 0)</f>
        <v>1</v>
      </c>
      <c r="Y881" s="9" t="s">
        <v>41</v>
      </c>
      <c r="Z881" s="11" t="s">
        <v>42</v>
      </c>
      <c r="AA881" s="11" t="s">
        <v>43</v>
      </c>
      <c r="AB881" s="11" t="s">
        <v>44</v>
      </c>
      <c r="AC881" s="9" t="s">
        <v>44</v>
      </c>
    </row>
    <row r="882" spans="1:29">
      <c r="A882" s="10">
        <v>875</v>
      </c>
      <c r="B882" s="10" t="s">
        <v>1182</v>
      </c>
      <c r="C882" s="10" t="s">
        <v>1085</v>
      </c>
      <c r="D882" s="10" t="s">
        <v>655</v>
      </c>
      <c r="E882" s="10" t="s">
        <v>34</v>
      </c>
      <c r="F882" s="10" t="s">
        <v>35</v>
      </c>
      <c r="G882" s="8" t="s">
        <v>36</v>
      </c>
      <c r="H882" s="8" t="s">
        <v>53</v>
      </c>
      <c r="I882" s="8" t="s">
        <v>53</v>
      </c>
      <c r="J882" s="10">
        <v>194</v>
      </c>
      <c r="K882" s="10" t="s">
        <v>737</v>
      </c>
      <c r="L882" s="10" t="s">
        <v>40</v>
      </c>
      <c r="M882" s="12">
        <v>1</v>
      </c>
      <c r="N882" s="15">
        <v>8500.0</v>
      </c>
      <c r="O882" s="15"/>
      <c r="P882" s="17">
        <f>IF(N882&gt;0, O882/N882, 0)</f>
        <v>0</v>
      </c>
      <c r="Q882" s="15">
        <f>N882-O882</f>
        <v>8500</v>
      </c>
      <c r="R882" s="15">
        <f>M882*N882</f>
        <v>8500</v>
      </c>
      <c r="S882" s="15">
        <f>M882*O882</f>
        <v>0</v>
      </c>
      <c r="T882" s="15">
        <f>M882*Q882</f>
        <v>8500</v>
      </c>
      <c r="U882" s="15"/>
      <c r="V882" s="15">
        <f>M882*U882</f>
        <v>0</v>
      </c>
      <c r="W882" s="15">
        <f>T882-V882</f>
        <v>8500</v>
      </c>
      <c r="X882" s="17">
        <f>IF(T882&gt;0, W882/T882, 0)</f>
        <v>1</v>
      </c>
      <c r="Y882" s="8" t="s">
        <v>41</v>
      </c>
      <c r="Z882" s="10" t="s">
        <v>42</v>
      </c>
      <c r="AA882" s="10" t="s">
        <v>43</v>
      </c>
      <c r="AB882" s="10" t="s">
        <v>44</v>
      </c>
      <c r="AC882" s="8" t="s">
        <v>44</v>
      </c>
    </row>
    <row r="883" spans="1:29">
      <c r="A883" s="11">
        <v>876</v>
      </c>
      <c r="B883" s="11" t="s">
        <v>1183</v>
      </c>
      <c r="C883" s="11" t="s">
        <v>1085</v>
      </c>
      <c r="D883" s="11" t="s">
        <v>655</v>
      </c>
      <c r="E883" s="11" t="s">
        <v>34</v>
      </c>
      <c r="F883" s="11" t="s">
        <v>35</v>
      </c>
      <c r="G883" s="9" t="s">
        <v>36</v>
      </c>
      <c r="H883" s="9" t="s">
        <v>71</v>
      </c>
      <c r="I883" s="9" t="s">
        <v>71</v>
      </c>
      <c r="J883" s="11">
        <v>188</v>
      </c>
      <c r="K883" s="11" t="s">
        <v>921</v>
      </c>
      <c r="L883" s="11" t="s">
        <v>40</v>
      </c>
      <c r="M883" s="13">
        <v>1</v>
      </c>
      <c r="N883" s="16">
        <v>16500.0</v>
      </c>
      <c r="O883" s="16"/>
      <c r="P883" s="18">
        <f>IF(N883&gt;0, O883/N883, 0)</f>
        <v>0</v>
      </c>
      <c r="Q883" s="16">
        <f>N883-O883</f>
        <v>16500</v>
      </c>
      <c r="R883" s="16">
        <f>M883*N883</f>
        <v>16500</v>
      </c>
      <c r="S883" s="16">
        <f>M883*O883</f>
        <v>0</v>
      </c>
      <c r="T883" s="16">
        <f>M883*Q883</f>
        <v>16500</v>
      </c>
      <c r="U883" s="16"/>
      <c r="V883" s="16">
        <f>M883*U883</f>
        <v>0</v>
      </c>
      <c r="W883" s="16">
        <f>T883-V883</f>
        <v>16500</v>
      </c>
      <c r="X883" s="18">
        <f>IF(T883&gt;0, W883/T883, 0)</f>
        <v>1</v>
      </c>
      <c r="Y883" s="9" t="s">
        <v>41</v>
      </c>
      <c r="Z883" s="11" t="s">
        <v>42</v>
      </c>
      <c r="AA883" s="11" t="s">
        <v>43</v>
      </c>
      <c r="AB883" s="11" t="s">
        <v>44</v>
      </c>
      <c r="AC883" s="9" t="s">
        <v>44</v>
      </c>
    </row>
    <row r="884" spans="1:29">
      <c r="A884" s="10">
        <v>877</v>
      </c>
      <c r="B884" s="10" t="s">
        <v>1184</v>
      </c>
      <c r="C884" s="10" t="s">
        <v>1085</v>
      </c>
      <c r="D884" s="10" t="s">
        <v>655</v>
      </c>
      <c r="E884" s="10" t="s">
        <v>34</v>
      </c>
      <c r="F884" s="10" t="s">
        <v>35</v>
      </c>
      <c r="G884" s="8" t="s">
        <v>36</v>
      </c>
      <c r="H884" s="8" t="s">
        <v>37</v>
      </c>
      <c r="I884" s="8" t="s">
        <v>75</v>
      </c>
      <c r="J884" s="10">
        <v>194</v>
      </c>
      <c r="K884" s="10" t="s">
        <v>1185</v>
      </c>
      <c r="L884" s="10" t="s">
        <v>40</v>
      </c>
      <c r="M884" s="12">
        <v>1</v>
      </c>
      <c r="N884" s="15">
        <v>9000.0</v>
      </c>
      <c r="O884" s="15"/>
      <c r="P884" s="17">
        <f>IF(N884&gt;0, O884/N884, 0)</f>
        <v>0</v>
      </c>
      <c r="Q884" s="15">
        <f>N884-O884</f>
        <v>9000</v>
      </c>
      <c r="R884" s="15">
        <f>M884*N884</f>
        <v>9000</v>
      </c>
      <c r="S884" s="15">
        <f>M884*O884</f>
        <v>0</v>
      </c>
      <c r="T884" s="15">
        <f>M884*Q884</f>
        <v>9000</v>
      </c>
      <c r="U884" s="15"/>
      <c r="V884" s="15">
        <f>M884*U884</f>
        <v>0</v>
      </c>
      <c r="W884" s="15">
        <f>T884-V884</f>
        <v>9000</v>
      </c>
      <c r="X884" s="17">
        <f>IF(T884&gt;0, W884/T884, 0)</f>
        <v>1</v>
      </c>
      <c r="Y884" s="8" t="s">
        <v>41</v>
      </c>
      <c r="Z884" s="10" t="s">
        <v>42</v>
      </c>
      <c r="AA884" s="10" t="s">
        <v>43</v>
      </c>
      <c r="AB884" s="10" t="s">
        <v>44</v>
      </c>
      <c r="AC884" s="8" t="s">
        <v>44</v>
      </c>
    </row>
    <row r="885" spans="1:29">
      <c r="A885" s="11">
        <v>878</v>
      </c>
      <c r="B885" s="11" t="s">
        <v>1186</v>
      </c>
      <c r="C885" s="11" t="s">
        <v>1085</v>
      </c>
      <c r="D885" s="11" t="s">
        <v>655</v>
      </c>
      <c r="E885" s="11" t="s">
        <v>34</v>
      </c>
      <c r="F885" s="11" t="s">
        <v>35</v>
      </c>
      <c r="G885" s="9" t="s">
        <v>36</v>
      </c>
      <c r="H885" s="9" t="s">
        <v>65</v>
      </c>
      <c r="I885" s="9" t="s">
        <v>151</v>
      </c>
      <c r="J885" s="11">
        <v>170</v>
      </c>
      <c r="K885" s="11" t="s">
        <v>152</v>
      </c>
      <c r="L885" s="11" t="s">
        <v>40</v>
      </c>
      <c r="M885" s="13">
        <v>1</v>
      </c>
      <c r="N885" s="16">
        <v>9500.0</v>
      </c>
      <c r="O885" s="16"/>
      <c r="P885" s="18">
        <f>IF(N885&gt;0, O885/N885, 0)</f>
        <v>0</v>
      </c>
      <c r="Q885" s="16">
        <f>N885-O885</f>
        <v>9500</v>
      </c>
      <c r="R885" s="16">
        <f>M885*N885</f>
        <v>9500</v>
      </c>
      <c r="S885" s="16">
        <f>M885*O885</f>
        <v>0</v>
      </c>
      <c r="T885" s="16">
        <f>M885*Q885</f>
        <v>9500</v>
      </c>
      <c r="U885" s="16"/>
      <c r="V885" s="16">
        <f>M885*U885</f>
        <v>0</v>
      </c>
      <c r="W885" s="16">
        <f>T885-V885</f>
        <v>9500</v>
      </c>
      <c r="X885" s="18">
        <f>IF(T885&gt;0, W885/T885, 0)</f>
        <v>1</v>
      </c>
      <c r="Y885" s="9" t="s">
        <v>41</v>
      </c>
      <c r="Z885" s="11" t="s">
        <v>42</v>
      </c>
      <c r="AA885" s="11" t="s">
        <v>43</v>
      </c>
      <c r="AB885" s="11" t="s">
        <v>44</v>
      </c>
      <c r="AC885" s="9" t="s">
        <v>44</v>
      </c>
    </row>
    <row r="886" spans="1:29">
      <c r="A886" s="10">
        <v>879</v>
      </c>
      <c r="B886" s="10" t="s">
        <v>1187</v>
      </c>
      <c r="C886" s="10" t="s">
        <v>1085</v>
      </c>
      <c r="D886" s="10" t="s">
        <v>655</v>
      </c>
      <c r="E886" s="10" t="s">
        <v>34</v>
      </c>
      <c r="F886" s="10" t="s">
        <v>35</v>
      </c>
      <c r="G886" s="8" t="s">
        <v>36</v>
      </c>
      <c r="H886" s="8" t="s">
        <v>58</v>
      </c>
      <c r="I886" s="8" t="s">
        <v>58</v>
      </c>
      <c r="J886" s="10">
        <v>170</v>
      </c>
      <c r="K886" s="10" t="s">
        <v>215</v>
      </c>
      <c r="L886" s="10" t="s">
        <v>40</v>
      </c>
      <c r="M886" s="12">
        <v>1</v>
      </c>
      <c r="N886" s="15">
        <v>7500.0</v>
      </c>
      <c r="O886" s="15"/>
      <c r="P886" s="17">
        <f>IF(N886&gt;0, O886/N886, 0)</f>
        <v>0</v>
      </c>
      <c r="Q886" s="15">
        <f>N886-O886</f>
        <v>7500</v>
      </c>
      <c r="R886" s="15">
        <f>M886*N886</f>
        <v>7500</v>
      </c>
      <c r="S886" s="15">
        <f>M886*O886</f>
        <v>0</v>
      </c>
      <c r="T886" s="15">
        <f>M886*Q886</f>
        <v>7500</v>
      </c>
      <c r="U886" s="15"/>
      <c r="V886" s="15">
        <f>M886*U886</f>
        <v>0</v>
      </c>
      <c r="W886" s="15">
        <f>T886-V886</f>
        <v>7500</v>
      </c>
      <c r="X886" s="17">
        <f>IF(T886&gt;0, W886/T886, 0)</f>
        <v>1</v>
      </c>
      <c r="Y886" s="8" t="s">
        <v>41</v>
      </c>
      <c r="Z886" s="10" t="s">
        <v>42</v>
      </c>
      <c r="AA886" s="10" t="s">
        <v>43</v>
      </c>
      <c r="AB886" s="10" t="s">
        <v>44</v>
      </c>
      <c r="AC886" s="8" t="s">
        <v>44</v>
      </c>
    </row>
    <row r="887" spans="1:29">
      <c r="A887" s="11">
        <v>880</v>
      </c>
      <c r="B887" s="11" t="s">
        <v>1188</v>
      </c>
      <c r="C887" s="11" t="s">
        <v>1085</v>
      </c>
      <c r="D887" s="11" t="s">
        <v>655</v>
      </c>
      <c r="E887" s="11" t="s">
        <v>34</v>
      </c>
      <c r="F887" s="11" t="s">
        <v>35</v>
      </c>
      <c r="G887" s="9" t="s">
        <v>36</v>
      </c>
      <c r="H887" s="9" t="s">
        <v>71</v>
      </c>
      <c r="I887" s="9" t="s">
        <v>71</v>
      </c>
      <c r="J887" s="11">
        <v>176</v>
      </c>
      <c r="K887" s="11" t="s">
        <v>206</v>
      </c>
      <c r="L887" s="11" t="s">
        <v>40</v>
      </c>
      <c r="M887" s="13">
        <v>1</v>
      </c>
      <c r="N887" s="16">
        <v>16500.0</v>
      </c>
      <c r="O887" s="16"/>
      <c r="P887" s="18">
        <f>IF(N887&gt;0, O887/N887, 0)</f>
        <v>0</v>
      </c>
      <c r="Q887" s="16">
        <f>N887-O887</f>
        <v>16500</v>
      </c>
      <c r="R887" s="16">
        <f>M887*N887</f>
        <v>16500</v>
      </c>
      <c r="S887" s="16">
        <f>M887*O887</f>
        <v>0</v>
      </c>
      <c r="T887" s="16">
        <f>M887*Q887</f>
        <v>16500</v>
      </c>
      <c r="U887" s="16"/>
      <c r="V887" s="16">
        <f>M887*U887</f>
        <v>0</v>
      </c>
      <c r="W887" s="16">
        <f>T887-V887</f>
        <v>16500</v>
      </c>
      <c r="X887" s="18">
        <f>IF(T887&gt;0, W887/T887, 0)</f>
        <v>1</v>
      </c>
      <c r="Y887" s="9" t="s">
        <v>41</v>
      </c>
      <c r="Z887" s="11" t="s">
        <v>42</v>
      </c>
      <c r="AA887" s="11" t="s">
        <v>43</v>
      </c>
      <c r="AB887" s="11" t="s">
        <v>44</v>
      </c>
      <c r="AC887" s="9" t="s">
        <v>44</v>
      </c>
    </row>
    <row r="888" spans="1:29">
      <c r="A888" s="10">
        <v>881</v>
      </c>
      <c r="B888" s="10" t="s">
        <v>1189</v>
      </c>
      <c r="C888" s="10" t="s">
        <v>1085</v>
      </c>
      <c r="D888" s="10" t="s">
        <v>655</v>
      </c>
      <c r="E888" s="10" t="s">
        <v>34</v>
      </c>
      <c r="F888" s="10" t="s">
        <v>35</v>
      </c>
      <c r="G888" s="8" t="s">
        <v>36</v>
      </c>
      <c r="H888" s="8" t="s">
        <v>53</v>
      </c>
      <c r="I888" s="8" t="s">
        <v>53</v>
      </c>
      <c r="J888" s="10">
        <v>176</v>
      </c>
      <c r="K888" s="10" t="s">
        <v>421</v>
      </c>
      <c r="L888" s="10" t="s">
        <v>40</v>
      </c>
      <c r="M888" s="12">
        <v>1</v>
      </c>
      <c r="N888" s="15">
        <v>8500.0</v>
      </c>
      <c r="O888" s="15"/>
      <c r="P888" s="17">
        <f>IF(N888&gt;0, O888/N888, 0)</f>
        <v>0</v>
      </c>
      <c r="Q888" s="15">
        <f>N888-O888</f>
        <v>8500</v>
      </c>
      <c r="R888" s="15">
        <f>M888*N888</f>
        <v>8500</v>
      </c>
      <c r="S888" s="15">
        <f>M888*O888</f>
        <v>0</v>
      </c>
      <c r="T888" s="15">
        <f>M888*Q888</f>
        <v>8500</v>
      </c>
      <c r="U888" s="15"/>
      <c r="V888" s="15">
        <f>M888*U888</f>
        <v>0</v>
      </c>
      <c r="W888" s="15">
        <f>T888-V888</f>
        <v>8500</v>
      </c>
      <c r="X888" s="17">
        <f>IF(T888&gt;0, W888/T888, 0)</f>
        <v>1</v>
      </c>
      <c r="Y888" s="8" t="s">
        <v>41</v>
      </c>
      <c r="Z888" s="10" t="s">
        <v>42</v>
      </c>
      <c r="AA888" s="10" t="s">
        <v>43</v>
      </c>
      <c r="AB888" s="10" t="s">
        <v>44</v>
      </c>
      <c r="AC888" s="8" t="s">
        <v>44</v>
      </c>
    </row>
    <row r="889" spans="1:29">
      <c r="A889" s="11">
        <v>882</v>
      </c>
      <c r="B889" s="11" t="s">
        <v>1190</v>
      </c>
      <c r="C889" s="11" t="s">
        <v>1085</v>
      </c>
      <c r="D889" s="11" t="s">
        <v>655</v>
      </c>
      <c r="E889" s="11" t="s">
        <v>34</v>
      </c>
      <c r="F889" s="11" t="s">
        <v>35</v>
      </c>
      <c r="G889" s="9" t="s">
        <v>36</v>
      </c>
      <c r="H889" s="9" t="s">
        <v>37</v>
      </c>
      <c r="I889" s="9" t="s">
        <v>75</v>
      </c>
      <c r="J889" s="11">
        <v>170</v>
      </c>
      <c r="K889" s="11" t="s">
        <v>651</v>
      </c>
      <c r="L889" s="11" t="s">
        <v>40</v>
      </c>
      <c r="M889" s="13">
        <v>1</v>
      </c>
      <c r="N889" s="16">
        <v>9000.0</v>
      </c>
      <c r="O889" s="16"/>
      <c r="P889" s="18">
        <f>IF(N889&gt;0, O889/N889, 0)</f>
        <v>0</v>
      </c>
      <c r="Q889" s="16">
        <f>N889-O889</f>
        <v>9000</v>
      </c>
      <c r="R889" s="16">
        <f>M889*N889</f>
        <v>9000</v>
      </c>
      <c r="S889" s="16">
        <f>M889*O889</f>
        <v>0</v>
      </c>
      <c r="T889" s="16">
        <f>M889*Q889</f>
        <v>9000</v>
      </c>
      <c r="U889" s="16"/>
      <c r="V889" s="16">
        <f>M889*U889</f>
        <v>0</v>
      </c>
      <c r="W889" s="16">
        <f>T889-V889</f>
        <v>9000</v>
      </c>
      <c r="X889" s="18">
        <f>IF(T889&gt;0, W889/T889, 0)</f>
        <v>1</v>
      </c>
      <c r="Y889" s="9" t="s">
        <v>41</v>
      </c>
      <c r="Z889" s="11" t="s">
        <v>42</v>
      </c>
      <c r="AA889" s="11" t="s">
        <v>43</v>
      </c>
      <c r="AB889" s="11" t="s">
        <v>44</v>
      </c>
      <c r="AC889" s="9" t="s">
        <v>44</v>
      </c>
    </row>
    <row r="890" spans="1:29">
      <c r="A890" s="10">
        <v>883</v>
      </c>
      <c r="B890" s="10" t="s">
        <v>1191</v>
      </c>
      <c r="C890" s="10" t="s">
        <v>1085</v>
      </c>
      <c r="D890" s="10" t="s">
        <v>655</v>
      </c>
      <c r="E890" s="10" t="s">
        <v>34</v>
      </c>
      <c r="F890" s="10" t="s">
        <v>35</v>
      </c>
      <c r="G890" s="8" t="s">
        <v>36</v>
      </c>
      <c r="H890" s="8" t="s">
        <v>37</v>
      </c>
      <c r="I890" s="8" t="s">
        <v>38</v>
      </c>
      <c r="J890" s="10">
        <v>170</v>
      </c>
      <c r="K890" s="10" t="s">
        <v>145</v>
      </c>
      <c r="L890" s="10" t="s">
        <v>40</v>
      </c>
      <c r="M890" s="12">
        <v>1</v>
      </c>
      <c r="N890" s="15">
        <v>8000.0</v>
      </c>
      <c r="O890" s="15"/>
      <c r="P890" s="17">
        <f>IF(N890&gt;0, O890/N890, 0)</f>
        <v>0</v>
      </c>
      <c r="Q890" s="15">
        <f>N890-O890</f>
        <v>8000</v>
      </c>
      <c r="R890" s="15">
        <f>M890*N890</f>
        <v>8000</v>
      </c>
      <c r="S890" s="15">
        <f>M890*O890</f>
        <v>0</v>
      </c>
      <c r="T890" s="15">
        <f>M890*Q890</f>
        <v>8000</v>
      </c>
      <c r="U890" s="15"/>
      <c r="V890" s="15">
        <f>M890*U890</f>
        <v>0</v>
      </c>
      <c r="W890" s="15">
        <f>T890-V890</f>
        <v>8000</v>
      </c>
      <c r="X890" s="17">
        <f>IF(T890&gt;0, W890/T890, 0)</f>
        <v>1</v>
      </c>
      <c r="Y890" s="8" t="s">
        <v>41</v>
      </c>
      <c r="Z890" s="10" t="s">
        <v>42</v>
      </c>
      <c r="AA890" s="10" t="s">
        <v>43</v>
      </c>
      <c r="AB890" s="10" t="s">
        <v>44</v>
      </c>
      <c r="AC890" s="8" t="s">
        <v>44</v>
      </c>
    </row>
    <row r="891" spans="1:29">
      <c r="A891" s="11">
        <v>884</v>
      </c>
      <c r="B891" s="11" t="s">
        <v>1192</v>
      </c>
      <c r="C891" s="11" t="s">
        <v>1085</v>
      </c>
      <c r="D891" s="11" t="s">
        <v>655</v>
      </c>
      <c r="E891" s="11" t="s">
        <v>34</v>
      </c>
      <c r="F891" s="11" t="s">
        <v>35</v>
      </c>
      <c r="G891" s="9" t="s">
        <v>52</v>
      </c>
      <c r="H891" s="9" t="s">
        <v>37</v>
      </c>
      <c r="I891" s="9" t="s">
        <v>75</v>
      </c>
      <c r="J891" s="11">
        <v>128</v>
      </c>
      <c r="K891" s="11" t="s">
        <v>188</v>
      </c>
      <c r="L891" s="11" t="s">
        <v>55</v>
      </c>
      <c r="M891" s="13">
        <v>2</v>
      </c>
      <c r="N891" s="16">
        <v>8000.0</v>
      </c>
      <c r="O891" s="16"/>
      <c r="P891" s="18">
        <f>IF(N891&gt;0, O891/N891, 0)</f>
        <v>0</v>
      </c>
      <c r="Q891" s="16">
        <f>N891-O891</f>
        <v>8000</v>
      </c>
      <c r="R891" s="16">
        <f>M891*N891</f>
        <v>16000</v>
      </c>
      <c r="S891" s="16">
        <f>M891*O891</f>
        <v>0</v>
      </c>
      <c r="T891" s="16">
        <f>M891*Q891</f>
        <v>16000</v>
      </c>
      <c r="U891" s="16"/>
      <c r="V891" s="16">
        <f>M891*U891</f>
        <v>0</v>
      </c>
      <c r="W891" s="16">
        <f>T891-V891</f>
        <v>16000</v>
      </c>
      <c r="X891" s="18">
        <f>IF(T891&gt;0, W891/T891, 0)</f>
        <v>1</v>
      </c>
      <c r="Y891" s="9" t="s">
        <v>41</v>
      </c>
      <c r="Z891" s="11" t="s">
        <v>42</v>
      </c>
      <c r="AA891" s="11" t="s">
        <v>43</v>
      </c>
      <c r="AB891" s="11" t="s">
        <v>44</v>
      </c>
      <c r="AC891" s="9" t="s">
        <v>44</v>
      </c>
    </row>
    <row r="892" spans="1:29">
      <c r="A892" s="10">
        <v>885</v>
      </c>
      <c r="B892" s="10" t="s">
        <v>1193</v>
      </c>
      <c r="C892" s="10" t="s">
        <v>1085</v>
      </c>
      <c r="D892" s="10" t="s">
        <v>655</v>
      </c>
      <c r="E892" s="10" t="s">
        <v>34</v>
      </c>
      <c r="F892" s="10" t="s">
        <v>35</v>
      </c>
      <c r="G892" s="8" t="s">
        <v>36</v>
      </c>
      <c r="H892" s="8" t="s">
        <v>37</v>
      </c>
      <c r="I892" s="8" t="s">
        <v>75</v>
      </c>
      <c r="J892" s="10">
        <v>170</v>
      </c>
      <c r="K892" s="10" t="s">
        <v>651</v>
      </c>
      <c r="L892" s="10" t="s">
        <v>40</v>
      </c>
      <c r="M892" s="12">
        <v>1</v>
      </c>
      <c r="N892" s="15">
        <v>9000.0</v>
      </c>
      <c r="O892" s="15"/>
      <c r="P892" s="17">
        <f>IF(N892&gt;0, O892/N892, 0)</f>
        <v>0</v>
      </c>
      <c r="Q892" s="15">
        <f>N892-O892</f>
        <v>9000</v>
      </c>
      <c r="R892" s="15">
        <f>M892*N892</f>
        <v>9000</v>
      </c>
      <c r="S892" s="15">
        <f>M892*O892</f>
        <v>0</v>
      </c>
      <c r="T892" s="15">
        <f>M892*Q892</f>
        <v>9000</v>
      </c>
      <c r="U892" s="15"/>
      <c r="V892" s="15">
        <f>M892*U892</f>
        <v>0</v>
      </c>
      <c r="W892" s="15">
        <f>T892-V892</f>
        <v>9000</v>
      </c>
      <c r="X892" s="17">
        <f>IF(T892&gt;0, W892/T892, 0)</f>
        <v>1</v>
      </c>
      <c r="Y892" s="8" t="s">
        <v>41</v>
      </c>
      <c r="Z892" s="10" t="s">
        <v>42</v>
      </c>
      <c r="AA892" s="10" t="s">
        <v>43</v>
      </c>
      <c r="AB892" s="10" t="s">
        <v>44</v>
      </c>
      <c r="AC892" s="8" t="s">
        <v>44</v>
      </c>
    </row>
    <row r="893" spans="1:29">
      <c r="A893" s="11">
        <v>886</v>
      </c>
      <c r="B893" s="11" t="s">
        <v>1194</v>
      </c>
      <c r="C893" s="11" t="s">
        <v>1085</v>
      </c>
      <c r="D893" s="11" t="s">
        <v>655</v>
      </c>
      <c r="E893" s="11" t="s">
        <v>34</v>
      </c>
      <c r="F893" s="11" t="s">
        <v>35</v>
      </c>
      <c r="G893" s="9" t="s">
        <v>36</v>
      </c>
      <c r="H893" s="9" t="s">
        <v>37</v>
      </c>
      <c r="I893" s="9" t="s">
        <v>38</v>
      </c>
      <c r="J893" s="11">
        <v>170</v>
      </c>
      <c r="K893" s="11" t="s">
        <v>145</v>
      </c>
      <c r="L893" s="11" t="s">
        <v>40</v>
      </c>
      <c r="M893" s="13">
        <v>1</v>
      </c>
      <c r="N893" s="16">
        <v>8000.0</v>
      </c>
      <c r="O893" s="16"/>
      <c r="P893" s="18">
        <f>IF(N893&gt;0, O893/N893, 0)</f>
        <v>0</v>
      </c>
      <c r="Q893" s="16">
        <f>N893-O893</f>
        <v>8000</v>
      </c>
      <c r="R893" s="16">
        <f>M893*N893</f>
        <v>8000</v>
      </c>
      <c r="S893" s="16">
        <f>M893*O893</f>
        <v>0</v>
      </c>
      <c r="T893" s="16">
        <f>M893*Q893</f>
        <v>8000</v>
      </c>
      <c r="U893" s="16"/>
      <c r="V893" s="16">
        <f>M893*U893</f>
        <v>0</v>
      </c>
      <c r="W893" s="16">
        <f>T893-V893</f>
        <v>8000</v>
      </c>
      <c r="X893" s="18">
        <f>IF(T893&gt;0, W893/T893, 0)</f>
        <v>1</v>
      </c>
      <c r="Y893" s="9" t="s">
        <v>41</v>
      </c>
      <c r="Z893" s="11" t="s">
        <v>42</v>
      </c>
      <c r="AA893" s="11" t="s">
        <v>43</v>
      </c>
      <c r="AB893" s="11" t="s">
        <v>44</v>
      </c>
      <c r="AC893" s="9" t="s">
        <v>44</v>
      </c>
    </row>
    <row r="894" spans="1:29">
      <c r="A894" s="10">
        <v>887</v>
      </c>
      <c r="B894" s="10" t="s">
        <v>1195</v>
      </c>
      <c r="C894" s="10" t="s">
        <v>1085</v>
      </c>
      <c r="D894" s="10" t="s">
        <v>655</v>
      </c>
      <c r="E894" s="10" t="s">
        <v>34</v>
      </c>
      <c r="F894" s="10" t="s">
        <v>35</v>
      </c>
      <c r="G894" s="8" t="s">
        <v>52</v>
      </c>
      <c r="H894" s="8" t="s">
        <v>65</v>
      </c>
      <c r="I894" s="8" t="s">
        <v>151</v>
      </c>
      <c r="J894" s="10">
        <v>122</v>
      </c>
      <c r="K894" s="10" t="s">
        <v>244</v>
      </c>
      <c r="L894" s="10" t="s">
        <v>40</v>
      </c>
      <c r="M894" s="12">
        <v>1</v>
      </c>
      <c r="N894" s="15">
        <v>9000.0</v>
      </c>
      <c r="O894" s="15"/>
      <c r="P894" s="17">
        <f>IF(N894&gt;0, O894/N894, 0)</f>
        <v>0</v>
      </c>
      <c r="Q894" s="15">
        <f>N894-O894</f>
        <v>9000</v>
      </c>
      <c r="R894" s="15">
        <f>M894*N894</f>
        <v>9000</v>
      </c>
      <c r="S894" s="15">
        <f>M894*O894</f>
        <v>0</v>
      </c>
      <c r="T894" s="15">
        <f>M894*Q894</f>
        <v>9000</v>
      </c>
      <c r="U894" s="15"/>
      <c r="V894" s="15">
        <f>M894*U894</f>
        <v>0</v>
      </c>
      <c r="W894" s="15">
        <f>T894-V894</f>
        <v>9000</v>
      </c>
      <c r="X894" s="17">
        <f>IF(T894&gt;0, W894/T894, 0)</f>
        <v>1</v>
      </c>
      <c r="Y894" s="8" t="s">
        <v>41</v>
      </c>
      <c r="Z894" s="10" t="s">
        <v>42</v>
      </c>
      <c r="AA894" s="10" t="s">
        <v>43</v>
      </c>
      <c r="AB894" s="10" t="s">
        <v>44</v>
      </c>
      <c r="AC894" s="8" t="s">
        <v>44</v>
      </c>
    </row>
    <row r="895" spans="1:29">
      <c r="A895" s="11">
        <v>888</v>
      </c>
      <c r="B895" s="11" t="s">
        <v>1196</v>
      </c>
      <c r="C895" s="11" t="s">
        <v>1085</v>
      </c>
      <c r="D895" s="11" t="s">
        <v>655</v>
      </c>
      <c r="E895" s="11" t="s">
        <v>34</v>
      </c>
      <c r="F895" s="11" t="s">
        <v>35</v>
      </c>
      <c r="G895" s="9" t="s">
        <v>52</v>
      </c>
      <c r="H895" s="9" t="s">
        <v>53</v>
      </c>
      <c r="I895" s="9" t="s">
        <v>53</v>
      </c>
      <c r="J895" s="11">
        <v>122</v>
      </c>
      <c r="K895" s="11" t="s">
        <v>84</v>
      </c>
      <c r="L895" s="11" t="s">
        <v>55</v>
      </c>
      <c r="M895" s="13">
        <v>1</v>
      </c>
      <c r="N895" s="16">
        <v>8000.0</v>
      </c>
      <c r="O895" s="16"/>
      <c r="P895" s="18">
        <f>IF(N895&gt;0, O895/N895, 0)</f>
        <v>0</v>
      </c>
      <c r="Q895" s="16">
        <f>N895-O895</f>
        <v>8000</v>
      </c>
      <c r="R895" s="16">
        <f>M895*N895</f>
        <v>8000</v>
      </c>
      <c r="S895" s="16">
        <f>M895*O895</f>
        <v>0</v>
      </c>
      <c r="T895" s="16">
        <f>M895*Q895</f>
        <v>8000</v>
      </c>
      <c r="U895" s="16"/>
      <c r="V895" s="16">
        <f>M895*U895</f>
        <v>0</v>
      </c>
      <c r="W895" s="16">
        <f>T895-V895</f>
        <v>8000</v>
      </c>
      <c r="X895" s="18">
        <f>IF(T895&gt;0, W895/T895, 0)</f>
        <v>1</v>
      </c>
      <c r="Y895" s="9" t="s">
        <v>41</v>
      </c>
      <c r="Z895" s="11" t="s">
        <v>42</v>
      </c>
      <c r="AA895" s="11" t="s">
        <v>43</v>
      </c>
      <c r="AB895" s="11" t="s">
        <v>44</v>
      </c>
      <c r="AC895" s="9" t="s">
        <v>44</v>
      </c>
    </row>
    <row r="896" spans="1:29">
      <c r="A896" s="10">
        <v>889</v>
      </c>
      <c r="B896" s="10" t="s">
        <v>1197</v>
      </c>
      <c r="C896" s="10" t="s">
        <v>1085</v>
      </c>
      <c r="D896" s="10" t="s">
        <v>655</v>
      </c>
      <c r="E896" s="10" t="s">
        <v>34</v>
      </c>
      <c r="F896" s="10" t="s">
        <v>35</v>
      </c>
      <c r="G896" s="8" t="s">
        <v>52</v>
      </c>
      <c r="H896" s="8" t="s">
        <v>37</v>
      </c>
      <c r="I896" s="8" t="s">
        <v>38</v>
      </c>
      <c r="J896" s="10">
        <v>128</v>
      </c>
      <c r="K896" s="10" t="s">
        <v>159</v>
      </c>
      <c r="L896" s="10" t="s">
        <v>55</v>
      </c>
      <c r="M896" s="12">
        <v>1</v>
      </c>
      <c r="N896" s="15">
        <v>7000.0</v>
      </c>
      <c r="O896" s="15"/>
      <c r="P896" s="17">
        <f>IF(N896&gt;0, O896/N896, 0)</f>
        <v>0</v>
      </c>
      <c r="Q896" s="15">
        <f>N896-O896</f>
        <v>7000</v>
      </c>
      <c r="R896" s="15">
        <f>M896*N896</f>
        <v>7000</v>
      </c>
      <c r="S896" s="15">
        <f>M896*O896</f>
        <v>0</v>
      </c>
      <c r="T896" s="15">
        <f>M896*Q896</f>
        <v>7000</v>
      </c>
      <c r="U896" s="15"/>
      <c r="V896" s="15">
        <f>M896*U896</f>
        <v>0</v>
      </c>
      <c r="W896" s="15">
        <f>T896-V896</f>
        <v>7000</v>
      </c>
      <c r="X896" s="17">
        <f>IF(T896&gt;0, W896/T896, 0)</f>
        <v>1</v>
      </c>
      <c r="Y896" s="8" t="s">
        <v>41</v>
      </c>
      <c r="Z896" s="10" t="s">
        <v>42</v>
      </c>
      <c r="AA896" s="10" t="s">
        <v>43</v>
      </c>
      <c r="AB896" s="10" t="s">
        <v>44</v>
      </c>
      <c r="AC896" s="8" t="s">
        <v>44</v>
      </c>
    </row>
    <row r="897" spans="1:29">
      <c r="A897" s="11">
        <v>890</v>
      </c>
      <c r="B897" s="11" t="s">
        <v>1198</v>
      </c>
      <c r="C897" s="11" t="s">
        <v>1085</v>
      </c>
      <c r="D897" s="11" t="s">
        <v>655</v>
      </c>
      <c r="E897" s="11" t="s">
        <v>34</v>
      </c>
      <c r="F897" s="11" t="s">
        <v>35</v>
      </c>
      <c r="G897" s="9" t="s">
        <v>36</v>
      </c>
      <c r="H897" s="9" t="s">
        <v>37</v>
      </c>
      <c r="I897" s="9" t="s">
        <v>75</v>
      </c>
      <c r="J897" s="11">
        <v>170</v>
      </c>
      <c r="K897" s="11" t="s">
        <v>651</v>
      </c>
      <c r="L897" s="11" t="s">
        <v>40</v>
      </c>
      <c r="M897" s="13">
        <v>1</v>
      </c>
      <c r="N897" s="16">
        <v>9000.0</v>
      </c>
      <c r="O897" s="16"/>
      <c r="P897" s="18">
        <f>IF(N897&gt;0, O897/N897, 0)</f>
        <v>0</v>
      </c>
      <c r="Q897" s="16">
        <f>N897-O897</f>
        <v>9000</v>
      </c>
      <c r="R897" s="16">
        <f>M897*N897</f>
        <v>9000</v>
      </c>
      <c r="S897" s="16">
        <f>M897*O897</f>
        <v>0</v>
      </c>
      <c r="T897" s="16">
        <f>M897*Q897</f>
        <v>9000</v>
      </c>
      <c r="U897" s="16"/>
      <c r="V897" s="16">
        <f>M897*U897</f>
        <v>0</v>
      </c>
      <c r="W897" s="16">
        <f>T897-V897</f>
        <v>9000</v>
      </c>
      <c r="X897" s="18">
        <f>IF(T897&gt;0, W897/T897, 0)</f>
        <v>1</v>
      </c>
      <c r="Y897" s="9" t="s">
        <v>41</v>
      </c>
      <c r="Z897" s="11" t="s">
        <v>42</v>
      </c>
      <c r="AA897" s="11" t="s">
        <v>43</v>
      </c>
      <c r="AB897" s="11" t="s">
        <v>44</v>
      </c>
      <c r="AC897" s="9" t="s">
        <v>44</v>
      </c>
    </row>
    <row r="898" spans="1:29">
      <c r="A898" s="10">
        <v>891</v>
      </c>
      <c r="B898" s="10" t="s">
        <v>1199</v>
      </c>
      <c r="C898" s="10" t="s">
        <v>1085</v>
      </c>
      <c r="D898" s="10" t="s">
        <v>655</v>
      </c>
      <c r="E898" s="10" t="s">
        <v>34</v>
      </c>
      <c r="F898" s="10" t="s">
        <v>35</v>
      </c>
      <c r="G898" s="8" t="s">
        <v>36</v>
      </c>
      <c r="H898" s="8" t="s">
        <v>37</v>
      </c>
      <c r="I898" s="8" t="s">
        <v>38</v>
      </c>
      <c r="J898" s="10">
        <v>170</v>
      </c>
      <c r="K898" s="10" t="s">
        <v>145</v>
      </c>
      <c r="L898" s="10" t="s">
        <v>40</v>
      </c>
      <c r="M898" s="12">
        <v>1</v>
      </c>
      <c r="N898" s="15">
        <v>8000.0</v>
      </c>
      <c r="O898" s="15"/>
      <c r="P898" s="17">
        <f>IF(N898&gt;0, O898/N898, 0)</f>
        <v>0</v>
      </c>
      <c r="Q898" s="15">
        <f>N898-O898</f>
        <v>8000</v>
      </c>
      <c r="R898" s="15">
        <f>M898*N898</f>
        <v>8000</v>
      </c>
      <c r="S898" s="15">
        <f>M898*O898</f>
        <v>0</v>
      </c>
      <c r="T898" s="15">
        <f>M898*Q898</f>
        <v>8000</v>
      </c>
      <c r="U898" s="15"/>
      <c r="V898" s="15">
        <f>M898*U898</f>
        <v>0</v>
      </c>
      <c r="W898" s="15">
        <f>T898-V898</f>
        <v>8000</v>
      </c>
      <c r="X898" s="17">
        <f>IF(T898&gt;0, W898/T898, 0)</f>
        <v>1</v>
      </c>
      <c r="Y898" s="8" t="s">
        <v>41</v>
      </c>
      <c r="Z898" s="10" t="s">
        <v>42</v>
      </c>
      <c r="AA898" s="10" t="s">
        <v>43</v>
      </c>
      <c r="AB898" s="10" t="s">
        <v>44</v>
      </c>
      <c r="AC898" s="8" t="s">
        <v>44</v>
      </c>
    </row>
    <row r="899" spans="1:29">
      <c r="A899" s="11">
        <v>892</v>
      </c>
      <c r="B899" s="11" t="s">
        <v>1200</v>
      </c>
      <c r="C899" s="11" t="s">
        <v>1085</v>
      </c>
      <c r="D899" s="11" t="s">
        <v>655</v>
      </c>
      <c r="E899" s="11" t="s">
        <v>34</v>
      </c>
      <c r="F899" s="11" t="s">
        <v>35</v>
      </c>
      <c r="G899" s="9" t="s">
        <v>52</v>
      </c>
      <c r="H899" s="9" t="s">
        <v>37</v>
      </c>
      <c r="I899" s="9" t="s">
        <v>38</v>
      </c>
      <c r="J899" s="11">
        <v>152</v>
      </c>
      <c r="K899" s="11" t="s">
        <v>154</v>
      </c>
      <c r="L899" s="11" t="s">
        <v>55</v>
      </c>
      <c r="M899" s="13">
        <v>1</v>
      </c>
      <c r="N899" s="16">
        <v>7000.0</v>
      </c>
      <c r="O899" s="16"/>
      <c r="P899" s="18">
        <f>IF(N899&gt;0, O899/N899, 0)</f>
        <v>0</v>
      </c>
      <c r="Q899" s="16">
        <f>N899-O899</f>
        <v>7000</v>
      </c>
      <c r="R899" s="16">
        <f>M899*N899</f>
        <v>7000</v>
      </c>
      <c r="S899" s="16">
        <f>M899*O899</f>
        <v>0</v>
      </c>
      <c r="T899" s="16">
        <f>M899*Q899</f>
        <v>7000</v>
      </c>
      <c r="U899" s="16"/>
      <c r="V899" s="16">
        <f>M899*U899</f>
        <v>0</v>
      </c>
      <c r="W899" s="16">
        <f>T899-V899</f>
        <v>7000</v>
      </c>
      <c r="X899" s="18">
        <f>IF(T899&gt;0, W899/T899, 0)</f>
        <v>1</v>
      </c>
      <c r="Y899" s="9" t="s">
        <v>41</v>
      </c>
      <c r="Z899" s="11" t="s">
        <v>42</v>
      </c>
      <c r="AA899" s="11" t="s">
        <v>43</v>
      </c>
      <c r="AB899" s="11" t="s">
        <v>44</v>
      </c>
      <c r="AC899" s="9" t="s">
        <v>44</v>
      </c>
    </row>
    <row r="900" spans="1:29">
      <c r="A900" s="10">
        <v>893</v>
      </c>
      <c r="B900" s="10" t="s">
        <v>1201</v>
      </c>
      <c r="C900" s="10" t="s">
        <v>1085</v>
      </c>
      <c r="D900" s="10" t="s">
        <v>655</v>
      </c>
      <c r="E900" s="10" t="s">
        <v>34</v>
      </c>
      <c r="F900" s="10" t="s">
        <v>35</v>
      </c>
      <c r="G900" s="8" t="s">
        <v>36</v>
      </c>
      <c r="H900" s="8" t="s">
        <v>53</v>
      </c>
      <c r="I900" s="8" t="s">
        <v>53</v>
      </c>
      <c r="J900" s="10">
        <v>164</v>
      </c>
      <c r="K900" s="10" t="s">
        <v>63</v>
      </c>
      <c r="L900" s="10" t="s">
        <v>40</v>
      </c>
      <c r="M900" s="12">
        <v>1</v>
      </c>
      <c r="N900" s="15">
        <v>8500.0</v>
      </c>
      <c r="O900" s="15"/>
      <c r="P900" s="17">
        <f>IF(N900&gt;0, O900/N900, 0)</f>
        <v>0</v>
      </c>
      <c r="Q900" s="15">
        <f>N900-O900</f>
        <v>8500</v>
      </c>
      <c r="R900" s="15">
        <f>M900*N900</f>
        <v>8500</v>
      </c>
      <c r="S900" s="15">
        <f>M900*O900</f>
        <v>0</v>
      </c>
      <c r="T900" s="15">
        <f>M900*Q900</f>
        <v>8500</v>
      </c>
      <c r="U900" s="15"/>
      <c r="V900" s="15">
        <f>M900*U900</f>
        <v>0</v>
      </c>
      <c r="W900" s="15">
        <f>T900-V900</f>
        <v>8500</v>
      </c>
      <c r="X900" s="17">
        <f>IF(T900&gt;0, W900/T900, 0)</f>
        <v>1</v>
      </c>
      <c r="Y900" s="8" t="s">
        <v>41</v>
      </c>
      <c r="Z900" s="10" t="s">
        <v>42</v>
      </c>
      <c r="AA900" s="10" t="s">
        <v>43</v>
      </c>
      <c r="AB900" s="10" t="s">
        <v>44</v>
      </c>
      <c r="AC900" s="8" t="s">
        <v>44</v>
      </c>
    </row>
    <row r="901" spans="1:29">
      <c r="A901" s="11">
        <v>894</v>
      </c>
      <c r="B901" s="11" t="s">
        <v>1202</v>
      </c>
      <c r="C901" s="11" t="s">
        <v>1085</v>
      </c>
      <c r="D901" s="11" t="s">
        <v>655</v>
      </c>
      <c r="E901" s="11" t="s">
        <v>34</v>
      </c>
      <c r="F901" s="11" t="s">
        <v>35</v>
      </c>
      <c r="G901" s="9" t="s">
        <v>52</v>
      </c>
      <c r="H901" s="9" t="s">
        <v>37</v>
      </c>
      <c r="I901" s="9" t="s">
        <v>38</v>
      </c>
      <c r="J901" s="11">
        <v>164</v>
      </c>
      <c r="K901" s="11" t="s">
        <v>410</v>
      </c>
      <c r="L901" s="11" t="s">
        <v>55</v>
      </c>
      <c r="M901" s="13">
        <v>1</v>
      </c>
      <c r="N901" s="16">
        <v>8000.0</v>
      </c>
      <c r="O901" s="16"/>
      <c r="P901" s="18">
        <f>IF(N901&gt;0, O901/N901, 0)</f>
        <v>0</v>
      </c>
      <c r="Q901" s="16">
        <f>N901-O901</f>
        <v>8000</v>
      </c>
      <c r="R901" s="16">
        <f>M901*N901</f>
        <v>8000</v>
      </c>
      <c r="S901" s="16">
        <f>M901*O901</f>
        <v>0</v>
      </c>
      <c r="T901" s="16">
        <f>M901*Q901</f>
        <v>8000</v>
      </c>
      <c r="U901" s="16"/>
      <c r="V901" s="16">
        <f>M901*U901</f>
        <v>0</v>
      </c>
      <c r="W901" s="16">
        <f>T901-V901</f>
        <v>8000</v>
      </c>
      <c r="X901" s="18">
        <f>IF(T901&gt;0, W901/T901, 0)</f>
        <v>1</v>
      </c>
      <c r="Y901" s="9" t="s">
        <v>41</v>
      </c>
      <c r="Z901" s="11" t="s">
        <v>42</v>
      </c>
      <c r="AA901" s="11" t="s">
        <v>43</v>
      </c>
      <c r="AB901" s="11" t="s">
        <v>44</v>
      </c>
      <c r="AC901" s="9" t="s">
        <v>44</v>
      </c>
    </row>
    <row r="902" spans="1:29">
      <c r="A902" s="10">
        <v>895</v>
      </c>
      <c r="B902" s="10" t="s">
        <v>1203</v>
      </c>
      <c r="C902" s="10" t="s">
        <v>1085</v>
      </c>
      <c r="D902" s="10" t="s">
        <v>655</v>
      </c>
      <c r="E902" s="10" t="s">
        <v>34</v>
      </c>
      <c r="F902" s="10" t="s">
        <v>35</v>
      </c>
      <c r="G902" s="8" t="s">
        <v>52</v>
      </c>
      <c r="H902" s="8" t="s">
        <v>37</v>
      </c>
      <c r="I902" s="8" t="s">
        <v>38</v>
      </c>
      <c r="J902" s="10">
        <v>140</v>
      </c>
      <c r="K902" s="10" t="s">
        <v>226</v>
      </c>
      <c r="L902" s="10" t="s">
        <v>55</v>
      </c>
      <c r="M902" s="12">
        <v>1</v>
      </c>
      <c r="N902" s="15">
        <v>7000.0</v>
      </c>
      <c r="O902" s="15"/>
      <c r="P902" s="17">
        <f>IF(N902&gt;0, O902/N902, 0)</f>
        <v>0</v>
      </c>
      <c r="Q902" s="15">
        <f>N902-O902</f>
        <v>7000</v>
      </c>
      <c r="R902" s="15">
        <f>M902*N902</f>
        <v>7000</v>
      </c>
      <c r="S902" s="15">
        <f>M902*O902</f>
        <v>0</v>
      </c>
      <c r="T902" s="15">
        <f>M902*Q902</f>
        <v>7000</v>
      </c>
      <c r="U902" s="15"/>
      <c r="V902" s="15">
        <f>M902*U902</f>
        <v>0</v>
      </c>
      <c r="W902" s="15">
        <f>T902-V902</f>
        <v>7000</v>
      </c>
      <c r="X902" s="17">
        <f>IF(T902&gt;0, W902/T902, 0)</f>
        <v>1</v>
      </c>
      <c r="Y902" s="8" t="s">
        <v>41</v>
      </c>
      <c r="Z902" s="10" t="s">
        <v>42</v>
      </c>
      <c r="AA902" s="10" t="s">
        <v>43</v>
      </c>
      <c r="AB902" s="10" t="s">
        <v>44</v>
      </c>
      <c r="AC902" s="8" t="s">
        <v>44</v>
      </c>
    </row>
    <row r="903" spans="1:29">
      <c r="A903" s="11">
        <v>896</v>
      </c>
      <c r="B903" s="11" t="s">
        <v>1204</v>
      </c>
      <c r="C903" s="11" t="s">
        <v>1085</v>
      </c>
      <c r="D903" s="11" t="s">
        <v>655</v>
      </c>
      <c r="E903" s="11" t="s">
        <v>34</v>
      </c>
      <c r="F903" s="11" t="s">
        <v>35</v>
      </c>
      <c r="G903" s="9" t="s">
        <v>52</v>
      </c>
      <c r="H903" s="9" t="s">
        <v>71</v>
      </c>
      <c r="I903" s="9" t="s">
        <v>71</v>
      </c>
      <c r="J903" s="11">
        <v>128</v>
      </c>
      <c r="K903" s="11" t="s">
        <v>112</v>
      </c>
      <c r="L903" s="11" t="s">
        <v>40</v>
      </c>
      <c r="M903" s="13">
        <v>1</v>
      </c>
      <c r="N903" s="16">
        <v>16000.0</v>
      </c>
      <c r="O903" s="16"/>
      <c r="P903" s="18">
        <f>IF(N903&gt;0, O903/N903, 0)</f>
        <v>0</v>
      </c>
      <c r="Q903" s="16">
        <f>N903-O903</f>
        <v>16000</v>
      </c>
      <c r="R903" s="16">
        <f>M903*N903</f>
        <v>16000</v>
      </c>
      <c r="S903" s="16">
        <f>M903*O903</f>
        <v>0</v>
      </c>
      <c r="T903" s="16">
        <f>M903*Q903</f>
        <v>16000</v>
      </c>
      <c r="U903" s="16"/>
      <c r="V903" s="16">
        <f>M903*U903</f>
        <v>0</v>
      </c>
      <c r="W903" s="16">
        <f>T903-V903</f>
        <v>16000</v>
      </c>
      <c r="X903" s="18">
        <f>IF(T903&gt;0, W903/T903, 0)</f>
        <v>1</v>
      </c>
      <c r="Y903" s="9" t="s">
        <v>41</v>
      </c>
      <c r="Z903" s="11" t="s">
        <v>42</v>
      </c>
      <c r="AA903" s="11" t="s">
        <v>43</v>
      </c>
      <c r="AB903" s="11" t="s">
        <v>44</v>
      </c>
      <c r="AC903" s="9" t="s">
        <v>44</v>
      </c>
    </row>
    <row r="904" spans="1:29">
      <c r="A904" s="10">
        <v>897</v>
      </c>
      <c r="B904" s="10" t="s">
        <v>1205</v>
      </c>
      <c r="C904" s="10" t="s">
        <v>1085</v>
      </c>
      <c r="D904" s="10" t="s">
        <v>655</v>
      </c>
      <c r="E904" s="10" t="s">
        <v>34</v>
      </c>
      <c r="F904" s="10" t="s">
        <v>35</v>
      </c>
      <c r="G904" s="8" t="s">
        <v>52</v>
      </c>
      <c r="H904" s="8" t="s">
        <v>47</v>
      </c>
      <c r="I904" s="8" t="s">
        <v>48</v>
      </c>
      <c r="J904" s="10">
        <v>128</v>
      </c>
      <c r="K904" s="10" t="s">
        <v>186</v>
      </c>
      <c r="L904" s="10" t="s">
        <v>40</v>
      </c>
      <c r="M904" s="12">
        <v>1</v>
      </c>
      <c r="N904" s="15">
        <v>18000.0</v>
      </c>
      <c r="O904" s="15"/>
      <c r="P904" s="17">
        <f>IF(N904&gt;0, O904/N904, 0)</f>
        <v>0</v>
      </c>
      <c r="Q904" s="15">
        <f>N904-O904</f>
        <v>18000</v>
      </c>
      <c r="R904" s="15">
        <f>M904*N904</f>
        <v>18000</v>
      </c>
      <c r="S904" s="15">
        <f>M904*O904</f>
        <v>0</v>
      </c>
      <c r="T904" s="15">
        <f>M904*Q904</f>
        <v>18000</v>
      </c>
      <c r="U904" s="15"/>
      <c r="V904" s="15">
        <f>M904*U904</f>
        <v>0</v>
      </c>
      <c r="W904" s="15">
        <f>T904-V904</f>
        <v>18000</v>
      </c>
      <c r="X904" s="17">
        <f>IF(T904&gt;0, W904/T904, 0)</f>
        <v>1</v>
      </c>
      <c r="Y904" s="8" t="s">
        <v>41</v>
      </c>
      <c r="Z904" s="10" t="s">
        <v>42</v>
      </c>
      <c r="AA904" s="10" t="s">
        <v>43</v>
      </c>
      <c r="AB904" s="10" t="s">
        <v>44</v>
      </c>
      <c r="AC904" s="8" t="s">
        <v>44</v>
      </c>
    </row>
    <row r="905" spans="1:29">
      <c r="A905" s="11">
        <v>898</v>
      </c>
      <c r="B905" s="11" t="s">
        <v>1206</v>
      </c>
      <c r="C905" s="11" t="s">
        <v>1085</v>
      </c>
      <c r="D905" s="11" t="s">
        <v>655</v>
      </c>
      <c r="E905" s="11" t="s">
        <v>34</v>
      </c>
      <c r="F905" s="11" t="s">
        <v>35</v>
      </c>
      <c r="G905" s="9" t="s">
        <v>52</v>
      </c>
      <c r="H905" s="9" t="s">
        <v>65</v>
      </c>
      <c r="I905" s="9" t="s">
        <v>151</v>
      </c>
      <c r="J905" s="11">
        <v>122</v>
      </c>
      <c r="K905" s="11" t="s">
        <v>244</v>
      </c>
      <c r="L905" s="11" t="s">
        <v>40</v>
      </c>
      <c r="M905" s="13">
        <v>1</v>
      </c>
      <c r="N905" s="16">
        <v>9000.0</v>
      </c>
      <c r="O905" s="16"/>
      <c r="P905" s="18">
        <f>IF(N905&gt;0, O905/N905, 0)</f>
        <v>0</v>
      </c>
      <c r="Q905" s="16">
        <f>N905-O905</f>
        <v>9000</v>
      </c>
      <c r="R905" s="16">
        <f>M905*N905</f>
        <v>9000</v>
      </c>
      <c r="S905" s="16">
        <f>M905*O905</f>
        <v>0</v>
      </c>
      <c r="T905" s="16">
        <f>M905*Q905</f>
        <v>9000</v>
      </c>
      <c r="U905" s="16"/>
      <c r="V905" s="16">
        <f>M905*U905</f>
        <v>0</v>
      </c>
      <c r="W905" s="16">
        <f>T905-V905</f>
        <v>9000</v>
      </c>
      <c r="X905" s="18">
        <f>IF(T905&gt;0, W905/T905, 0)</f>
        <v>1</v>
      </c>
      <c r="Y905" s="9" t="s">
        <v>41</v>
      </c>
      <c r="Z905" s="11" t="s">
        <v>42</v>
      </c>
      <c r="AA905" s="11" t="s">
        <v>43</v>
      </c>
      <c r="AB905" s="11" t="s">
        <v>44</v>
      </c>
      <c r="AC905" s="9" t="s">
        <v>44</v>
      </c>
    </row>
    <row r="906" spans="1:29">
      <c r="A906" s="10">
        <v>899</v>
      </c>
      <c r="B906" s="10" t="s">
        <v>1207</v>
      </c>
      <c r="C906" s="10" t="s">
        <v>1085</v>
      </c>
      <c r="D906" s="10" t="s">
        <v>655</v>
      </c>
      <c r="E906" s="10" t="s">
        <v>34</v>
      </c>
      <c r="F906" s="10" t="s">
        <v>35</v>
      </c>
      <c r="G906" s="8" t="s">
        <v>52</v>
      </c>
      <c r="H906" s="8" t="s">
        <v>53</v>
      </c>
      <c r="I906" s="8" t="s">
        <v>53</v>
      </c>
      <c r="J906" s="10">
        <v>122</v>
      </c>
      <c r="K906" s="10" t="s">
        <v>84</v>
      </c>
      <c r="L906" s="10" t="s">
        <v>55</v>
      </c>
      <c r="M906" s="12">
        <v>1</v>
      </c>
      <c r="N906" s="15">
        <v>8000.0</v>
      </c>
      <c r="O906" s="15"/>
      <c r="P906" s="17">
        <f>IF(N906&gt;0, O906/N906, 0)</f>
        <v>0</v>
      </c>
      <c r="Q906" s="15">
        <f>N906-O906</f>
        <v>8000</v>
      </c>
      <c r="R906" s="15">
        <f>M906*N906</f>
        <v>8000</v>
      </c>
      <c r="S906" s="15">
        <f>M906*O906</f>
        <v>0</v>
      </c>
      <c r="T906" s="15">
        <f>M906*Q906</f>
        <v>8000</v>
      </c>
      <c r="U906" s="15"/>
      <c r="V906" s="15">
        <f>M906*U906</f>
        <v>0</v>
      </c>
      <c r="W906" s="15">
        <f>T906-V906</f>
        <v>8000</v>
      </c>
      <c r="X906" s="17">
        <f>IF(T906&gt;0, W906/T906, 0)</f>
        <v>1</v>
      </c>
      <c r="Y906" s="8" t="s">
        <v>41</v>
      </c>
      <c r="Z906" s="10" t="s">
        <v>42</v>
      </c>
      <c r="AA906" s="10" t="s">
        <v>43</v>
      </c>
      <c r="AB906" s="10" t="s">
        <v>44</v>
      </c>
      <c r="AC906" s="8" t="s">
        <v>44</v>
      </c>
    </row>
    <row r="907" spans="1:29">
      <c r="A907" s="11">
        <v>900</v>
      </c>
      <c r="B907" s="11" t="s">
        <v>1208</v>
      </c>
      <c r="C907" s="11" t="s">
        <v>1085</v>
      </c>
      <c r="D907" s="11" t="s">
        <v>655</v>
      </c>
      <c r="E907" s="11" t="s">
        <v>34</v>
      </c>
      <c r="F907" s="11" t="s">
        <v>35</v>
      </c>
      <c r="G907" s="9" t="s">
        <v>52</v>
      </c>
      <c r="H907" s="9" t="s">
        <v>37</v>
      </c>
      <c r="I907" s="9" t="s">
        <v>38</v>
      </c>
      <c r="J907" s="11">
        <v>128</v>
      </c>
      <c r="K907" s="11" t="s">
        <v>159</v>
      </c>
      <c r="L907" s="11" t="s">
        <v>55</v>
      </c>
      <c r="M907" s="13">
        <v>2</v>
      </c>
      <c r="N907" s="16">
        <v>7000.0</v>
      </c>
      <c r="O907" s="16"/>
      <c r="P907" s="18">
        <f>IF(N907&gt;0, O907/N907, 0)</f>
        <v>0</v>
      </c>
      <c r="Q907" s="16">
        <f>N907-O907</f>
        <v>7000</v>
      </c>
      <c r="R907" s="16">
        <f>M907*N907</f>
        <v>14000</v>
      </c>
      <c r="S907" s="16">
        <f>M907*O907</f>
        <v>0</v>
      </c>
      <c r="T907" s="16">
        <f>M907*Q907</f>
        <v>14000</v>
      </c>
      <c r="U907" s="16"/>
      <c r="V907" s="16">
        <f>M907*U907</f>
        <v>0</v>
      </c>
      <c r="W907" s="16">
        <f>T907-V907</f>
        <v>14000</v>
      </c>
      <c r="X907" s="18">
        <f>IF(T907&gt;0, W907/T907, 0)</f>
        <v>1</v>
      </c>
      <c r="Y907" s="9" t="s">
        <v>41</v>
      </c>
      <c r="Z907" s="11" t="s">
        <v>42</v>
      </c>
      <c r="AA907" s="11" t="s">
        <v>43</v>
      </c>
      <c r="AB907" s="11" t="s">
        <v>44</v>
      </c>
      <c r="AC907" s="9" t="s">
        <v>44</v>
      </c>
    </row>
    <row r="908" spans="1:29">
      <c r="A908" s="10">
        <v>901</v>
      </c>
      <c r="B908" s="10" t="s">
        <v>1209</v>
      </c>
      <c r="C908" s="10" t="s">
        <v>1085</v>
      </c>
      <c r="D908" s="10" t="s">
        <v>655</v>
      </c>
      <c r="E908" s="10" t="s">
        <v>34</v>
      </c>
      <c r="F908" s="10" t="s">
        <v>35</v>
      </c>
      <c r="G908" s="8" t="s">
        <v>36</v>
      </c>
      <c r="H908" s="8" t="s">
        <v>71</v>
      </c>
      <c r="I908" s="8" t="s">
        <v>71</v>
      </c>
      <c r="J908" s="10">
        <v>176</v>
      </c>
      <c r="K908" s="10" t="s">
        <v>206</v>
      </c>
      <c r="L908" s="10" t="s">
        <v>40</v>
      </c>
      <c r="M908" s="12">
        <v>1</v>
      </c>
      <c r="N908" s="15">
        <v>16500.0</v>
      </c>
      <c r="O908" s="15"/>
      <c r="P908" s="17">
        <f>IF(N908&gt;0, O908/N908, 0)</f>
        <v>0</v>
      </c>
      <c r="Q908" s="15">
        <f>N908-O908</f>
        <v>16500</v>
      </c>
      <c r="R908" s="15">
        <f>M908*N908</f>
        <v>16500</v>
      </c>
      <c r="S908" s="15">
        <f>M908*O908</f>
        <v>0</v>
      </c>
      <c r="T908" s="15">
        <f>M908*Q908</f>
        <v>16500</v>
      </c>
      <c r="U908" s="15"/>
      <c r="V908" s="15">
        <f>M908*U908</f>
        <v>0</v>
      </c>
      <c r="W908" s="15">
        <f>T908-V908</f>
        <v>16500</v>
      </c>
      <c r="X908" s="17">
        <f>IF(T908&gt;0, W908/T908, 0)</f>
        <v>1</v>
      </c>
      <c r="Y908" s="8" t="s">
        <v>41</v>
      </c>
      <c r="Z908" s="10" t="s">
        <v>42</v>
      </c>
      <c r="AA908" s="10" t="s">
        <v>43</v>
      </c>
      <c r="AB908" s="10" t="s">
        <v>44</v>
      </c>
      <c r="AC908" s="8" t="s">
        <v>44</v>
      </c>
    </row>
    <row r="909" spans="1:29">
      <c r="A909" s="11">
        <v>902</v>
      </c>
      <c r="B909" s="11" t="s">
        <v>1210</v>
      </c>
      <c r="C909" s="11" t="s">
        <v>1085</v>
      </c>
      <c r="D909" s="11" t="s">
        <v>655</v>
      </c>
      <c r="E909" s="11" t="s">
        <v>34</v>
      </c>
      <c r="F909" s="11" t="s">
        <v>35</v>
      </c>
      <c r="G909" s="9" t="s">
        <v>36</v>
      </c>
      <c r="H909" s="9" t="s">
        <v>53</v>
      </c>
      <c r="I909" s="9" t="s">
        <v>53</v>
      </c>
      <c r="J909" s="11">
        <v>176</v>
      </c>
      <c r="K909" s="11" t="s">
        <v>421</v>
      </c>
      <c r="L909" s="11" t="s">
        <v>40</v>
      </c>
      <c r="M909" s="13">
        <v>1</v>
      </c>
      <c r="N909" s="16">
        <v>8000.0</v>
      </c>
      <c r="O909" s="16"/>
      <c r="P909" s="18">
        <f>IF(N909&gt;0, O909/N909, 0)</f>
        <v>0</v>
      </c>
      <c r="Q909" s="16">
        <f>N909-O909</f>
        <v>8000</v>
      </c>
      <c r="R909" s="16">
        <f>M909*N909</f>
        <v>8000</v>
      </c>
      <c r="S909" s="16">
        <f>M909*O909</f>
        <v>0</v>
      </c>
      <c r="T909" s="16">
        <f>M909*Q909</f>
        <v>8000</v>
      </c>
      <c r="U909" s="16"/>
      <c r="V909" s="16">
        <f>M909*U909</f>
        <v>0</v>
      </c>
      <c r="W909" s="16">
        <f>T909-V909</f>
        <v>8000</v>
      </c>
      <c r="X909" s="18">
        <f>IF(T909&gt;0, W909/T909, 0)</f>
        <v>1</v>
      </c>
      <c r="Y909" s="9" t="s">
        <v>41</v>
      </c>
      <c r="Z909" s="11" t="s">
        <v>42</v>
      </c>
      <c r="AA909" s="11" t="s">
        <v>43</v>
      </c>
      <c r="AB909" s="11" t="s">
        <v>44</v>
      </c>
      <c r="AC909" s="9" t="s">
        <v>44</v>
      </c>
    </row>
    <row r="910" spans="1:29">
      <c r="A910" s="10">
        <v>903</v>
      </c>
      <c r="B910" s="10" t="s">
        <v>1211</v>
      </c>
      <c r="C910" s="10" t="s">
        <v>1085</v>
      </c>
      <c r="D910" s="10" t="s">
        <v>655</v>
      </c>
      <c r="E910" s="10" t="s">
        <v>34</v>
      </c>
      <c r="F910" s="10" t="s">
        <v>35</v>
      </c>
      <c r="G910" s="8" t="s">
        <v>36</v>
      </c>
      <c r="H910" s="8" t="s">
        <v>47</v>
      </c>
      <c r="I910" s="8" t="s">
        <v>48</v>
      </c>
      <c r="J910" s="10">
        <v>176</v>
      </c>
      <c r="K910" s="10" t="s">
        <v>427</v>
      </c>
      <c r="L910" s="10" t="s">
        <v>40</v>
      </c>
      <c r="M910" s="12">
        <v>1</v>
      </c>
      <c r="N910" s="15">
        <v>18000.0</v>
      </c>
      <c r="O910" s="15"/>
      <c r="P910" s="17">
        <f>IF(N910&gt;0, O910/N910, 0)</f>
        <v>0</v>
      </c>
      <c r="Q910" s="15">
        <f>N910-O910</f>
        <v>18000</v>
      </c>
      <c r="R910" s="15">
        <f>M910*N910</f>
        <v>18000</v>
      </c>
      <c r="S910" s="15">
        <f>M910*O910</f>
        <v>0</v>
      </c>
      <c r="T910" s="15">
        <f>M910*Q910</f>
        <v>18000</v>
      </c>
      <c r="U910" s="15"/>
      <c r="V910" s="15">
        <f>M910*U910</f>
        <v>0</v>
      </c>
      <c r="W910" s="15">
        <f>T910-V910</f>
        <v>18000</v>
      </c>
      <c r="X910" s="17">
        <f>IF(T910&gt;0, W910/T910, 0)</f>
        <v>1</v>
      </c>
      <c r="Y910" s="8" t="s">
        <v>41</v>
      </c>
      <c r="Z910" s="10" t="s">
        <v>42</v>
      </c>
      <c r="AA910" s="10" t="s">
        <v>43</v>
      </c>
      <c r="AB910" s="10" t="s">
        <v>44</v>
      </c>
      <c r="AC910" s="8" t="s">
        <v>44</v>
      </c>
    </row>
    <row r="911" spans="1:29">
      <c r="A911" s="11">
        <v>904</v>
      </c>
      <c r="B911" s="11" t="s">
        <v>1212</v>
      </c>
      <c r="C911" s="11" t="s">
        <v>1085</v>
      </c>
      <c r="D911" s="11" t="s">
        <v>655</v>
      </c>
      <c r="E911" s="11" t="s">
        <v>34</v>
      </c>
      <c r="F911" s="11" t="s">
        <v>35</v>
      </c>
      <c r="G911" s="9" t="s">
        <v>36</v>
      </c>
      <c r="H911" s="9" t="s">
        <v>65</v>
      </c>
      <c r="I911" s="9" t="s">
        <v>151</v>
      </c>
      <c r="J911" s="11">
        <v>170</v>
      </c>
      <c r="K911" s="11" t="s">
        <v>152</v>
      </c>
      <c r="L911" s="11" t="s">
        <v>40</v>
      </c>
      <c r="M911" s="13">
        <v>1</v>
      </c>
      <c r="N911" s="16">
        <v>9500.0</v>
      </c>
      <c r="O911" s="16"/>
      <c r="P911" s="18">
        <f>IF(N911&gt;0, O911/N911, 0)</f>
        <v>0</v>
      </c>
      <c r="Q911" s="16">
        <f>N911-O911</f>
        <v>9500</v>
      </c>
      <c r="R911" s="16">
        <f>M911*N911</f>
        <v>9500</v>
      </c>
      <c r="S911" s="16">
        <f>M911*O911</f>
        <v>0</v>
      </c>
      <c r="T911" s="16">
        <f>M911*Q911</f>
        <v>9500</v>
      </c>
      <c r="U911" s="16"/>
      <c r="V911" s="16">
        <f>M911*U911</f>
        <v>0</v>
      </c>
      <c r="W911" s="16">
        <f>T911-V911</f>
        <v>9500</v>
      </c>
      <c r="X911" s="18">
        <f>IF(T911&gt;0, W911/T911, 0)</f>
        <v>1</v>
      </c>
      <c r="Y911" s="9" t="s">
        <v>41</v>
      </c>
      <c r="Z911" s="11" t="s">
        <v>42</v>
      </c>
      <c r="AA911" s="11" t="s">
        <v>43</v>
      </c>
      <c r="AB911" s="11" t="s">
        <v>44</v>
      </c>
      <c r="AC911" s="9" t="s">
        <v>44</v>
      </c>
    </row>
    <row r="912" spans="1:29">
      <c r="A912" s="10">
        <v>905</v>
      </c>
      <c r="B912" s="10" t="s">
        <v>1213</v>
      </c>
      <c r="C912" s="10" t="s">
        <v>1085</v>
      </c>
      <c r="D912" s="10" t="s">
        <v>655</v>
      </c>
      <c r="E912" s="10" t="s">
        <v>34</v>
      </c>
      <c r="F912" s="10" t="s">
        <v>35</v>
      </c>
      <c r="G912" s="8" t="s">
        <v>36</v>
      </c>
      <c r="H912" s="8" t="s">
        <v>37</v>
      </c>
      <c r="I912" s="8" t="s">
        <v>38</v>
      </c>
      <c r="J912" s="10">
        <v>176</v>
      </c>
      <c r="K912" s="10" t="s">
        <v>355</v>
      </c>
      <c r="L912" s="10" t="s">
        <v>40</v>
      </c>
      <c r="M912" s="12">
        <v>2</v>
      </c>
      <c r="N912" s="15">
        <v>8000.0</v>
      </c>
      <c r="O912" s="15"/>
      <c r="P912" s="17">
        <f>IF(N912&gt;0, O912/N912, 0)</f>
        <v>0</v>
      </c>
      <c r="Q912" s="15">
        <f>N912-O912</f>
        <v>8000</v>
      </c>
      <c r="R912" s="15">
        <f>M912*N912</f>
        <v>16000</v>
      </c>
      <c r="S912" s="15">
        <f>M912*O912</f>
        <v>0</v>
      </c>
      <c r="T912" s="15">
        <f>M912*Q912</f>
        <v>16000</v>
      </c>
      <c r="U912" s="15"/>
      <c r="V912" s="15">
        <f>M912*U912</f>
        <v>0</v>
      </c>
      <c r="W912" s="15">
        <f>T912-V912</f>
        <v>16000</v>
      </c>
      <c r="X912" s="17">
        <f>IF(T912&gt;0, W912/T912, 0)</f>
        <v>1</v>
      </c>
      <c r="Y912" s="8" t="s">
        <v>41</v>
      </c>
      <c r="Z912" s="10" t="s">
        <v>42</v>
      </c>
      <c r="AA912" s="10" t="s">
        <v>43</v>
      </c>
      <c r="AB912" s="10" t="s">
        <v>44</v>
      </c>
      <c r="AC912" s="8" t="s">
        <v>44</v>
      </c>
    </row>
    <row r="913" spans="1:29">
      <c r="A913" s="11">
        <v>906</v>
      </c>
      <c r="B913" s="11" t="s">
        <v>1214</v>
      </c>
      <c r="C913" s="11" t="s">
        <v>1085</v>
      </c>
      <c r="D913" s="11" t="s">
        <v>655</v>
      </c>
      <c r="E913" s="11" t="s">
        <v>70</v>
      </c>
      <c r="F913" s="11" t="s">
        <v>35</v>
      </c>
      <c r="G913" s="9" t="s">
        <v>36</v>
      </c>
      <c r="H913" s="9" t="s">
        <v>58</v>
      </c>
      <c r="I913" s="9" t="s">
        <v>58</v>
      </c>
      <c r="J913" s="11">
        <v>146</v>
      </c>
      <c r="K913" s="11" t="s">
        <v>852</v>
      </c>
      <c r="L913" s="11" t="s">
        <v>40</v>
      </c>
      <c r="M913" s="13">
        <v>1</v>
      </c>
      <c r="N913" s="16">
        <v>9000.0</v>
      </c>
      <c r="O913" s="16"/>
      <c r="P913" s="18">
        <f>IF(N913&gt;0, O913/N913, 0)</f>
        <v>0</v>
      </c>
      <c r="Q913" s="16">
        <f>N913-O913</f>
        <v>9000</v>
      </c>
      <c r="R913" s="16">
        <f>M913*N913</f>
        <v>9000</v>
      </c>
      <c r="S913" s="16">
        <f>M913*O913</f>
        <v>0</v>
      </c>
      <c r="T913" s="16">
        <f>M913*Q913</f>
        <v>9000</v>
      </c>
      <c r="U913" s="16"/>
      <c r="V913" s="16">
        <f>M913*U913</f>
        <v>0</v>
      </c>
      <c r="W913" s="16">
        <f>T913-V913</f>
        <v>9000</v>
      </c>
      <c r="X913" s="18">
        <f>IF(T913&gt;0, W913/T913, 0)</f>
        <v>1</v>
      </c>
      <c r="Y913" s="9" t="s">
        <v>41</v>
      </c>
      <c r="Z913" s="11" t="s">
        <v>42</v>
      </c>
      <c r="AA913" s="11" t="s">
        <v>73</v>
      </c>
      <c r="AB913" s="11" t="s">
        <v>44</v>
      </c>
      <c r="AC913" s="9" t="s">
        <v>44</v>
      </c>
    </row>
    <row r="914" spans="1:29">
      <c r="A914" s="10">
        <v>907</v>
      </c>
      <c r="B914" s="10" t="s">
        <v>1215</v>
      </c>
      <c r="C914" s="10" t="s">
        <v>1085</v>
      </c>
      <c r="D914" s="10" t="s">
        <v>655</v>
      </c>
      <c r="E914" s="10" t="s">
        <v>34</v>
      </c>
      <c r="F914" s="10" t="s">
        <v>35</v>
      </c>
      <c r="G914" s="8" t="s">
        <v>36</v>
      </c>
      <c r="H914" s="8" t="s">
        <v>47</v>
      </c>
      <c r="I914" s="8" t="s">
        <v>48</v>
      </c>
      <c r="J914" s="10">
        <v>158</v>
      </c>
      <c r="K914" s="10" t="s">
        <v>49</v>
      </c>
      <c r="L914" s="10" t="s">
        <v>40</v>
      </c>
      <c r="M914" s="12">
        <v>1</v>
      </c>
      <c r="N914" s="15">
        <v>18000.0</v>
      </c>
      <c r="O914" s="15"/>
      <c r="P914" s="17">
        <f>IF(N914&gt;0, O914/N914, 0)</f>
        <v>0</v>
      </c>
      <c r="Q914" s="15">
        <f>N914-O914</f>
        <v>18000</v>
      </c>
      <c r="R914" s="15">
        <f>M914*N914</f>
        <v>18000</v>
      </c>
      <c r="S914" s="15">
        <f>M914*O914</f>
        <v>0</v>
      </c>
      <c r="T914" s="15">
        <f>M914*Q914</f>
        <v>18000</v>
      </c>
      <c r="U914" s="15"/>
      <c r="V914" s="15">
        <f>M914*U914</f>
        <v>0</v>
      </c>
      <c r="W914" s="15">
        <f>T914-V914</f>
        <v>18000</v>
      </c>
      <c r="X914" s="17">
        <f>IF(T914&gt;0, W914/T914, 0)</f>
        <v>1</v>
      </c>
      <c r="Y914" s="8" t="s">
        <v>41</v>
      </c>
      <c r="Z914" s="10" t="s">
        <v>42</v>
      </c>
      <c r="AA914" s="10" t="s">
        <v>43</v>
      </c>
      <c r="AB914" s="10" t="s">
        <v>44</v>
      </c>
      <c r="AC914" s="8" t="s">
        <v>44</v>
      </c>
    </row>
    <row r="915" spans="1:29">
      <c r="A915" s="11">
        <v>908</v>
      </c>
      <c r="B915" s="11" t="s">
        <v>1216</v>
      </c>
      <c r="C915" s="11" t="s">
        <v>1085</v>
      </c>
      <c r="D915" s="11" t="s">
        <v>655</v>
      </c>
      <c r="E915" s="11" t="s">
        <v>34</v>
      </c>
      <c r="F915" s="11" t="s">
        <v>35</v>
      </c>
      <c r="G915" s="9" t="s">
        <v>36</v>
      </c>
      <c r="H915" s="9" t="s">
        <v>53</v>
      </c>
      <c r="I915" s="9" t="s">
        <v>53</v>
      </c>
      <c r="J915" s="11">
        <v>158</v>
      </c>
      <c r="K915" s="11" t="s">
        <v>124</v>
      </c>
      <c r="L915" s="11" t="s">
        <v>40</v>
      </c>
      <c r="M915" s="13">
        <v>1</v>
      </c>
      <c r="N915" s="16">
        <v>8500.0</v>
      </c>
      <c r="O915" s="16"/>
      <c r="P915" s="18">
        <f>IF(N915&gt;0, O915/N915, 0)</f>
        <v>0</v>
      </c>
      <c r="Q915" s="16">
        <f>N915-O915</f>
        <v>8500</v>
      </c>
      <c r="R915" s="16">
        <f>M915*N915</f>
        <v>8500</v>
      </c>
      <c r="S915" s="16">
        <f>M915*O915</f>
        <v>0</v>
      </c>
      <c r="T915" s="16">
        <f>M915*Q915</f>
        <v>8500</v>
      </c>
      <c r="U915" s="16"/>
      <c r="V915" s="16">
        <f>M915*U915</f>
        <v>0</v>
      </c>
      <c r="W915" s="16">
        <f>T915-V915</f>
        <v>8500</v>
      </c>
      <c r="X915" s="18">
        <f>IF(T915&gt;0, W915/T915, 0)</f>
        <v>1</v>
      </c>
      <c r="Y915" s="9" t="s">
        <v>41</v>
      </c>
      <c r="Z915" s="11" t="s">
        <v>42</v>
      </c>
      <c r="AA915" s="11" t="s">
        <v>43</v>
      </c>
      <c r="AB915" s="11" t="s">
        <v>44</v>
      </c>
      <c r="AC915" s="9" t="s">
        <v>44</v>
      </c>
    </row>
    <row r="916" spans="1:29">
      <c r="A916" s="10">
        <v>909</v>
      </c>
      <c r="B916" s="10" t="s">
        <v>1217</v>
      </c>
      <c r="C916" s="10" t="s">
        <v>1085</v>
      </c>
      <c r="D916" s="10" t="s">
        <v>655</v>
      </c>
      <c r="E916" s="10" t="s">
        <v>34</v>
      </c>
      <c r="F916" s="10" t="s">
        <v>35</v>
      </c>
      <c r="G916" s="8" t="s">
        <v>52</v>
      </c>
      <c r="H916" s="8" t="s">
        <v>71</v>
      </c>
      <c r="I916" s="8" t="s">
        <v>71</v>
      </c>
      <c r="J916" s="10">
        <v>152</v>
      </c>
      <c r="K916" s="10" t="s">
        <v>353</v>
      </c>
      <c r="L916" s="10" t="s">
        <v>40</v>
      </c>
      <c r="M916" s="12">
        <v>1</v>
      </c>
      <c r="N916" s="15">
        <v>16000.0</v>
      </c>
      <c r="O916" s="15"/>
      <c r="P916" s="17">
        <f>IF(N916&gt;0, O916/N916, 0)</f>
        <v>0</v>
      </c>
      <c r="Q916" s="15">
        <f>N916-O916</f>
        <v>16000</v>
      </c>
      <c r="R916" s="15">
        <f>M916*N916</f>
        <v>16000</v>
      </c>
      <c r="S916" s="15">
        <f>M916*O916</f>
        <v>0</v>
      </c>
      <c r="T916" s="15">
        <f>M916*Q916</f>
        <v>16000</v>
      </c>
      <c r="U916" s="15"/>
      <c r="V916" s="15">
        <f>M916*U916</f>
        <v>0</v>
      </c>
      <c r="W916" s="15">
        <f>T916-V916</f>
        <v>16000</v>
      </c>
      <c r="X916" s="17">
        <f>IF(T916&gt;0, W916/T916, 0)</f>
        <v>1</v>
      </c>
      <c r="Y916" s="8" t="s">
        <v>41</v>
      </c>
      <c r="Z916" s="10" t="s">
        <v>42</v>
      </c>
      <c r="AA916" s="10" t="s">
        <v>43</v>
      </c>
      <c r="AB916" s="10" t="s">
        <v>44</v>
      </c>
      <c r="AC916" s="8" t="s">
        <v>44</v>
      </c>
    </row>
    <row r="917" spans="1:29">
      <c r="A917" s="11">
        <v>910</v>
      </c>
      <c r="B917" s="11" t="s">
        <v>1218</v>
      </c>
      <c r="C917" s="11" t="s">
        <v>1085</v>
      </c>
      <c r="D917" s="11" t="s">
        <v>655</v>
      </c>
      <c r="E917" s="11" t="s">
        <v>34</v>
      </c>
      <c r="F917" s="11" t="s">
        <v>35</v>
      </c>
      <c r="G917" s="9" t="s">
        <v>36</v>
      </c>
      <c r="H917" s="9" t="s">
        <v>71</v>
      </c>
      <c r="I917" s="9" t="s">
        <v>71</v>
      </c>
      <c r="J917" s="11">
        <v>176</v>
      </c>
      <c r="K917" s="11" t="s">
        <v>206</v>
      </c>
      <c r="L917" s="11" t="s">
        <v>40</v>
      </c>
      <c r="M917" s="13">
        <v>1</v>
      </c>
      <c r="N917" s="16">
        <v>17000.0</v>
      </c>
      <c r="O917" s="16"/>
      <c r="P917" s="18">
        <f>IF(N917&gt;0, O917/N917, 0)</f>
        <v>0</v>
      </c>
      <c r="Q917" s="16">
        <f>N917-O917</f>
        <v>17000</v>
      </c>
      <c r="R917" s="16">
        <f>M917*N917</f>
        <v>17000</v>
      </c>
      <c r="S917" s="16">
        <f>M917*O917</f>
        <v>0</v>
      </c>
      <c r="T917" s="16">
        <f>M917*Q917</f>
        <v>17000</v>
      </c>
      <c r="U917" s="16"/>
      <c r="V917" s="16">
        <f>M917*U917</f>
        <v>0</v>
      </c>
      <c r="W917" s="16">
        <f>T917-V917</f>
        <v>17000</v>
      </c>
      <c r="X917" s="18">
        <f>IF(T917&gt;0, W917/T917, 0)</f>
        <v>1</v>
      </c>
      <c r="Y917" s="9" t="s">
        <v>41</v>
      </c>
      <c r="Z917" s="11" t="s">
        <v>42</v>
      </c>
      <c r="AA917" s="11" t="s">
        <v>43</v>
      </c>
      <c r="AB917" s="11" t="s">
        <v>44</v>
      </c>
      <c r="AC917" s="9" t="s">
        <v>44</v>
      </c>
    </row>
    <row r="918" spans="1:29">
      <c r="A918" s="10">
        <v>911</v>
      </c>
      <c r="B918" s="10" t="s">
        <v>1219</v>
      </c>
      <c r="C918" s="10" t="s">
        <v>1085</v>
      </c>
      <c r="D918" s="10" t="s">
        <v>655</v>
      </c>
      <c r="E918" s="10" t="s">
        <v>34</v>
      </c>
      <c r="F918" s="10" t="s">
        <v>35</v>
      </c>
      <c r="G918" s="8" t="s">
        <v>52</v>
      </c>
      <c r="H918" s="8" t="s">
        <v>37</v>
      </c>
      <c r="I918" s="8" t="s">
        <v>38</v>
      </c>
      <c r="J918" s="10">
        <v>116</v>
      </c>
      <c r="K918" s="10" t="s">
        <v>94</v>
      </c>
      <c r="L918" s="10" t="s">
        <v>55</v>
      </c>
      <c r="M918" s="12">
        <v>1</v>
      </c>
      <c r="N918" s="15">
        <v>7000.0</v>
      </c>
      <c r="O918" s="15"/>
      <c r="P918" s="17">
        <f>IF(N918&gt;0, O918/N918, 0)</f>
        <v>0</v>
      </c>
      <c r="Q918" s="15">
        <f>N918-O918</f>
        <v>7000</v>
      </c>
      <c r="R918" s="15">
        <f>M918*N918</f>
        <v>7000</v>
      </c>
      <c r="S918" s="15">
        <f>M918*O918</f>
        <v>0</v>
      </c>
      <c r="T918" s="15">
        <f>M918*Q918</f>
        <v>7000</v>
      </c>
      <c r="U918" s="15"/>
      <c r="V918" s="15">
        <f>M918*U918</f>
        <v>0</v>
      </c>
      <c r="W918" s="15">
        <f>T918-V918</f>
        <v>7000</v>
      </c>
      <c r="X918" s="17">
        <f>IF(T918&gt;0, W918/T918, 0)</f>
        <v>1</v>
      </c>
      <c r="Y918" s="8" t="s">
        <v>41</v>
      </c>
      <c r="Z918" s="10" t="s">
        <v>42</v>
      </c>
      <c r="AA918" s="10" t="s">
        <v>43</v>
      </c>
      <c r="AB918" s="10" t="s">
        <v>44</v>
      </c>
      <c r="AC918" s="8" t="s">
        <v>44</v>
      </c>
    </row>
    <row r="919" spans="1:29">
      <c r="A919" s="11">
        <v>912</v>
      </c>
      <c r="B919" s="11" t="s">
        <v>1220</v>
      </c>
      <c r="C919" s="11" t="s">
        <v>1085</v>
      </c>
      <c r="D919" s="11" t="s">
        <v>655</v>
      </c>
      <c r="E919" s="11" t="s">
        <v>34</v>
      </c>
      <c r="F919" s="11" t="s">
        <v>35</v>
      </c>
      <c r="G919" s="9" t="s">
        <v>36</v>
      </c>
      <c r="H919" s="9" t="s">
        <v>37</v>
      </c>
      <c r="I919" s="9" t="s">
        <v>38</v>
      </c>
      <c r="J919" s="11">
        <v>170</v>
      </c>
      <c r="K919" s="11" t="s">
        <v>145</v>
      </c>
      <c r="L919" s="11" t="s">
        <v>40</v>
      </c>
      <c r="M919" s="13">
        <v>2</v>
      </c>
      <c r="N919" s="16">
        <v>8000.0</v>
      </c>
      <c r="O919" s="16"/>
      <c r="P919" s="18">
        <f>IF(N919&gt;0, O919/N919, 0)</f>
        <v>0</v>
      </c>
      <c r="Q919" s="16">
        <f>N919-O919</f>
        <v>8000</v>
      </c>
      <c r="R919" s="16">
        <f>M919*N919</f>
        <v>16000</v>
      </c>
      <c r="S919" s="16">
        <f>M919*O919</f>
        <v>0</v>
      </c>
      <c r="T919" s="16">
        <f>M919*Q919</f>
        <v>16000</v>
      </c>
      <c r="U919" s="16"/>
      <c r="V919" s="16">
        <f>M919*U919</f>
        <v>0</v>
      </c>
      <c r="W919" s="16">
        <f>T919-V919</f>
        <v>16000</v>
      </c>
      <c r="X919" s="18">
        <f>IF(T919&gt;0, W919/T919, 0)</f>
        <v>1</v>
      </c>
      <c r="Y919" s="9" t="s">
        <v>41</v>
      </c>
      <c r="Z919" s="11" t="s">
        <v>42</v>
      </c>
      <c r="AA919" s="11" t="s">
        <v>43</v>
      </c>
      <c r="AB919" s="11" t="s">
        <v>44</v>
      </c>
      <c r="AC919" s="9" t="s">
        <v>44</v>
      </c>
    </row>
    <row r="920" spans="1:29">
      <c r="A920" s="10">
        <v>913</v>
      </c>
      <c r="B920" s="10" t="s">
        <v>1221</v>
      </c>
      <c r="C920" s="10" t="s">
        <v>1085</v>
      </c>
      <c r="D920" s="10" t="s">
        <v>655</v>
      </c>
      <c r="E920" s="10" t="s">
        <v>34</v>
      </c>
      <c r="F920" s="10" t="s">
        <v>35</v>
      </c>
      <c r="G920" s="8" t="s">
        <v>36</v>
      </c>
      <c r="H920" s="8" t="s">
        <v>37</v>
      </c>
      <c r="I920" s="8" t="s">
        <v>38</v>
      </c>
      <c r="J920" s="10">
        <v>164</v>
      </c>
      <c r="K920" s="10" t="s">
        <v>79</v>
      </c>
      <c r="L920" s="10" t="s">
        <v>40</v>
      </c>
      <c r="M920" s="12">
        <v>2</v>
      </c>
      <c r="N920" s="15">
        <v>8000.0</v>
      </c>
      <c r="O920" s="15"/>
      <c r="P920" s="17">
        <f>IF(N920&gt;0, O920/N920, 0)</f>
        <v>0</v>
      </c>
      <c r="Q920" s="15">
        <f>N920-O920</f>
        <v>8000</v>
      </c>
      <c r="R920" s="15">
        <f>M920*N920</f>
        <v>16000</v>
      </c>
      <c r="S920" s="15">
        <f>M920*O920</f>
        <v>0</v>
      </c>
      <c r="T920" s="15">
        <f>M920*Q920</f>
        <v>16000</v>
      </c>
      <c r="U920" s="15"/>
      <c r="V920" s="15">
        <f>M920*U920</f>
        <v>0</v>
      </c>
      <c r="W920" s="15">
        <f>T920-V920</f>
        <v>16000</v>
      </c>
      <c r="X920" s="17">
        <f>IF(T920&gt;0, W920/T920, 0)</f>
        <v>1</v>
      </c>
      <c r="Y920" s="8" t="s">
        <v>41</v>
      </c>
      <c r="Z920" s="10" t="s">
        <v>42</v>
      </c>
      <c r="AA920" s="10" t="s">
        <v>43</v>
      </c>
      <c r="AB920" s="10" t="s">
        <v>44</v>
      </c>
      <c r="AC920" s="8" t="s">
        <v>44</v>
      </c>
    </row>
    <row r="921" spans="1:29">
      <c r="A921" s="11">
        <v>914</v>
      </c>
      <c r="B921" s="11" t="s">
        <v>1222</v>
      </c>
      <c r="C921" s="11" t="s">
        <v>1085</v>
      </c>
      <c r="D921" s="11" t="s">
        <v>655</v>
      </c>
      <c r="E921" s="11" t="s">
        <v>34</v>
      </c>
      <c r="F921" s="11" t="s">
        <v>35</v>
      </c>
      <c r="G921" s="9" t="s">
        <v>36</v>
      </c>
      <c r="H921" s="9" t="s">
        <v>37</v>
      </c>
      <c r="I921" s="9" t="s">
        <v>38</v>
      </c>
      <c r="J921" s="11">
        <v>182</v>
      </c>
      <c r="K921" s="11" t="s">
        <v>338</v>
      </c>
      <c r="L921" s="11" t="s">
        <v>40</v>
      </c>
      <c r="M921" s="13">
        <v>1</v>
      </c>
      <c r="N921" s="16">
        <v>8000.0</v>
      </c>
      <c r="O921" s="16"/>
      <c r="P921" s="18">
        <f>IF(N921&gt;0, O921/N921, 0)</f>
        <v>0</v>
      </c>
      <c r="Q921" s="16">
        <f>N921-O921</f>
        <v>8000</v>
      </c>
      <c r="R921" s="16">
        <f>M921*N921</f>
        <v>8000</v>
      </c>
      <c r="S921" s="16">
        <f>M921*O921</f>
        <v>0</v>
      </c>
      <c r="T921" s="16">
        <f>M921*Q921</f>
        <v>8000</v>
      </c>
      <c r="U921" s="16"/>
      <c r="V921" s="16">
        <f>M921*U921</f>
        <v>0</v>
      </c>
      <c r="W921" s="16">
        <f>T921-V921</f>
        <v>8000</v>
      </c>
      <c r="X921" s="18">
        <f>IF(T921&gt;0, W921/T921, 0)</f>
        <v>1</v>
      </c>
      <c r="Y921" s="9" t="s">
        <v>41</v>
      </c>
      <c r="Z921" s="11" t="s">
        <v>42</v>
      </c>
      <c r="AA921" s="11" t="s">
        <v>43</v>
      </c>
      <c r="AB921" s="11" t="s">
        <v>44</v>
      </c>
      <c r="AC921" s="9" t="s">
        <v>44</v>
      </c>
    </row>
    <row r="922" spans="1:29">
      <c r="A922" s="10">
        <v>915</v>
      </c>
      <c r="B922" s="10" t="s">
        <v>1223</v>
      </c>
      <c r="C922" s="10" t="s">
        <v>1085</v>
      </c>
      <c r="D922" s="10" t="s">
        <v>655</v>
      </c>
      <c r="E922" s="10" t="s">
        <v>70</v>
      </c>
      <c r="F922" s="10" t="s">
        <v>35</v>
      </c>
      <c r="G922" s="8" t="s">
        <v>52</v>
      </c>
      <c r="H922" s="8" t="s">
        <v>58</v>
      </c>
      <c r="I922" s="8" t="s">
        <v>58</v>
      </c>
      <c r="J922" s="10">
        <v>134</v>
      </c>
      <c r="K922" s="10" t="s">
        <v>284</v>
      </c>
      <c r="L922" s="10" t="s">
        <v>40</v>
      </c>
      <c r="M922" s="12">
        <v>1</v>
      </c>
      <c r="N922" s="15">
        <v>8000.0</v>
      </c>
      <c r="O922" s="15"/>
      <c r="P922" s="17">
        <f>IF(N922&gt;0, O922/N922, 0)</f>
        <v>0</v>
      </c>
      <c r="Q922" s="15">
        <f>N922-O922</f>
        <v>8000</v>
      </c>
      <c r="R922" s="15">
        <f>M922*N922</f>
        <v>8000</v>
      </c>
      <c r="S922" s="15">
        <f>M922*O922</f>
        <v>0</v>
      </c>
      <c r="T922" s="15">
        <f>M922*Q922</f>
        <v>8000</v>
      </c>
      <c r="U922" s="15"/>
      <c r="V922" s="15">
        <f>M922*U922</f>
        <v>0</v>
      </c>
      <c r="W922" s="15">
        <f>T922-V922</f>
        <v>8000</v>
      </c>
      <c r="X922" s="17">
        <f>IF(T922&gt;0, W922/T922, 0)</f>
        <v>1</v>
      </c>
      <c r="Y922" s="8" t="s">
        <v>41</v>
      </c>
      <c r="Z922" s="10" t="s">
        <v>42</v>
      </c>
      <c r="AA922" s="10" t="s">
        <v>73</v>
      </c>
      <c r="AB922" s="10" t="s">
        <v>44</v>
      </c>
      <c r="AC922" s="8" t="s">
        <v>44</v>
      </c>
    </row>
    <row r="923" spans="1:29">
      <c r="A923" s="11">
        <v>916</v>
      </c>
      <c r="B923" s="11" t="s">
        <v>1224</v>
      </c>
      <c r="C923" s="11" t="s">
        <v>1085</v>
      </c>
      <c r="D923" s="11" t="s">
        <v>655</v>
      </c>
      <c r="E923" s="11" t="s">
        <v>70</v>
      </c>
      <c r="F923" s="11" t="s">
        <v>35</v>
      </c>
      <c r="G923" s="9" t="s">
        <v>52</v>
      </c>
      <c r="H923" s="9" t="s">
        <v>65</v>
      </c>
      <c r="I923" s="9" t="s">
        <v>151</v>
      </c>
      <c r="J923" s="11">
        <v>134</v>
      </c>
      <c r="K923" s="11" t="s">
        <v>249</v>
      </c>
      <c r="L923" s="11" t="s">
        <v>40</v>
      </c>
      <c r="M923" s="13">
        <v>1</v>
      </c>
      <c r="N923" s="16">
        <v>10000.0</v>
      </c>
      <c r="O923" s="16"/>
      <c r="P923" s="18">
        <f>IF(N923&gt;0, O923/N923, 0)</f>
        <v>0</v>
      </c>
      <c r="Q923" s="16">
        <f>N923-O923</f>
        <v>10000</v>
      </c>
      <c r="R923" s="16">
        <f>M923*N923</f>
        <v>10000</v>
      </c>
      <c r="S923" s="16">
        <f>M923*O923</f>
        <v>0</v>
      </c>
      <c r="T923" s="16">
        <f>M923*Q923</f>
        <v>10000</v>
      </c>
      <c r="U923" s="16"/>
      <c r="V923" s="16">
        <f>M923*U923</f>
        <v>0</v>
      </c>
      <c r="W923" s="16">
        <f>T923-V923</f>
        <v>10000</v>
      </c>
      <c r="X923" s="18">
        <f>IF(T923&gt;0, W923/T923, 0)</f>
        <v>1</v>
      </c>
      <c r="Y923" s="9" t="s">
        <v>41</v>
      </c>
      <c r="Z923" s="11" t="s">
        <v>42</v>
      </c>
      <c r="AA923" s="11" t="s">
        <v>73</v>
      </c>
      <c r="AB923" s="11" t="s">
        <v>44</v>
      </c>
      <c r="AC923" s="9" t="s">
        <v>44</v>
      </c>
    </row>
    <row r="924" spans="1:29">
      <c r="A924" s="10">
        <v>917</v>
      </c>
      <c r="B924" s="10" t="s">
        <v>1225</v>
      </c>
      <c r="C924" s="10" t="s">
        <v>1085</v>
      </c>
      <c r="D924" s="10" t="s">
        <v>655</v>
      </c>
      <c r="E924" s="10" t="s">
        <v>34</v>
      </c>
      <c r="F924" s="10" t="s">
        <v>35</v>
      </c>
      <c r="G924" s="8" t="s">
        <v>52</v>
      </c>
      <c r="H924" s="8" t="s">
        <v>47</v>
      </c>
      <c r="I924" s="8" t="s">
        <v>48</v>
      </c>
      <c r="J924" s="10">
        <v>152</v>
      </c>
      <c r="K924" s="10" t="s">
        <v>414</v>
      </c>
      <c r="L924" s="10" t="s">
        <v>40</v>
      </c>
      <c r="M924" s="12">
        <v>1</v>
      </c>
      <c r="N924" s="15">
        <v>18000.0</v>
      </c>
      <c r="O924" s="15"/>
      <c r="P924" s="17">
        <f>IF(N924&gt;0, O924/N924, 0)</f>
        <v>0</v>
      </c>
      <c r="Q924" s="15">
        <f>N924-O924</f>
        <v>18000</v>
      </c>
      <c r="R924" s="15">
        <f>M924*N924</f>
        <v>18000</v>
      </c>
      <c r="S924" s="15">
        <f>M924*O924</f>
        <v>0</v>
      </c>
      <c r="T924" s="15">
        <f>M924*Q924</f>
        <v>18000</v>
      </c>
      <c r="U924" s="15"/>
      <c r="V924" s="15">
        <f>M924*U924</f>
        <v>0</v>
      </c>
      <c r="W924" s="15">
        <f>T924-V924</f>
        <v>18000</v>
      </c>
      <c r="X924" s="17">
        <f>IF(T924&gt;0, W924/T924, 0)</f>
        <v>1</v>
      </c>
      <c r="Y924" s="8" t="s">
        <v>41</v>
      </c>
      <c r="Z924" s="10" t="s">
        <v>42</v>
      </c>
      <c r="AA924" s="10" t="s">
        <v>43</v>
      </c>
      <c r="AB924" s="10" t="s">
        <v>44</v>
      </c>
      <c r="AC924" s="8" t="s">
        <v>44</v>
      </c>
    </row>
    <row r="925" spans="1:29">
      <c r="A925" s="11">
        <v>918</v>
      </c>
      <c r="B925" s="11" t="s">
        <v>1226</v>
      </c>
      <c r="C925" s="11" t="s">
        <v>1085</v>
      </c>
      <c r="D925" s="11" t="s">
        <v>655</v>
      </c>
      <c r="E925" s="11" t="s">
        <v>34</v>
      </c>
      <c r="F925" s="11" t="s">
        <v>35</v>
      </c>
      <c r="G925" s="9" t="s">
        <v>52</v>
      </c>
      <c r="H925" s="9" t="s">
        <v>65</v>
      </c>
      <c r="I925" s="9" t="s">
        <v>151</v>
      </c>
      <c r="J925" s="11">
        <v>152</v>
      </c>
      <c r="K925" s="11" t="s">
        <v>254</v>
      </c>
      <c r="L925" s="11" t="s">
        <v>40</v>
      </c>
      <c r="M925" s="13">
        <v>1</v>
      </c>
      <c r="N925" s="16">
        <v>9000.0</v>
      </c>
      <c r="O925" s="16"/>
      <c r="P925" s="18">
        <f>IF(N925&gt;0, O925/N925, 0)</f>
        <v>0</v>
      </c>
      <c r="Q925" s="16">
        <f>N925-O925</f>
        <v>9000</v>
      </c>
      <c r="R925" s="16">
        <f>M925*N925</f>
        <v>9000</v>
      </c>
      <c r="S925" s="16">
        <f>M925*O925</f>
        <v>0</v>
      </c>
      <c r="T925" s="16">
        <f>M925*Q925</f>
        <v>9000</v>
      </c>
      <c r="U925" s="16"/>
      <c r="V925" s="16">
        <f>M925*U925</f>
        <v>0</v>
      </c>
      <c r="W925" s="16">
        <f>T925-V925</f>
        <v>9000</v>
      </c>
      <c r="X925" s="18">
        <f>IF(T925&gt;0, W925/T925, 0)</f>
        <v>1</v>
      </c>
      <c r="Y925" s="9" t="s">
        <v>41</v>
      </c>
      <c r="Z925" s="11" t="s">
        <v>42</v>
      </c>
      <c r="AA925" s="11" t="s">
        <v>43</v>
      </c>
      <c r="AB925" s="11" t="s">
        <v>44</v>
      </c>
      <c r="AC925" s="9" t="s">
        <v>44</v>
      </c>
    </row>
    <row r="926" spans="1:29">
      <c r="A926" s="10">
        <v>919</v>
      </c>
      <c r="B926" s="10" t="s">
        <v>1227</v>
      </c>
      <c r="C926" s="10" t="s">
        <v>1085</v>
      </c>
      <c r="D926" s="10" t="s">
        <v>655</v>
      </c>
      <c r="E926" s="10" t="s">
        <v>34</v>
      </c>
      <c r="F926" s="10" t="s">
        <v>35</v>
      </c>
      <c r="G926" s="8" t="s">
        <v>52</v>
      </c>
      <c r="H926" s="8" t="s">
        <v>71</v>
      </c>
      <c r="I926" s="8" t="s">
        <v>71</v>
      </c>
      <c r="J926" s="10">
        <v>152</v>
      </c>
      <c r="K926" s="10" t="s">
        <v>353</v>
      </c>
      <c r="L926" s="10" t="s">
        <v>40</v>
      </c>
      <c r="M926" s="12">
        <v>1</v>
      </c>
      <c r="N926" s="15">
        <v>16000.0</v>
      </c>
      <c r="O926" s="15"/>
      <c r="P926" s="17">
        <f>IF(N926&gt;0, O926/N926, 0)</f>
        <v>0</v>
      </c>
      <c r="Q926" s="15">
        <f>N926-O926</f>
        <v>16000</v>
      </c>
      <c r="R926" s="15">
        <f>M926*N926</f>
        <v>16000</v>
      </c>
      <c r="S926" s="15">
        <f>M926*O926</f>
        <v>0</v>
      </c>
      <c r="T926" s="15">
        <f>M926*Q926</f>
        <v>16000</v>
      </c>
      <c r="U926" s="15"/>
      <c r="V926" s="15">
        <f>M926*U926</f>
        <v>0</v>
      </c>
      <c r="W926" s="15">
        <f>T926-V926</f>
        <v>16000</v>
      </c>
      <c r="X926" s="17">
        <f>IF(T926&gt;0, W926/T926, 0)</f>
        <v>1</v>
      </c>
      <c r="Y926" s="8" t="s">
        <v>41</v>
      </c>
      <c r="Z926" s="10" t="s">
        <v>42</v>
      </c>
      <c r="AA926" s="10" t="s">
        <v>43</v>
      </c>
      <c r="AB926" s="10" t="s">
        <v>44</v>
      </c>
      <c r="AC926" s="8" t="s">
        <v>44</v>
      </c>
    </row>
    <row r="927" spans="1:29">
      <c r="A927" s="11">
        <v>920</v>
      </c>
      <c r="B927" s="11" t="s">
        <v>1228</v>
      </c>
      <c r="C927" s="11" t="s">
        <v>1085</v>
      </c>
      <c r="D927" s="11" t="s">
        <v>655</v>
      </c>
      <c r="E927" s="11" t="s">
        <v>34</v>
      </c>
      <c r="F927" s="11" t="s">
        <v>35</v>
      </c>
      <c r="G927" s="9" t="s">
        <v>52</v>
      </c>
      <c r="H927" s="9" t="s">
        <v>37</v>
      </c>
      <c r="I927" s="9" t="s">
        <v>38</v>
      </c>
      <c r="J927" s="11">
        <v>152</v>
      </c>
      <c r="K927" s="11" t="s">
        <v>154</v>
      </c>
      <c r="L927" s="11" t="s">
        <v>55</v>
      </c>
      <c r="M927" s="13">
        <v>2</v>
      </c>
      <c r="N927" s="16">
        <v>7000.0</v>
      </c>
      <c r="O927" s="16"/>
      <c r="P927" s="18">
        <f>IF(N927&gt;0, O927/N927, 0)</f>
        <v>0</v>
      </c>
      <c r="Q927" s="16">
        <f>N927-O927</f>
        <v>7000</v>
      </c>
      <c r="R927" s="16">
        <f>M927*N927</f>
        <v>14000</v>
      </c>
      <c r="S927" s="16">
        <f>M927*O927</f>
        <v>0</v>
      </c>
      <c r="T927" s="16">
        <f>M927*Q927</f>
        <v>14000</v>
      </c>
      <c r="U927" s="16"/>
      <c r="V927" s="16">
        <f>M927*U927</f>
        <v>0</v>
      </c>
      <c r="W927" s="16">
        <f>T927-V927</f>
        <v>14000</v>
      </c>
      <c r="X927" s="18">
        <f>IF(T927&gt;0, W927/T927, 0)</f>
        <v>1</v>
      </c>
      <c r="Y927" s="9" t="s">
        <v>41</v>
      </c>
      <c r="Z927" s="11" t="s">
        <v>42</v>
      </c>
      <c r="AA927" s="11" t="s">
        <v>43</v>
      </c>
      <c r="AB927" s="11" t="s">
        <v>44</v>
      </c>
      <c r="AC927" s="9" t="s">
        <v>44</v>
      </c>
    </row>
    <row r="928" spans="1:29">
      <c r="A928" s="10">
        <v>921</v>
      </c>
      <c r="B928" s="10" t="s">
        <v>1229</v>
      </c>
      <c r="C928" s="10" t="s">
        <v>1085</v>
      </c>
      <c r="D928" s="10" t="s">
        <v>655</v>
      </c>
      <c r="E928" s="10" t="s">
        <v>34</v>
      </c>
      <c r="F928" s="10" t="s">
        <v>35</v>
      </c>
      <c r="G928" s="8" t="s">
        <v>52</v>
      </c>
      <c r="H928" s="8" t="s">
        <v>53</v>
      </c>
      <c r="I928" s="8" t="s">
        <v>53</v>
      </c>
      <c r="J928" s="10">
        <v>146</v>
      </c>
      <c r="K928" s="10" t="s">
        <v>257</v>
      </c>
      <c r="L928" s="10" t="s">
        <v>55</v>
      </c>
      <c r="M928" s="12">
        <v>1</v>
      </c>
      <c r="N928" s="15">
        <v>8000.0</v>
      </c>
      <c r="O928" s="15"/>
      <c r="P928" s="17">
        <f>IF(N928&gt;0, O928/N928, 0)</f>
        <v>0</v>
      </c>
      <c r="Q928" s="15">
        <f>N928-O928</f>
        <v>8000</v>
      </c>
      <c r="R928" s="15">
        <f>M928*N928</f>
        <v>8000</v>
      </c>
      <c r="S928" s="15">
        <f>M928*O928</f>
        <v>0</v>
      </c>
      <c r="T928" s="15">
        <f>M928*Q928</f>
        <v>8000</v>
      </c>
      <c r="U928" s="15"/>
      <c r="V928" s="15">
        <f>M928*U928</f>
        <v>0</v>
      </c>
      <c r="W928" s="15">
        <f>T928-V928</f>
        <v>8000</v>
      </c>
      <c r="X928" s="17">
        <f>IF(T928&gt;0, W928/T928, 0)</f>
        <v>1</v>
      </c>
      <c r="Y928" s="8" t="s">
        <v>41</v>
      </c>
      <c r="Z928" s="10" t="s">
        <v>42</v>
      </c>
      <c r="AA928" s="10" t="s">
        <v>43</v>
      </c>
      <c r="AB928" s="10" t="s">
        <v>44</v>
      </c>
      <c r="AC928" s="8" t="s">
        <v>44</v>
      </c>
    </row>
    <row r="929" spans="1:29">
      <c r="A929" s="11">
        <v>922</v>
      </c>
      <c r="B929" s="11" t="s">
        <v>1230</v>
      </c>
      <c r="C929" s="11" t="s">
        <v>1085</v>
      </c>
      <c r="D929" s="11" t="s">
        <v>655</v>
      </c>
      <c r="E929" s="11" t="s">
        <v>34</v>
      </c>
      <c r="F929" s="11" t="s">
        <v>35</v>
      </c>
      <c r="G929" s="9" t="s">
        <v>52</v>
      </c>
      <c r="H929" s="9" t="s">
        <v>37</v>
      </c>
      <c r="I929" s="9" t="s">
        <v>75</v>
      </c>
      <c r="J929" s="11">
        <v>146</v>
      </c>
      <c r="K929" s="11" t="s">
        <v>343</v>
      </c>
      <c r="L929" s="11" t="s">
        <v>55</v>
      </c>
      <c r="M929" s="13">
        <v>1</v>
      </c>
      <c r="N929" s="16">
        <v>8000.0</v>
      </c>
      <c r="O929" s="16"/>
      <c r="P929" s="18">
        <f>IF(N929&gt;0, O929/N929, 0)</f>
        <v>0</v>
      </c>
      <c r="Q929" s="16">
        <f>N929-O929</f>
        <v>8000</v>
      </c>
      <c r="R929" s="16">
        <f>M929*N929</f>
        <v>8000</v>
      </c>
      <c r="S929" s="16">
        <f>M929*O929</f>
        <v>0</v>
      </c>
      <c r="T929" s="16">
        <f>M929*Q929</f>
        <v>8000</v>
      </c>
      <c r="U929" s="16"/>
      <c r="V929" s="16">
        <f>M929*U929</f>
        <v>0</v>
      </c>
      <c r="W929" s="16">
        <f>T929-V929</f>
        <v>8000</v>
      </c>
      <c r="X929" s="18">
        <f>IF(T929&gt;0, W929/T929, 0)</f>
        <v>1</v>
      </c>
      <c r="Y929" s="9" t="s">
        <v>41</v>
      </c>
      <c r="Z929" s="11" t="s">
        <v>42</v>
      </c>
      <c r="AA929" s="11" t="s">
        <v>43</v>
      </c>
      <c r="AB929" s="11" t="s">
        <v>44</v>
      </c>
      <c r="AC929" s="9" t="s">
        <v>44</v>
      </c>
    </row>
    <row r="930" spans="1:29">
      <c r="A930" s="10">
        <v>923</v>
      </c>
      <c r="B930" s="10" t="s">
        <v>1231</v>
      </c>
      <c r="C930" s="10" t="s">
        <v>1085</v>
      </c>
      <c r="D930" s="10" t="s">
        <v>655</v>
      </c>
      <c r="E930" s="10" t="s">
        <v>34</v>
      </c>
      <c r="F930" s="10" t="s">
        <v>35</v>
      </c>
      <c r="G930" s="8" t="s">
        <v>52</v>
      </c>
      <c r="H930" s="8" t="s">
        <v>53</v>
      </c>
      <c r="I930" s="8" t="s">
        <v>53</v>
      </c>
      <c r="J930" s="10">
        <v>134</v>
      </c>
      <c r="K930" s="10" t="s">
        <v>178</v>
      </c>
      <c r="L930" s="10" t="s">
        <v>55</v>
      </c>
      <c r="M930" s="12">
        <v>1</v>
      </c>
      <c r="N930" s="15">
        <v>8000.0</v>
      </c>
      <c r="O930" s="15"/>
      <c r="P930" s="17">
        <f>IF(N930&gt;0, O930/N930, 0)</f>
        <v>0</v>
      </c>
      <c r="Q930" s="15">
        <f>N930-O930</f>
        <v>8000</v>
      </c>
      <c r="R930" s="15">
        <f>M930*N930</f>
        <v>8000</v>
      </c>
      <c r="S930" s="15">
        <f>M930*O930</f>
        <v>0</v>
      </c>
      <c r="T930" s="15">
        <f>M930*Q930</f>
        <v>8000</v>
      </c>
      <c r="U930" s="15"/>
      <c r="V930" s="15">
        <f>M930*U930</f>
        <v>0</v>
      </c>
      <c r="W930" s="15">
        <f>T930-V930</f>
        <v>8000</v>
      </c>
      <c r="X930" s="17">
        <f>IF(T930&gt;0, W930/T930, 0)</f>
        <v>1</v>
      </c>
      <c r="Y930" s="8" t="s">
        <v>41</v>
      </c>
      <c r="Z930" s="10" t="s">
        <v>42</v>
      </c>
      <c r="AA930" s="10" t="s">
        <v>43</v>
      </c>
      <c r="AB930" s="10" t="s">
        <v>44</v>
      </c>
      <c r="AC930" s="8" t="s">
        <v>44</v>
      </c>
    </row>
    <row r="931" spans="1:29">
      <c r="A931" s="11">
        <v>924</v>
      </c>
      <c r="B931" s="11" t="s">
        <v>1232</v>
      </c>
      <c r="C931" s="11" t="s">
        <v>1085</v>
      </c>
      <c r="D931" s="11" t="s">
        <v>655</v>
      </c>
      <c r="E931" s="11" t="s">
        <v>34</v>
      </c>
      <c r="F931" s="11" t="s">
        <v>35</v>
      </c>
      <c r="G931" s="9" t="s">
        <v>52</v>
      </c>
      <c r="H931" s="9" t="s">
        <v>71</v>
      </c>
      <c r="I931" s="9" t="s">
        <v>71</v>
      </c>
      <c r="J931" s="11">
        <v>134</v>
      </c>
      <c r="K931" s="11" t="s">
        <v>212</v>
      </c>
      <c r="L931" s="11" t="s">
        <v>40</v>
      </c>
      <c r="M931" s="13">
        <v>1</v>
      </c>
      <c r="N931" s="16">
        <v>16000.0</v>
      </c>
      <c r="O931" s="16"/>
      <c r="P931" s="18">
        <f>IF(N931&gt;0, O931/N931, 0)</f>
        <v>0</v>
      </c>
      <c r="Q931" s="16">
        <f>N931-O931</f>
        <v>16000</v>
      </c>
      <c r="R931" s="16">
        <f>M931*N931</f>
        <v>16000</v>
      </c>
      <c r="S931" s="16">
        <f>M931*O931</f>
        <v>0</v>
      </c>
      <c r="T931" s="16">
        <f>M931*Q931</f>
        <v>16000</v>
      </c>
      <c r="U931" s="16"/>
      <c r="V931" s="16">
        <f>M931*U931</f>
        <v>0</v>
      </c>
      <c r="W931" s="16">
        <f>T931-V931</f>
        <v>16000</v>
      </c>
      <c r="X931" s="18">
        <f>IF(T931&gt;0, W931/T931, 0)</f>
        <v>1</v>
      </c>
      <c r="Y931" s="9" t="s">
        <v>41</v>
      </c>
      <c r="Z931" s="11" t="s">
        <v>42</v>
      </c>
      <c r="AA931" s="11" t="s">
        <v>43</v>
      </c>
      <c r="AB931" s="11" t="s">
        <v>44</v>
      </c>
      <c r="AC931" s="9" t="s">
        <v>44</v>
      </c>
    </row>
    <row r="932" spans="1:29">
      <c r="A932" s="10">
        <v>925</v>
      </c>
      <c r="B932" s="10" t="s">
        <v>1233</v>
      </c>
      <c r="C932" s="10" t="s">
        <v>1085</v>
      </c>
      <c r="D932" s="10" t="s">
        <v>655</v>
      </c>
      <c r="E932" s="10" t="s">
        <v>34</v>
      </c>
      <c r="F932" s="10" t="s">
        <v>35</v>
      </c>
      <c r="G932" s="8" t="s">
        <v>52</v>
      </c>
      <c r="H932" s="8" t="s">
        <v>47</v>
      </c>
      <c r="I932" s="8" t="s">
        <v>48</v>
      </c>
      <c r="J932" s="10">
        <v>134</v>
      </c>
      <c r="K932" s="10" t="s">
        <v>379</v>
      </c>
      <c r="L932" s="10" t="s">
        <v>40</v>
      </c>
      <c r="M932" s="12">
        <v>1</v>
      </c>
      <c r="N932" s="15">
        <v>18000.0</v>
      </c>
      <c r="O932" s="15"/>
      <c r="P932" s="17">
        <f>IF(N932&gt;0, O932/N932, 0)</f>
        <v>0</v>
      </c>
      <c r="Q932" s="15">
        <f>N932-O932</f>
        <v>18000</v>
      </c>
      <c r="R932" s="15">
        <f>M932*N932</f>
        <v>18000</v>
      </c>
      <c r="S932" s="15">
        <f>M932*O932</f>
        <v>0</v>
      </c>
      <c r="T932" s="15">
        <f>M932*Q932</f>
        <v>18000</v>
      </c>
      <c r="U932" s="15"/>
      <c r="V932" s="15">
        <f>M932*U932</f>
        <v>0</v>
      </c>
      <c r="W932" s="15">
        <f>T932-V932</f>
        <v>18000</v>
      </c>
      <c r="X932" s="17">
        <f>IF(T932&gt;0, W932/T932, 0)</f>
        <v>1</v>
      </c>
      <c r="Y932" s="8" t="s">
        <v>41</v>
      </c>
      <c r="Z932" s="10" t="s">
        <v>42</v>
      </c>
      <c r="AA932" s="10" t="s">
        <v>43</v>
      </c>
      <c r="AB932" s="10" t="s">
        <v>44</v>
      </c>
      <c r="AC932" s="8" t="s">
        <v>44</v>
      </c>
    </row>
    <row r="933" spans="1:29">
      <c r="A933" s="11">
        <v>926</v>
      </c>
      <c r="B933" s="11" t="s">
        <v>1234</v>
      </c>
      <c r="C933" s="11" t="s">
        <v>1085</v>
      </c>
      <c r="D933" s="11" t="s">
        <v>655</v>
      </c>
      <c r="E933" s="11" t="s">
        <v>34</v>
      </c>
      <c r="F933" s="11" t="s">
        <v>35</v>
      </c>
      <c r="G933" s="9" t="s">
        <v>52</v>
      </c>
      <c r="H933" s="9" t="s">
        <v>37</v>
      </c>
      <c r="I933" s="9" t="s">
        <v>75</v>
      </c>
      <c r="J933" s="11">
        <v>134</v>
      </c>
      <c r="K933" s="11" t="s">
        <v>149</v>
      </c>
      <c r="L933" s="11" t="s">
        <v>55</v>
      </c>
      <c r="M933" s="13">
        <v>1</v>
      </c>
      <c r="N933" s="16">
        <v>8000.0</v>
      </c>
      <c r="O933" s="16"/>
      <c r="P933" s="18">
        <f>IF(N933&gt;0, O933/N933, 0)</f>
        <v>0</v>
      </c>
      <c r="Q933" s="16">
        <f>N933-O933</f>
        <v>8000</v>
      </c>
      <c r="R933" s="16">
        <f>M933*N933</f>
        <v>8000</v>
      </c>
      <c r="S933" s="16">
        <f>M933*O933</f>
        <v>0</v>
      </c>
      <c r="T933" s="16">
        <f>M933*Q933</f>
        <v>8000</v>
      </c>
      <c r="U933" s="16"/>
      <c r="V933" s="16">
        <f>M933*U933</f>
        <v>0</v>
      </c>
      <c r="W933" s="16">
        <f>T933-V933</f>
        <v>8000</v>
      </c>
      <c r="X933" s="18">
        <f>IF(T933&gt;0, W933/T933, 0)</f>
        <v>1</v>
      </c>
      <c r="Y933" s="9" t="s">
        <v>41</v>
      </c>
      <c r="Z933" s="11" t="s">
        <v>42</v>
      </c>
      <c r="AA933" s="11" t="s">
        <v>43</v>
      </c>
      <c r="AB933" s="11" t="s">
        <v>44</v>
      </c>
      <c r="AC933" s="9" t="s">
        <v>44</v>
      </c>
    </row>
    <row r="934" spans="1:29">
      <c r="A934" s="10">
        <v>927</v>
      </c>
      <c r="B934" s="10" t="s">
        <v>1235</v>
      </c>
      <c r="C934" s="10" t="s">
        <v>1085</v>
      </c>
      <c r="D934" s="10" t="s">
        <v>655</v>
      </c>
      <c r="E934" s="10" t="s">
        <v>34</v>
      </c>
      <c r="F934" s="10" t="s">
        <v>35</v>
      </c>
      <c r="G934" s="8" t="s">
        <v>52</v>
      </c>
      <c r="H934" s="8" t="s">
        <v>37</v>
      </c>
      <c r="I934" s="8" t="s">
        <v>38</v>
      </c>
      <c r="J934" s="10">
        <v>134</v>
      </c>
      <c r="K934" s="10" t="s">
        <v>180</v>
      </c>
      <c r="L934" s="10" t="s">
        <v>55</v>
      </c>
      <c r="M934" s="12">
        <v>2</v>
      </c>
      <c r="N934" s="15">
        <v>7000.0</v>
      </c>
      <c r="O934" s="15"/>
      <c r="P934" s="17">
        <f>IF(N934&gt;0, O934/N934, 0)</f>
        <v>0</v>
      </c>
      <c r="Q934" s="15">
        <f>N934-O934</f>
        <v>7000</v>
      </c>
      <c r="R934" s="15">
        <f>M934*N934</f>
        <v>14000</v>
      </c>
      <c r="S934" s="15">
        <f>M934*O934</f>
        <v>0</v>
      </c>
      <c r="T934" s="15">
        <f>M934*Q934</f>
        <v>14000</v>
      </c>
      <c r="U934" s="15"/>
      <c r="V934" s="15">
        <f>M934*U934</f>
        <v>0</v>
      </c>
      <c r="W934" s="15">
        <f>T934-V934</f>
        <v>14000</v>
      </c>
      <c r="X934" s="17">
        <f>IF(T934&gt;0, W934/T934, 0)</f>
        <v>1</v>
      </c>
      <c r="Y934" s="8" t="s">
        <v>41</v>
      </c>
      <c r="Z934" s="10" t="s">
        <v>42</v>
      </c>
      <c r="AA934" s="10" t="s">
        <v>43</v>
      </c>
      <c r="AB934" s="10" t="s">
        <v>44</v>
      </c>
      <c r="AC934" s="8" t="s">
        <v>44</v>
      </c>
    </row>
    <row r="935" spans="1:29">
      <c r="A935" s="11">
        <v>928</v>
      </c>
      <c r="B935" s="11" t="s">
        <v>1236</v>
      </c>
      <c r="C935" s="11" t="s">
        <v>1085</v>
      </c>
      <c r="D935" s="11" t="s">
        <v>655</v>
      </c>
      <c r="E935" s="11" t="s">
        <v>34</v>
      </c>
      <c r="F935" s="11" t="s">
        <v>35</v>
      </c>
      <c r="G935" s="9" t="s">
        <v>52</v>
      </c>
      <c r="H935" s="9" t="s">
        <v>65</v>
      </c>
      <c r="I935" s="9" t="s">
        <v>151</v>
      </c>
      <c r="J935" s="11">
        <v>134</v>
      </c>
      <c r="K935" s="11" t="s">
        <v>249</v>
      </c>
      <c r="L935" s="11" t="s">
        <v>40</v>
      </c>
      <c r="M935" s="13">
        <v>1</v>
      </c>
      <c r="N935" s="16">
        <v>10000.0</v>
      </c>
      <c r="O935" s="16"/>
      <c r="P935" s="18">
        <f>IF(N935&gt;0, O935/N935, 0)</f>
        <v>0</v>
      </c>
      <c r="Q935" s="16">
        <f>N935-O935</f>
        <v>10000</v>
      </c>
      <c r="R935" s="16">
        <f>M935*N935</f>
        <v>10000</v>
      </c>
      <c r="S935" s="16">
        <f>M935*O935</f>
        <v>0</v>
      </c>
      <c r="T935" s="16">
        <f>M935*Q935</f>
        <v>10000</v>
      </c>
      <c r="U935" s="16"/>
      <c r="V935" s="16">
        <f>M935*U935</f>
        <v>0</v>
      </c>
      <c r="W935" s="16">
        <f>T935-V935</f>
        <v>10000</v>
      </c>
      <c r="X935" s="18">
        <f>IF(T935&gt;0, W935/T935, 0)</f>
        <v>1</v>
      </c>
      <c r="Y935" s="9" t="s">
        <v>41</v>
      </c>
      <c r="Z935" s="11" t="s">
        <v>42</v>
      </c>
      <c r="AA935" s="11" t="s">
        <v>43</v>
      </c>
      <c r="AB935" s="11" t="s">
        <v>44</v>
      </c>
      <c r="AC935" s="9" t="s">
        <v>44</v>
      </c>
    </row>
    <row r="936" spans="1:29">
      <c r="A936" s="10">
        <v>929</v>
      </c>
      <c r="B936" s="10" t="s">
        <v>1237</v>
      </c>
      <c r="C936" s="10" t="s">
        <v>1085</v>
      </c>
      <c r="D936" s="10" t="s">
        <v>655</v>
      </c>
      <c r="E936" s="10" t="s">
        <v>70</v>
      </c>
      <c r="F936" s="10" t="s">
        <v>35</v>
      </c>
      <c r="G936" s="8" t="s">
        <v>52</v>
      </c>
      <c r="H936" s="8" t="s">
        <v>58</v>
      </c>
      <c r="I936" s="8" t="s">
        <v>58</v>
      </c>
      <c r="J936" s="10">
        <v>134</v>
      </c>
      <c r="K936" s="10" t="s">
        <v>284</v>
      </c>
      <c r="L936" s="10" t="s">
        <v>40</v>
      </c>
      <c r="M936" s="12">
        <v>1</v>
      </c>
      <c r="N936" s="15">
        <v>8000.0</v>
      </c>
      <c r="O936" s="15"/>
      <c r="P936" s="17">
        <f>IF(N936&gt;0, O936/N936, 0)</f>
        <v>0</v>
      </c>
      <c r="Q936" s="15">
        <f>N936-O936</f>
        <v>8000</v>
      </c>
      <c r="R936" s="15">
        <f>M936*N936</f>
        <v>8000</v>
      </c>
      <c r="S936" s="15">
        <f>M936*O936</f>
        <v>0</v>
      </c>
      <c r="T936" s="15">
        <f>M936*Q936</f>
        <v>8000</v>
      </c>
      <c r="U936" s="15"/>
      <c r="V936" s="15">
        <f>M936*U936</f>
        <v>0</v>
      </c>
      <c r="W936" s="15">
        <f>T936-V936</f>
        <v>8000</v>
      </c>
      <c r="X936" s="17">
        <f>IF(T936&gt;0, W936/T936, 0)</f>
        <v>1</v>
      </c>
      <c r="Y936" s="8" t="s">
        <v>41</v>
      </c>
      <c r="Z936" s="10" t="s">
        <v>42</v>
      </c>
      <c r="AA936" s="10" t="s">
        <v>1238</v>
      </c>
      <c r="AB936" s="10" t="s">
        <v>44</v>
      </c>
      <c r="AC936" s="8" t="s">
        <v>44</v>
      </c>
    </row>
    <row r="937" spans="1:29">
      <c r="A937" s="11">
        <v>930</v>
      </c>
      <c r="B937" s="11" t="s">
        <v>1239</v>
      </c>
      <c r="C937" s="11" t="s">
        <v>1085</v>
      </c>
      <c r="D937" s="11" t="s">
        <v>655</v>
      </c>
      <c r="E937" s="11" t="s">
        <v>34</v>
      </c>
      <c r="F937" s="11" t="s">
        <v>35</v>
      </c>
      <c r="G937" s="9" t="s">
        <v>52</v>
      </c>
      <c r="H937" s="9" t="s">
        <v>53</v>
      </c>
      <c r="I937" s="9" t="s">
        <v>53</v>
      </c>
      <c r="J937" s="11">
        <v>134</v>
      </c>
      <c r="K937" s="11" t="s">
        <v>178</v>
      </c>
      <c r="L937" s="11" t="s">
        <v>55</v>
      </c>
      <c r="M937" s="13">
        <v>1</v>
      </c>
      <c r="N937" s="16">
        <v>9000.0</v>
      </c>
      <c r="O937" s="16"/>
      <c r="P937" s="18">
        <f>IF(N937&gt;0, O937/N937, 0)</f>
        <v>0</v>
      </c>
      <c r="Q937" s="16">
        <f>N937-O937</f>
        <v>9000</v>
      </c>
      <c r="R937" s="16">
        <f>M937*N937</f>
        <v>9000</v>
      </c>
      <c r="S937" s="16">
        <f>M937*O937</f>
        <v>0</v>
      </c>
      <c r="T937" s="16">
        <f>M937*Q937</f>
        <v>9000</v>
      </c>
      <c r="U937" s="16"/>
      <c r="V937" s="16">
        <f>M937*U937</f>
        <v>0</v>
      </c>
      <c r="W937" s="16">
        <f>T937-V937</f>
        <v>9000</v>
      </c>
      <c r="X937" s="18">
        <f>IF(T937&gt;0, W937/T937, 0)</f>
        <v>1</v>
      </c>
      <c r="Y937" s="9" t="s">
        <v>41</v>
      </c>
      <c r="Z937" s="11" t="s">
        <v>42</v>
      </c>
      <c r="AA937" s="11" t="s">
        <v>43</v>
      </c>
      <c r="AB937" s="11" t="s">
        <v>44</v>
      </c>
      <c r="AC937" s="9" t="s">
        <v>44</v>
      </c>
    </row>
    <row r="938" spans="1:29">
      <c r="A938" s="10">
        <v>931</v>
      </c>
      <c r="B938" s="10" t="s">
        <v>1240</v>
      </c>
      <c r="C938" s="10" t="s">
        <v>1085</v>
      </c>
      <c r="D938" s="10" t="s">
        <v>655</v>
      </c>
      <c r="E938" s="10" t="s">
        <v>34</v>
      </c>
      <c r="F938" s="10" t="s">
        <v>35</v>
      </c>
      <c r="G938" s="8" t="s">
        <v>52</v>
      </c>
      <c r="H938" s="8" t="s">
        <v>71</v>
      </c>
      <c r="I938" s="8" t="s">
        <v>71</v>
      </c>
      <c r="J938" s="10">
        <v>140</v>
      </c>
      <c r="K938" s="10" t="s">
        <v>228</v>
      </c>
      <c r="L938" s="10" t="s">
        <v>40</v>
      </c>
      <c r="M938" s="12">
        <v>1</v>
      </c>
      <c r="N938" s="15">
        <v>16000.0</v>
      </c>
      <c r="O938" s="15"/>
      <c r="P938" s="17">
        <f>IF(N938&gt;0, O938/N938, 0)</f>
        <v>0</v>
      </c>
      <c r="Q938" s="15">
        <f>N938-O938</f>
        <v>16000</v>
      </c>
      <c r="R938" s="15">
        <f>M938*N938</f>
        <v>16000</v>
      </c>
      <c r="S938" s="15">
        <f>M938*O938</f>
        <v>0</v>
      </c>
      <c r="T938" s="15">
        <f>M938*Q938</f>
        <v>16000</v>
      </c>
      <c r="U938" s="15"/>
      <c r="V938" s="15">
        <f>M938*U938</f>
        <v>0</v>
      </c>
      <c r="W938" s="15">
        <f>T938-V938</f>
        <v>16000</v>
      </c>
      <c r="X938" s="17">
        <f>IF(T938&gt;0, W938/T938, 0)</f>
        <v>1</v>
      </c>
      <c r="Y938" s="8" t="s">
        <v>41</v>
      </c>
      <c r="Z938" s="10" t="s">
        <v>42</v>
      </c>
      <c r="AA938" s="10" t="s">
        <v>43</v>
      </c>
      <c r="AB938" s="10" t="s">
        <v>44</v>
      </c>
      <c r="AC938" s="8" t="s">
        <v>44</v>
      </c>
    </row>
    <row r="939" spans="1:29">
      <c r="A939" s="11">
        <v>932</v>
      </c>
      <c r="B939" s="11" t="s">
        <v>1241</v>
      </c>
      <c r="C939" s="11" t="s">
        <v>1085</v>
      </c>
      <c r="D939" s="11" t="s">
        <v>655</v>
      </c>
      <c r="E939" s="11" t="s">
        <v>34</v>
      </c>
      <c r="F939" s="11" t="s">
        <v>35</v>
      </c>
      <c r="G939" s="9" t="s">
        <v>52</v>
      </c>
      <c r="H939" s="9" t="s">
        <v>37</v>
      </c>
      <c r="I939" s="9" t="s">
        <v>38</v>
      </c>
      <c r="J939" s="11">
        <v>140</v>
      </c>
      <c r="K939" s="11" t="s">
        <v>226</v>
      </c>
      <c r="L939" s="11" t="s">
        <v>55</v>
      </c>
      <c r="M939" s="13">
        <v>1</v>
      </c>
      <c r="N939" s="16">
        <v>7000.0</v>
      </c>
      <c r="O939" s="16"/>
      <c r="P939" s="18">
        <f>IF(N939&gt;0, O939/N939, 0)</f>
        <v>0</v>
      </c>
      <c r="Q939" s="16">
        <f>N939-O939</f>
        <v>7000</v>
      </c>
      <c r="R939" s="16">
        <f>M939*N939</f>
        <v>7000</v>
      </c>
      <c r="S939" s="16">
        <f>M939*O939</f>
        <v>0</v>
      </c>
      <c r="T939" s="16">
        <f>M939*Q939</f>
        <v>7000</v>
      </c>
      <c r="U939" s="16"/>
      <c r="V939" s="16">
        <f>M939*U939</f>
        <v>0</v>
      </c>
      <c r="W939" s="16">
        <f>T939-V939</f>
        <v>7000</v>
      </c>
      <c r="X939" s="18">
        <f>IF(T939&gt;0, W939/T939, 0)</f>
        <v>1</v>
      </c>
      <c r="Y939" s="9" t="s">
        <v>41</v>
      </c>
      <c r="Z939" s="11" t="s">
        <v>42</v>
      </c>
      <c r="AA939" s="11" t="s">
        <v>43</v>
      </c>
      <c r="AB939" s="11" t="s">
        <v>44</v>
      </c>
      <c r="AC939" s="9" t="s">
        <v>44</v>
      </c>
    </row>
    <row r="940" spans="1:29">
      <c r="A940" s="10">
        <v>933</v>
      </c>
      <c r="B940" s="10" t="s">
        <v>1242</v>
      </c>
      <c r="C940" s="10" t="s">
        <v>1085</v>
      </c>
      <c r="D940" s="10" t="s">
        <v>655</v>
      </c>
      <c r="E940" s="10" t="s">
        <v>34</v>
      </c>
      <c r="F940" s="10" t="s">
        <v>35</v>
      </c>
      <c r="G940" s="8" t="s">
        <v>52</v>
      </c>
      <c r="H940" s="8" t="s">
        <v>37</v>
      </c>
      <c r="I940" s="8" t="s">
        <v>38</v>
      </c>
      <c r="J940" s="10">
        <v>134</v>
      </c>
      <c r="K940" s="10" t="s">
        <v>180</v>
      </c>
      <c r="L940" s="10" t="s">
        <v>55</v>
      </c>
      <c r="M940" s="12">
        <v>1</v>
      </c>
      <c r="N940" s="15">
        <v>7000.0</v>
      </c>
      <c r="O940" s="15"/>
      <c r="P940" s="17">
        <f>IF(N940&gt;0, O940/N940, 0)</f>
        <v>0</v>
      </c>
      <c r="Q940" s="15">
        <f>N940-O940</f>
        <v>7000</v>
      </c>
      <c r="R940" s="15">
        <f>M940*N940</f>
        <v>7000</v>
      </c>
      <c r="S940" s="15">
        <f>M940*O940</f>
        <v>0</v>
      </c>
      <c r="T940" s="15">
        <f>M940*Q940</f>
        <v>7000</v>
      </c>
      <c r="U940" s="15"/>
      <c r="V940" s="15">
        <f>M940*U940</f>
        <v>0</v>
      </c>
      <c r="W940" s="15">
        <f>T940-V940</f>
        <v>7000</v>
      </c>
      <c r="X940" s="17">
        <f>IF(T940&gt;0, W940/T940, 0)</f>
        <v>1</v>
      </c>
      <c r="Y940" s="8" t="s">
        <v>41</v>
      </c>
      <c r="Z940" s="10" t="s">
        <v>42</v>
      </c>
      <c r="AA940" s="10" t="s">
        <v>43</v>
      </c>
      <c r="AB940" s="10" t="s">
        <v>44</v>
      </c>
      <c r="AC940" s="8" t="s">
        <v>44</v>
      </c>
    </row>
    <row r="941" spans="1:29">
      <c r="A941" s="11">
        <v>934</v>
      </c>
      <c r="B941" s="11" t="s">
        <v>1243</v>
      </c>
      <c r="C941" s="11" t="s">
        <v>1085</v>
      </c>
      <c r="D941" s="11" t="s">
        <v>655</v>
      </c>
      <c r="E941" s="11" t="s">
        <v>34</v>
      </c>
      <c r="F941" s="11" t="s">
        <v>35</v>
      </c>
      <c r="G941" s="9" t="s">
        <v>52</v>
      </c>
      <c r="H941" s="9" t="s">
        <v>53</v>
      </c>
      <c r="I941" s="9" t="s">
        <v>53</v>
      </c>
      <c r="J941" s="11">
        <v>152</v>
      </c>
      <c r="K941" s="11" t="s">
        <v>405</v>
      </c>
      <c r="L941" s="11" t="s">
        <v>55</v>
      </c>
      <c r="M941" s="13">
        <v>2</v>
      </c>
      <c r="N941" s="16">
        <v>8000.0</v>
      </c>
      <c r="O941" s="16"/>
      <c r="P941" s="18">
        <f>IF(N941&gt;0, O941/N941, 0)</f>
        <v>0</v>
      </c>
      <c r="Q941" s="16">
        <f>N941-O941</f>
        <v>8000</v>
      </c>
      <c r="R941" s="16">
        <f>M941*N941</f>
        <v>16000</v>
      </c>
      <c r="S941" s="16">
        <f>M941*O941</f>
        <v>0</v>
      </c>
      <c r="T941" s="16">
        <f>M941*Q941</f>
        <v>16000</v>
      </c>
      <c r="U941" s="16"/>
      <c r="V941" s="16">
        <f>M941*U941</f>
        <v>0</v>
      </c>
      <c r="W941" s="16">
        <f>T941-V941</f>
        <v>16000</v>
      </c>
      <c r="X941" s="18">
        <f>IF(T941&gt;0, W941/T941, 0)</f>
        <v>1</v>
      </c>
      <c r="Y941" s="9" t="s">
        <v>41</v>
      </c>
      <c r="Z941" s="11" t="s">
        <v>42</v>
      </c>
      <c r="AA941" s="11" t="s">
        <v>43</v>
      </c>
      <c r="AB941" s="11" t="s">
        <v>44</v>
      </c>
      <c r="AC941" s="9" t="s">
        <v>44</v>
      </c>
    </row>
    <row r="942" spans="1:29">
      <c r="A942" s="10">
        <v>935</v>
      </c>
      <c r="B942" s="10" t="s">
        <v>1244</v>
      </c>
      <c r="C942" s="10" t="s">
        <v>1085</v>
      </c>
      <c r="D942" s="10" t="s">
        <v>655</v>
      </c>
      <c r="E942" s="10" t="s">
        <v>34</v>
      </c>
      <c r="F942" s="10" t="s">
        <v>35</v>
      </c>
      <c r="G942" s="8" t="s">
        <v>52</v>
      </c>
      <c r="H942" s="8" t="s">
        <v>37</v>
      </c>
      <c r="I942" s="8" t="s">
        <v>38</v>
      </c>
      <c r="J942" s="10">
        <v>152</v>
      </c>
      <c r="K942" s="10" t="s">
        <v>154</v>
      </c>
      <c r="L942" s="10" t="s">
        <v>55</v>
      </c>
      <c r="M942" s="12">
        <v>2</v>
      </c>
      <c r="N942" s="15">
        <v>7000.0</v>
      </c>
      <c r="O942" s="15"/>
      <c r="P942" s="17">
        <f>IF(N942&gt;0, O942/N942, 0)</f>
        <v>0</v>
      </c>
      <c r="Q942" s="15">
        <f>N942-O942</f>
        <v>7000</v>
      </c>
      <c r="R942" s="15">
        <f>M942*N942</f>
        <v>14000</v>
      </c>
      <c r="S942" s="15">
        <f>M942*O942</f>
        <v>0</v>
      </c>
      <c r="T942" s="15">
        <f>M942*Q942</f>
        <v>14000</v>
      </c>
      <c r="U942" s="15"/>
      <c r="V942" s="15">
        <f>M942*U942</f>
        <v>0</v>
      </c>
      <c r="W942" s="15">
        <f>T942-V942</f>
        <v>14000</v>
      </c>
      <c r="X942" s="17">
        <f>IF(T942&gt;0, W942/T942, 0)</f>
        <v>1</v>
      </c>
      <c r="Y942" s="8" t="s">
        <v>41</v>
      </c>
      <c r="Z942" s="10" t="s">
        <v>42</v>
      </c>
      <c r="AA942" s="10" t="s">
        <v>43</v>
      </c>
      <c r="AB942" s="10" t="s">
        <v>44</v>
      </c>
      <c r="AC942" s="8" t="s">
        <v>44</v>
      </c>
    </row>
    <row r="943" spans="1:29">
      <c r="A943" s="11">
        <v>936</v>
      </c>
      <c r="B943" s="11" t="s">
        <v>1245</v>
      </c>
      <c r="C943" s="11" t="s">
        <v>1085</v>
      </c>
      <c r="D943" s="11" t="s">
        <v>655</v>
      </c>
      <c r="E943" s="11" t="s">
        <v>34</v>
      </c>
      <c r="F943" s="11" t="s">
        <v>35</v>
      </c>
      <c r="G943" s="9" t="s">
        <v>52</v>
      </c>
      <c r="H943" s="9" t="s">
        <v>65</v>
      </c>
      <c r="I943" s="9" t="s">
        <v>151</v>
      </c>
      <c r="J943" s="11">
        <v>152</v>
      </c>
      <c r="K943" s="11" t="s">
        <v>254</v>
      </c>
      <c r="L943" s="11" t="s">
        <v>40</v>
      </c>
      <c r="M943" s="13">
        <v>2</v>
      </c>
      <c r="N943" s="16">
        <v>9000.0</v>
      </c>
      <c r="O943" s="16"/>
      <c r="P943" s="18">
        <f>IF(N943&gt;0, O943/N943, 0)</f>
        <v>0</v>
      </c>
      <c r="Q943" s="16">
        <f>N943-O943</f>
        <v>9000</v>
      </c>
      <c r="R943" s="16">
        <f>M943*N943</f>
        <v>18000</v>
      </c>
      <c r="S943" s="16">
        <f>M943*O943</f>
        <v>0</v>
      </c>
      <c r="T943" s="16">
        <f>M943*Q943</f>
        <v>18000</v>
      </c>
      <c r="U943" s="16"/>
      <c r="V943" s="16">
        <f>M943*U943</f>
        <v>0</v>
      </c>
      <c r="W943" s="16">
        <f>T943-V943</f>
        <v>18000</v>
      </c>
      <c r="X943" s="18">
        <f>IF(T943&gt;0, W943/T943, 0)</f>
        <v>1</v>
      </c>
      <c r="Y943" s="9" t="s">
        <v>41</v>
      </c>
      <c r="Z943" s="11" t="s">
        <v>42</v>
      </c>
      <c r="AA943" s="11" t="s">
        <v>43</v>
      </c>
      <c r="AB943" s="11" t="s">
        <v>44</v>
      </c>
      <c r="AC943" s="9" t="s">
        <v>44</v>
      </c>
    </row>
    <row r="944" spans="1:29">
      <c r="A944" s="10">
        <v>937</v>
      </c>
      <c r="B944" s="10" t="s">
        <v>1246</v>
      </c>
      <c r="C944" s="10" t="s">
        <v>1085</v>
      </c>
      <c r="D944" s="10" t="s">
        <v>655</v>
      </c>
      <c r="E944" s="10" t="s">
        <v>34</v>
      </c>
      <c r="F944" s="10" t="s">
        <v>35</v>
      </c>
      <c r="G944" s="8" t="s">
        <v>52</v>
      </c>
      <c r="H944" s="8" t="s">
        <v>58</v>
      </c>
      <c r="I944" s="8" t="s">
        <v>58</v>
      </c>
      <c r="J944" s="10">
        <v>152</v>
      </c>
      <c r="K944" s="10" t="s">
        <v>314</v>
      </c>
      <c r="L944" s="10" t="s">
        <v>40</v>
      </c>
      <c r="M944" s="12">
        <v>1</v>
      </c>
      <c r="N944" s="15">
        <v>7000.0</v>
      </c>
      <c r="O944" s="15"/>
      <c r="P944" s="17">
        <f>IF(N944&gt;0, O944/N944, 0)</f>
        <v>0</v>
      </c>
      <c r="Q944" s="15">
        <f>N944-O944</f>
        <v>7000</v>
      </c>
      <c r="R944" s="15">
        <f>M944*N944</f>
        <v>7000</v>
      </c>
      <c r="S944" s="15">
        <f>M944*O944</f>
        <v>0</v>
      </c>
      <c r="T944" s="15">
        <f>M944*Q944</f>
        <v>7000</v>
      </c>
      <c r="U944" s="15"/>
      <c r="V944" s="15">
        <f>M944*U944</f>
        <v>0</v>
      </c>
      <c r="W944" s="15">
        <f>T944-V944</f>
        <v>7000</v>
      </c>
      <c r="X944" s="17">
        <f>IF(T944&gt;0, W944/T944, 0)</f>
        <v>1</v>
      </c>
      <c r="Y944" s="8" t="s">
        <v>41</v>
      </c>
      <c r="Z944" s="10" t="s">
        <v>42</v>
      </c>
      <c r="AA944" s="10" t="s">
        <v>43</v>
      </c>
      <c r="AB944" s="10" t="s">
        <v>44</v>
      </c>
      <c r="AC944" s="8" t="s">
        <v>44</v>
      </c>
    </row>
    <row r="945" spans="1:29">
      <c r="A945" s="11">
        <v>938</v>
      </c>
      <c r="B945" s="11" t="s">
        <v>1247</v>
      </c>
      <c r="C945" s="11" t="s">
        <v>1085</v>
      </c>
      <c r="D945" s="11" t="s">
        <v>655</v>
      </c>
      <c r="E945" s="11" t="s">
        <v>34</v>
      </c>
      <c r="F945" s="11" t="s">
        <v>35</v>
      </c>
      <c r="G945" s="9" t="s">
        <v>52</v>
      </c>
      <c r="H945" s="9" t="s">
        <v>53</v>
      </c>
      <c r="I945" s="9" t="s">
        <v>53</v>
      </c>
      <c r="J945" s="11">
        <v>158</v>
      </c>
      <c r="K945" s="11" t="s">
        <v>127</v>
      </c>
      <c r="L945" s="11" t="s">
        <v>55</v>
      </c>
      <c r="M945" s="13">
        <v>1</v>
      </c>
      <c r="N945" s="16">
        <v>8000.0</v>
      </c>
      <c r="O945" s="16"/>
      <c r="P945" s="18">
        <f>IF(N945&gt;0, O945/N945, 0)</f>
        <v>0</v>
      </c>
      <c r="Q945" s="16">
        <f>N945-O945</f>
        <v>8000</v>
      </c>
      <c r="R945" s="16">
        <f>M945*N945</f>
        <v>8000</v>
      </c>
      <c r="S945" s="16">
        <f>M945*O945</f>
        <v>0</v>
      </c>
      <c r="T945" s="16">
        <f>M945*Q945</f>
        <v>8000</v>
      </c>
      <c r="U945" s="16"/>
      <c r="V945" s="16">
        <f>M945*U945</f>
        <v>0</v>
      </c>
      <c r="W945" s="16">
        <f>T945-V945</f>
        <v>8000</v>
      </c>
      <c r="X945" s="18">
        <f>IF(T945&gt;0, W945/T945, 0)</f>
        <v>1</v>
      </c>
      <c r="Y945" s="9" t="s">
        <v>41</v>
      </c>
      <c r="Z945" s="11" t="s">
        <v>42</v>
      </c>
      <c r="AA945" s="11" t="s">
        <v>43</v>
      </c>
      <c r="AB945" s="11" t="s">
        <v>44</v>
      </c>
      <c r="AC945" s="9" t="s">
        <v>44</v>
      </c>
    </row>
    <row r="946" spans="1:29">
      <c r="A946" s="10">
        <v>939</v>
      </c>
      <c r="B946" s="10" t="s">
        <v>1248</v>
      </c>
      <c r="C946" s="10" t="s">
        <v>1085</v>
      </c>
      <c r="D946" s="10" t="s">
        <v>655</v>
      </c>
      <c r="E946" s="10" t="s">
        <v>34</v>
      </c>
      <c r="F946" s="10" t="s">
        <v>35</v>
      </c>
      <c r="G946" s="8" t="s">
        <v>52</v>
      </c>
      <c r="H946" s="8" t="s">
        <v>37</v>
      </c>
      <c r="I946" s="8" t="s">
        <v>38</v>
      </c>
      <c r="J946" s="10">
        <v>158</v>
      </c>
      <c r="K946" s="10" t="s">
        <v>132</v>
      </c>
      <c r="L946" s="10" t="s">
        <v>55</v>
      </c>
      <c r="M946" s="12">
        <v>2</v>
      </c>
      <c r="N946" s="15">
        <v>7000.0</v>
      </c>
      <c r="O946" s="15"/>
      <c r="P946" s="17">
        <f>IF(N946&gt;0, O946/N946, 0)</f>
        <v>0</v>
      </c>
      <c r="Q946" s="15">
        <f>N946-O946</f>
        <v>7000</v>
      </c>
      <c r="R946" s="15">
        <f>M946*N946</f>
        <v>14000</v>
      </c>
      <c r="S946" s="15">
        <f>M946*O946</f>
        <v>0</v>
      </c>
      <c r="T946" s="15">
        <f>M946*Q946</f>
        <v>14000</v>
      </c>
      <c r="U946" s="15"/>
      <c r="V946" s="15">
        <f>M946*U946</f>
        <v>0</v>
      </c>
      <c r="W946" s="15">
        <f>T946-V946</f>
        <v>14000</v>
      </c>
      <c r="X946" s="17">
        <f>IF(T946&gt;0, W946/T946, 0)</f>
        <v>1</v>
      </c>
      <c r="Y946" s="8" t="s">
        <v>41</v>
      </c>
      <c r="Z946" s="10" t="s">
        <v>42</v>
      </c>
      <c r="AA946" s="10" t="s">
        <v>43</v>
      </c>
      <c r="AB946" s="10" t="s">
        <v>44</v>
      </c>
      <c r="AC946" s="8" t="s">
        <v>44</v>
      </c>
    </row>
    <row r="947" spans="1:29">
      <c r="A947" s="11">
        <v>940</v>
      </c>
      <c r="B947" s="11" t="s">
        <v>1249</v>
      </c>
      <c r="C947" s="11" t="s">
        <v>1085</v>
      </c>
      <c r="D947" s="11" t="s">
        <v>655</v>
      </c>
      <c r="E947" s="11" t="s">
        <v>34</v>
      </c>
      <c r="F947" s="11" t="s">
        <v>35</v>
      </c>
      <c r="G947" s="9" t="s">
        <v>52</v>
      </c>
      <c r="H947" s="9" t="s">
        <v>53</v>
      </c>
      <c r="I947" s="9" t="s">
        <v>53</v>
      </c>
      <c r="J947" s="11">
        <v>134</v>
      </c>
      <c r="K947" s="11" t="s">
        <v>178</v>
      </c>
      <c r="L947" s="11" t="s">
        <v>55</v>
      </c>
      <c r="M947" s="13">
        <v>1</v>
      </c>
      <c r="N947" s="16">
        <v>8000.0</v>
      </c>
      <c r="O947" s="16"/>
      <c r="P947" s="18">
        <f>IF(N947&gt;0, O947/N947, 0)</f>
        <v>0</v>
      </c>
      <c r="Q947" s="16">
        <f>N947-O947</f>
        <v>8000</v>
      </c>
      <c r="R947" s="16">
        <f>M947*N947</f>
        <v>8000</v>
      </c>
      <c r="S947" s="16">
        <f>M947*O947</f>
        <v>0</v>
      </c>
      <c r="T947" s="16">
        <f>M947*Q947</f>
        <v>8000</v>
      </c>
      <c r="U947" s="16"/>
      <c r="V947" s="16">
        <f>M947*U947</f>
        <v>0</v>
      </c>
      <c r="W947" s="16">
        <f>T947-V947</f>
        <v>8000</v>
      </c>
      <c r="X947" s="18">
        <f>IF(T947&gt;0, W947/T947, 0)</f>
        <v>1</v>
      </c>
      <c r="Y947" s="9" t="s">
        <v>41</v>
      </c>
      <c r="Z947" s="11" t="s">
        <v>42</v>
      </c>
      <c r="AA947" s="11" t="s">
        <v>43</v>
      </c>
      <c r="AB947" s="11" t="s">
        <v>44</v>
      </c>
      <c r="AC947" s="9" t="s">
        <v>44</v>
      </c>
    </row>
    <row r="948" spans="1:29">
      <c r="A948" s="10">
        <v>941</v>
      </c>
      <c r="B948" s="10" t="s">
        <v>1250</v>
      </c>
      <c r="C948" s="10" t="s">
        <v>1085</v>
      </c>
      <c r="D948" s="10" t="s">
        <v>655</v>
      </c>
      <c r="E948" s="10" t="s">
        <v>34</v>
      </c>
      <c r="F948" s="10" t="s">
        <v>35</v>
      </c>
      <c r="G948" s="8" t="s">
        <v>52</v>
      </c>
      <c r="H948" s="8" t="s">
        <v>37</v>
      </c>
      <c r="I948" s="8" t="s">
        <v>38</v>
      </c>
      <c r="J948" s="10">
        <v>134</v>
      </c>
      <c r="K948" s="10" t="s">
        <v>180</v>
      </c>
      <c r="L948" s="10" t="s">
        <v>55</v>
      </c>
      <c r="M948" s="12">
        <v>2</v>
      </c>
      <c r="N948" s="15">
        <v>7000.0</v>
      </c>
      <c r="O948" s="15"/>
      <c r="P948" s="17">
        <f>IF(N948&gt;0, O948/N948, 0)</f>
        <v>0</v>
      </c>
      <c r="Q948" s="15">
        <f>N948-O948</f>
        <v>7000</v>
      </c>
      <c r="R948" s="15">
        <f>M948*N948</f>
        <v>14000</v>
      </c>
      <c r="S948" s="15">
        <f>M948*O948</f>
        <v>0</v>
      </c>
      <c r="T948" s="15">
        <f>M948*Q948</f>
        <v>14000</v>
      </c>
      <c r="U948" s="15"/>
      <c r="V948" s="15">
        <f>M948*U948</f>
        <v>0</v>
      </c>
      <c r="W948" s="15">
        <f>T948-V948</f>
        <v>14000</v>
      </c>
      <c r="X948" s="17">
        <f>IF(T948&gt;0, W948/T948, 0)</f>
        <v>1</v>
      </c>
      <c r="Y948" s="8" t="s">
        <v>41</v>
      </c>
      <c r="Z948" s="10" t="s">
        <v>42</v>
      </c>
      <c r="AA948" s="10" t="s">
        <v>43</v>
      </c>
      <c r="AB948" s="10" t="s">
        <v>44</v>
      </c>
      <c r="AC948" s="8" t="s">
        <v>44</v>
      </c>
    </row>
    <row r="949" spans="1:29">
      <c r="A949" s="11">
        <v>942</v>
      </c>
      <c r="B949" s="11" t="s">
        <v>1251</v>
      </c>
      <c r="C949" s="11" t="s">
        <v>1085</v>
      </c>
      <c r="D949" s="11" t="s">
        <v>655</v>
      </c>
      <c r="E949" s="11" t="s">
        <v>70</v>
      </c>
      <c r="F949" s="11" t="s">
        <v>35</v>
      </c>
      <c r="G949" s="9" t="s">
        <v>52</v>
      </c>
      <c r="H949" s="9" t="s">
        <v>71</v>
      </c>
      <c r="I949" s="9" t="s">
        <v>71</v>
      </c>
      <c r="J949" s="11">
        <v>158</v>
      </c>
      <c r="K949" s="11" t="s">
        <v>110</v>
      </c>
      <c r="L949" s="11" t="s">
        <v>40</v>
      </c>
      <c r="M949" s="13">
        <v>1</v>
      </c>
      <c r="N949" s="16">
        <v>17000.0</v>
      </c>
      <c r="O949" s="16"/>
      <c r="P949" s="18">
        <f>IF(N949&gt;0, O949/N949, 0)</f>
        <v>0</v>
      </c>
      <c r="Q949" s="16">
        <f>N949-O949</f>
        <v>17000</v>
      </c>
      <c r="R949" s="16">
        <f>M949*N949</f>
        <v>17000</v>
      </c>
      <c r="S949" s="16">
        <f>M949*O949</f>
        <v>0</v>
      </c>
      <c r="T949" s="16">
        <f>M949*Q949</f>
        <v>17000</v>
      </c>
      <c r="U949" s="16"/>
      <c r="V949" s="16">
        <f>M949*U949</f>
        <v>0</v>
      </c>
      <c r="W949" s="16">
        <f>T949-V949</f>
        <v>17000</v>
      </c>
      <c r="X949" s="18">
        <f>IF(T949&gt;0, W949/T949, 0)</f>
        <v>1</v>
      </c>
      <c r="Y949" s="9" t="s">
        <v>41</v>
      </c>
      <c r="Z949" s="11" t="s">
        <v>42</v>
      </c>
      <c r="AA949" s="11" t="s">
        <v>1238</v>
      </c>
      <c r="AB949" s="11" t="s">
        <v>44</v>
      </c>
      <c r="AC949" s="9" t="s">
        <v>44</v>
      </c>
    </row>
    <row r="950" spans="1:29">
      <c r="A950" s="10">
        <v>943</v>
      </c>
      <c r="B950" s="10" t="s">
        <v>1252</v>
      </c>
      <c r="C950" s="10" t="s">
        <v>1085</v>
      </c>
      <c r="D950" s="10" t="s">
        <v>655</v>
      </c>
      <c r="E950" s="10" t="s">
        <v>70</v>
      </c>
      <c r="F950" s="10" t="s">
        <v>35</v>
      </c>
      <c r="G950" s="8" t="s">
        <v>52</v>
      </c>
      <c r="H950" s="8" t="s">
        <v>65</v>
      </c>
      <c r="I950" s="8" t="s">
        <v>151</v>
      </c>
      <c r="J950" s="10">
        <v>134</v>
      </c>
      <c r="K950" s="10" t="s">
        <v>249</v>
      </c>
      <c r="L950" s="10" t="s">
        <v>40</v>
      </c>
      <c r="M950" s="12">
        <v>2</v>
      </c>
      <c r="N950" s="15">
        <v>10000.0</v>
      </c>
      <c r="O950" s="15"/>
      <c r="P950" s="17">
        <f>IF(N950&gt;0, O950/N950, 0)</f>
        <v>0</v>
      </c>
      <c r="Q950" s="15">
        <f>N950-O950</f>
        <v>10000</v>
      </c>
      <c r="R950" s="15">
        <f>M950*N950</f>
        <v>20000</v>
      </c>
      <c r="S950" s="15">
        <f>M950*O950</f>
        <v>0</v>
      </c>
      <c r="T950" s="15">
        <f>M950*Q950</f>
        <v>20000</v>
      </c>
      <c r="U950" s="15"/>
      <c r="V950" s="15">
        <f>M950*U950</f>
        <v>0</v>
      </c>
      <c r="W950" s="15">
        <f>T950-V950</f>
        <v>20000</v>
      </c>
      <c r="X950" s="17">
        <f>IF(T950&gt;0, W950/T950, 0)</f>
        <v>1</v>
      </c>
      <c r="Y950" s="8" t="s">
        <v>41</v>
      </c>
      <c r="Z950" s="10" t="s">
        <v>42</v>
      </c>
      <c r="AA950" s="10" t="s">
        <v>1238</v>
      </c>
      <c r="AB950" s="10" t="s">
        <v>44</v>
      </c>
      <c r="AC950" s="8" t="s">
        <v>44</v>
      </c>
    </row>
    <row r="951" spans="1:29">
      <c r="A951" s="11">
        <v>944</v>
      </c>
      <c r="B951" s="11" t="s">
        <v>1253</v>
      </c>
      <c r="C951" s="11" t="s">
        <v>1085</v>
      </c>
      <c r="D951" s="11" t="s">
        <v>655</v>
      </c>
      <c r="E951" s="11" t="s">
        <v>70</v>
      </c>
      <c r="F951" s="11" t="s">
        <v>35</v>
      </c>
      <c r="G951" s="9" t="s">
        <v>52</v>
      </c>
      <c r="H951" s="9" t="s">
        <v>58</v>
      </c>
      <c r="I951" s="9" t="s">
        <v>58</v>
      </c>
      <c r="J951" s="11">
        <v>134</v>
      </c>
      <c r="K951" s="11" t="s">
        <v>284</v>
      </c>
      <c r="L951" s="11" t="s">
        <v>40</v>
      </c>
      <c r="M951" s="13">
        <v>1</v>
      </c>
      <c r="N951" s="16">
        <v>8000.0</v>
      </c>
      <c r="O951" s="16"/>
      <c r="P951" s="18">
        <f>IF(N951&gt;0, O951/N951, 0)</f>
        <v>0</v>
      </c>
      <c r="Q951" s="16">
        <f>N951-O951</f>
        <v>8000</v>
      </c>
      <c r="R951" s="16">
        <f>M951*N951</f>
        <v>8000</v>
      </c>
      <c r="S951" s="16">
        <f>M951*O951</f>
        <v>0</v>
      </c>
      <c r="T951" s="16">
        <f>M951*Q951</f>
        <v>8000</v>
      </c>
      <c r="U951" s="16"/>
      <c r="V951" s="16">
        <f>M951*U951</f>
        <v>0</v>
      </c>
      <c r="W951" s="16">
        <f>T951-V951</f>
        <v>8000</v>
      </c>
      <c r="X951" s="18">
        <f>IF(T951&gt;0, W951/T951, 0)</f>
        <v>1</v>
      </c>
      <c r="Y951" s="9" t="s">
        <v>41</v>
      </c>
      <c r="Z951" s="11" t="s">
        <v>42</v>
      </c>
      <c r="AA951" s="11" t="s">
        <v>1238</v>
      </c>
      <c r="AB951" s="11" t="s">
        <v>44</v>
      </c>
      <c r="AC951" s="9" t="s">
        <v>44</v>
      </c>
    </row>
    <row r="952" spans="1:29">
      <c r="A952" s="10">
        <v>945</v>
      </c>
      <c r="B952" s="10" t="s">
        <v>1254</v>
      </c>
      <c r="C952" s="10" t="s">
        <v>1085</v>
      </c>
      <c r="D952" s="10" t="s">
        <v>655</v>
      </c>
      <c r="E952" s="10" t="s">
        <v>70</v>
      </c>
      <c r="F952" s="10" t="s">
        <v>35</v>
      </c>
      <c r="G952" s="8" t="s">
        <v>52</v>
      </c>
      <c r="H952" s="8" t="s">
        <v>65</v>
      </c>
      <c r="I952" s="8" t="s">
        <v>151</v>
      </c>
      <c r="J952" s="10">
        <v>128</v>
      </c>
      <c r="K952" s="10" t="s">
        <v>168</v>
      </c>
      <c r="L952" s="10" t="s">
        <v>40</v>
      </c>
      <c r="M952" s="12">
        <v>2</v>
      </c>
      <c r="N952" s="15">
        <v>10000.0</v>
      </c>
      <c r="O952" s="15"/>
      <c r="P952" s="17">
        <f>IF(N952&gt;0, O952/N952, 0)</f>
        <v>0</v>
      </c>
      <c r="Q952" s="15">
        <f>N952-O952</f>
        <v>10000</v>
      </c>
      <c r="R952" s="15">
        <f>M952*N952</f>
        <v>20000</v>
      </c>
      <c r="S952" s="15">
        <f>M952*O952</f>
        <v>0</v>
      </c>
      <c r="T952" s="15">
        <f>M952*Q952</f>
        <v>20000</v>
      </c>
      <c r="U952" s="15"/>
      <c r="V952" s="15">
        <f>M952*U952</f>
        <v>0</v>
      </c>
      <c r="W952" s="15">
        <f>T952-V952</f>
        <v>20000</v>
      </c>
      <c r="X952" s="17">
        <f>IF(T952&gt;0, W952/T952, 0)</f>
        <v>1</v>
      </c>
      <c r="Y952" s="8" t="s">
        <v>41</v>
      </c>
      <c r="Z952" s="10" t="s">
        <v>42</v>
      </c>
      <c r="AA952" s="10" t="s">
        <v>73</v>
      </c>
      <c r="AB952" s="10" t="s">
        <v>44</v>
      </c>
      <c r="AC952" s="8" t="s">
        <v>44</v>
      </c>
    </row>
    <row r="953" spans="1:29">
      <c r="A953" s="11">
        <v>946</v>
      </c>
      <c r="B953" s="11" t="s">
        <v>1255</v>
      </c>
      <c r="C953" s="11" t="s">
        <v>1085</v>
      </c>
      <c r="D953" s="11" t="s">
        <v>655</v>
      </c>
      <c r="E953" s="11" t="s">
        <v>34</v>
      </c>
      <c r="F953" s="11" t="s">
        <v>35</v>
      </c>
      <c r="G953" s="9" t="s">
        <v>52</v>
      </c>
      <c r="H953" s="9" t="s">
        <v>71</v>
      </c>
      <c r="I953" s="9" t="s">
        <v>71</v>
      </c>
      <c r="J953" s="11">
        <v>128</v>
      </c>
      <c r="K953" s="11" t="s">
        <v>112</v>
      </c>
      <c r="L953" s="11" t="s">
        <v>40</v>
      </c>
      <c r="M953" s="13">
        <v>2</v>
      </c>
      <c r="N953" s="16">
        <v>16000.0</v>
      </c>
      <c r="O953" s="16"/>
      <c r="P953" s="18">
        <f>IF(N953&gt;0, O953/N953, 0)</f>
        <v>0</v>
      </c>
      <c r="Q953" s="16">
        <f>N953-O953</f>
        <v>16000</v>
      </c>
      <c r="R953" s="16">
        <f>M953*N953</f>
        <v>32000</v>
      </c>
      <c r="S953" s="16">
        <f>M953*O953</f>
        <v>0</v>
      </c>
      <c r="T953" s="16">
        <f>M953*Q953</f>
        <v>32000</v>
      </c>
      <c r="U953" s="16"/>
      <c r="V953" s="16">
        <f>M953*U953</f>
        <v>0</v>
      </c>
      <c r="W953" s="16">
        <f>T953-V953</f>
        <v>32000</v>
      </c>
      <c r="X953" s="18">
        <f>IF(T953&gt;0, W953/T953, 0)</f>
        <v>1</v>
      </c>
      <c r="Y953" s="9" t="s">
        <v>41</v>
      </c>
      <c r="Z953" s="11" t="s">
        <v>42</v>
      </c>
      <c r="AA953" s="11" t="s">
        <v>43</v>
      </c>
      <c r="AB953" s="11" t="s">
        <v>44</v>
      </c>
      <c r="AC953" s="9" t="s">
        <v>44</v>
      </c>
    </row>
    <row r="954" spans="1:29">
      <c r="A954" s="10">
        <v>947</v>
      </c>
      <c r="B954" s="10" t="s">
        <v>1256</v>
      </c>
      <c r="C954" s="10" t="s">
        <v>1085</v>
      </c>
      <c r="D954" s="10" t="s">
        <v>655</v>
      </c>
      <c r="E954" s="10" t="s">
        <v>34</v>
      </c>
      <c r="F954" s="10" t="s">
        <v>35</v>
      </c>
      <c r="G954" s="8" t="s">
        <v>52</v>
      </c>
      <c r="H954" s="8" t="s">
        <v>37</v>
      </c>
      <c r="I954" s="8" t="s">
        <v>38</v>
      </c>
      <c r="J954" s="10">
        <v>128</v>
      </c>
      <c r="K954" s="10" t="s">
        <v>159</v>
      </c>
      <c r="L954" s="10" t="s">
        <v>55</v>
      </c>
      <c r="M954" s="12">
        <v>1</v>
      </c>
      <c r="N954" s="15">
        <v>7000.0</v>
      </c>
      <c r="O954" s="15"/>
      <c r="P954" s="17">
        <f>IF(N954&gt;0, O954/N954, 0)</f>
        <v>0</v>
      </c>
      <c r="Q954" s="15">
        <f>N954-O954</f>
        <v>7000</v>
      </c>
      <c r="R954" s="15">
        <f>M954*N954</f>
        <v>7000</v>
      </c>
      <c r="S954" s="15">
        <f>M954*O954</f>
        <v>0</v>
      </c>
      <c r="T954" s="15">
        <f>M954*Q954</f>
        <v>7000</v>
      </c>
      <c r="U954" s="15"/>
      <c r="V954" s="15">
        <f>M954*U954</f>
        <v>0</v>
      </c>
      <c r="W954" s="15">
        <f>T954-V954</f>
        <v>7000</v>
      </c>
      <c r="X954" s="17">
        <f>IF(T954&gt;0, W954/T954, 0)</f>
        <v>1</v>
      </c>
      <c r="Y954" s="8" t="s">
        <v>41</v>
      </c>
      <c r="Z954" s="10" t="s">
        <v>42</v>
      </c>
      <c r="AA954" s="10" t="s">
        <v>43</v>
      </c>
      <c r="AB954" s="10" t="s">
        <v>44</v>
      </c>
      <c r="AC954" s="8" t="s">
        <v>44</v>
      </c>
    </row>
    <row r="955" spans="1:29">
      <c r="A955" s="11">
        <v>948</v>
      </c>
      <c r="B955" s="11" t="s">
        <v>1257</v>
      </c>
      <c r="C955" s="11" t="s">
        <v>1085</v>
      </c>
      <c r="D955" s="11" t="s">
        <v>655</v>
      </c>
      <c r="E955" s="11" t="s">
        <v>34</v>
      </c>
      <c r="F955" s="11" t="s">
        <v>35</v>
      </c>
      <c r="G955" s="9" t="s">
        <v>52</v>
      </c>
      <c r="H955" s="9" t="s">
        <v>65</v>
      </c>
      <c r="I955" s="9" t="s">
        <v>151</v>
      </c>
      <c r="J955" s="11">
        <v>116</v>
      </c>
      <c r="K955" s="11" t="s">
        <v>1258</v>
      </c>
      <c r="L955" s="11" t="s">
        <v>40</v>
      </c>
      <c r="M955" s="13">
        <v>1</v>
      </c>
      <c r="N955" s="16">
        <v>9000.0</v>
      </c>
      <c r="O955" s="16"/>
      <c r="P955" s="18">
        <f>IF(N955&gt;0, O955/N955, 0)</f>
        <v>0</v>
      </c>
      <c r="Q955" s="16">
        <f>N955-O955</f>
        <v>9000</v>
      </c>
      <c r="R955" s="16">
        <f>M955*N955</f>
        <v>9000</v>
      </c>
      <c r="S955" s="16">
        <f>M955*O955</f>
        <v>0</v>
      </c>
      <c r="T955" s="16">
        <f>M955*Q955</f>
        <v>9000</v>
      </c>
      <c r="U955" s="16"/>
      <c r="V955" s="16">
        <f>M955*U955</f>
        <v>0</v>
      </c>
      <c r="W955" s="16">
        <f>T955-V955</f>
        <v>9000</v>
      </c>
      <c r="X955" s="18">
        <f>IF(T955&gt;0, W955/T955, 0)</f>
        <v>1</v>
      </c>
      <c r="Y955" s="9" t="s">
        <v>41</v>
      </c>
      <c r="Z955" s="11" t="s">
        <v>42</v>
      </c>
      <c r="AA955" s="11" t="s">
        <v>43</v>
      </c>
      <c r="AB955" s="11" t="s">
        <v>44</v>
      </c>
      <c r="AC955" s="9" t="s">
        <v>44</v>
      </c>
    </row>
    <row r="956" spans="1:29">
      <c r="A956" s="10">
        <v>949</v>
      </c>
      <c r="B956" s="10" t="s">
        <v>1259</v>
      </c>
      <c r="C956" s="10" t="s">
        <v>1085</v>
      </c>
      <c r="D956" s="10" t="s">
        <v>655</v>
      </c>
      <c r="E956" s="10" t="s">
        <v>70</v>
      </c>
      <c r="F956" s="10" t="s">
        <v>35</v>
      </c>
      <c r="G956" s="8" t="s">
        <v>36</v>
      </c>
      <c r="H956" s="8" t="s">
        <v>65</v>
      </c>
      <c r="I956" s="8" t="s">
        <v>151</v>
      </c>
      <c r="J956" s="10">
        <v>158</v>
      </c>
      <c r="K956" s="10" t="s">
        <v>220</v>
      </c>
      <c r="L956" s="10" t="s">
        <v>40</v>
      </c>
      <c r="M956" s="12">
        <v>2</v>
      </c>
      <c r="N956" s="15">
        <v>11000.0</v>
      </c>
      <c r="O956" s="15"/>
      <c r="P956" s="17">
        <f>IF(N956&gt;0, O956/N956, 0)</f>
        <v>0</v>
      </c>
      <c r="Q956" s="15">
        <f>N956-O956</f>
        <v>11000</v>
      </c>
      <c r="R956" s="15">
        <f>M956*N956</f>
        <v>22000</v>
      </c>
      <c r="S956" s="15">
        <f>M956*O956</f>
        <v>0</v>
      </c>
      <c r="T956" s="15">
        <f>M956*Q956</f>
        <v>22000</v>
      </c>
      <c r="U956" s="15"/>
      <c r="V956" s="15">
        <f>M956*U956</f>
        <v>0</v>
      </c>
      <c r="W956" s="15">
        <f>T956-V956</f>
        <v>22000</v>
      </c>
      <c r="X956" s="17">
        <f>IF(T956&gt;0, W956/T956, 0)</f>
        <v>1</v>
      </c>
      <c r="Y956" s="8" t="s">
        <v>41</v>
      </c>
      <c r="Z956" s="10" t="s">
        <v>42</v>
      </c>
      <c r="AA956" s="10" t="s">
        <v>73</v>
      </c>
      <c r="AB956" s="10" t="s">
        <v>44</v>
      </c>
      <c r="AC956" s="8" t="s">
        <v>44</v>
      </c>
    </row>
    <row r="957" spans="1:29">
      <c r="A957" s="11">
        <v>950</v>
      </c>
      <c r="B957" s="11" t="s">
        <v>1260</v>
      </c>
      <c r="C957" s="11" t="s">
        <v>1085</v>
      </c>
      <c r="D957" s="11" t="s">
        <v>655</v>
      </c>
      <c r="E957" s="11" t="s">
        <v>34</v>
      </c>
      <c r="F957" s="11" t="s">
        <v>35</v>
      </c>
      <c r="G957" s="9" t="s">
        <v>36</v>
      </c>
      <c r="H957" s="9" t="s">
        <v>53</v>
      </c>
      <c r="I957" s="9" t="s">
        <v>53</v>
      </c>
      <c r="J957" s="11">
        <v>164</v>
      </c>
      <c r="K957" s="11" t="s">
        <v>63</v>
      </c>
      <c r="L957" s="11" t="s">
        <v>40</v>
      </c>
      <c r="M957" s="13">
        <v>1</v>
      </c>
      <c r="N957" s="16">
        <v>8500.0</v>
      </c>
      <c r="O957" s="16"/>
      <c r="P957" s="18">
        <f>IF(N957&gt;0, O957/N957, 0)</f>
        <v>0</v>
      </c>
      <c r="Q957" s="16">
        <f>N957-O957</f>
        <v>8500</v>
      </c>
      <c r="R957" s="16">
        <f>M957*N957</f>
        <v>8500</v>
      </c>
      <c r="S957" s="16">
        <f>M957*O957</f>
        <v>0</v>
      </c>
      <c r="T957" s="16">
        <f>M957*Q957</f>
        <v>8500</v>
      </c>
      <c r="U957" s="16"/>
      <c r="V957" s="16">
        <f>M957*U957</f>
        <v>0</v>
      </c>
      <c r="W957" s="16">
        <f>T957-V957</f>
        <v>8500</v>
      </c>
      <c r="X957" s="18">
        <f>IF(T957&gt;0, W957/T957, 0)</f>
        <v>1</v>
      </c>
      <c r="Y957" s="9" t="s">
        <v>41</v>
      </c>
      <c r="Z957" s="11" t="s">
        <v>42</v>
      </c>
      <c r="AA957" s="11" t="s">
        <v>43</v>
      </c>
      <c r="AB957" s="11" t="s">
        <v>44</v>
      </c>
      <c r="AC957" s="9" t="s">
        <v>44</v>
      </c>
    </row>
    <row r="958" spans="1:29">
      <c r="A958" s="10">
        <v>951</v>
      </c>
      <c r="B958" s="10" t="s">
        <v>1261</v>
      </c>
      <c r="C958" s="10" t="s">
        <v>1085</v>
      </c>
      <c r="D958" s="10" t="s">
        <v>655</v>
      </c>
      <c r="E958" s="10" t="s">
        <v>34</v>
      </c>
      <c r="F958" s="10" t="s">
        <v>35</v>
      </c>
      <c r="G958" s="8" t="s">
        <v>36</v>
      </c>
      <c r="H958" s="8" t="s">
        <v>47</v>
      </c>
      <c r="I958" s="8" t="s">
        <v>48</v>
      </c>
      <c r="J958" s="10">
        <v>158</v>
      </c>
      <c r="K958" s="10" t="s">
        <v>49</v>
      </c>
      <c r="L958" s="10" t="s">
        <v>40</v>
      </c>
      <c r="M958" s="12">
        <v>1</v>
      </c>
      <c r="N958" s="15">
        <v>18000.0</v>
      </c>
      <c r="O958" s="15"/>
      <c r="P958" s="17">
        <f>IF(N958&gt;0, O958/N958, 0)</f>
        <v>0</v>
      </c>
      <c r="Q958" s="15">
        <f>N958-O958</f>
        <v>18000</v>
      </c>
      <c r="R958" s="15">
        <f>M958*N958</f>
        <v>18000</v>
      </c>
      <c r="S958" s="15">
        <f>M958*O958</f>
        <v>0</v>
      </c>
      <c r="T958" s="15">
        <f>M958*Q958</f>
        <v>18000</v>
      </c>
      <c r="U958" s="15"/>
      <c r="V958" s="15">
        <f>M958*U958</f>
        <v>0</v>
      </c>
      <c r="W958" s="15">
        <f>T958-V958</f>
        <v>18000</v>
      </c>
      <c r="X958" s="17">
        <f>IF(T958&gt;0, W958/T958, 0)</f>
        <v>1</v>
      </c>
      <c r="Y958" s="8" t="s">
        <v>41</v>
      </c>
      <c r="Z958" s="10" t="s">
        <v>42</v>
      </c>
      <c r="AA958" s="10" t="s">
        <v>43</v>
      </c>
      <c r="AB958" s="10" t="s">
        <v>44</v>
      </c>
      <c r="AC958" s="8" t="s">
        <v>44</v>
      </c>
    </row>
    <row r="959" spans="1:29">
      <c r="A959" s="11">
        <v>952</v>
      </c>
      <c r="B959" s="11" t="s">
        <v>1262</v>
      </c>
      <c r="C959" s="11" t="s">
        <v>1085</v>
      </c>
      <c r="D959" s="11" t="s">
        <v>655</v>
      </c>
      <c r="E959" s="11" t="s">
        <v>34</v>
      </c>
      <c r="F959" s="11" t="s">
        <v>35</v>
      </c>
      <c r="G959" s="9" t="s">
        <v>36</v>
      </c>
      <c r="H959" s="9" t="s">
        <v>37</v>
      </c>
      <c r="I959" s="9" t="s">
        <v>38</v>
      </c>
      <c r="J959" s="11">
        <v>164</v>
      </c>
      <c r="K959" s="11" t="s">
        <v>79</v>
      </c>
      <c r="L959" s="11" t="s">
        <v>40</v>
      </c>
      <c r="M959" s="13">
        <v>1</v>
      </c>
      <c r="N959" s="16">
        <v>8000.0</v>
      </c>
      <c r="O959" s="16"/>
      <c r="P959" s="18">
        <f>IF(N959&gt;0, O959/N959, 0)</f>
        <v>0</v>
      </c>
      <c r="Q959" s="16">
        <f>N959-O959</f>
        <v>8000</v>
      </c>
      <c r="R959" s="16">
        <f>M959*N959</f>
        <v>8000</v>
      </c>
      <c r="S959" s="16">
        <f>M959*O959</f>
        <v>0</v>
      </c>
      <c r="T959" s="16">
        <f>M959*Q959</f>
        <v>8000</v>
      </c>
      <c r="U959" s="16"/>
      <c r="V959" s="16">
        <f>M959*U959</f>
        <v>0</v>
      </c>
      <c r="W959" s="16">
        <f>T959-V959</f>
        <v>8000</v>
      </c>
      <c r="X959" s="18">
        <f>IF(T959&gt;0, W959/T959, 0)</f>
        <v>1</v>
      </c>
      <c r="Y959" s="9" t="s">
        <v>41</v>
      </c>
      <c r="Z959" s="11" t="s">
        <v>42</v>
      </c>
      <c r="AA959" s="11" t="s">
        <v>43</v>
      </c>
      <c r="AB959" s="11" t="s">
        <v>44</v>
      </c>
      <c r="AC959" s="9" t="s">
        <v>44</v>
      </c>
    </row>
    <row r="960" spans="1:29">
      <c r="A960" s="10">
        <v>953</v>
      </c>
      <c r="B960" s="10" t="s">
        <v>1263</v>
      </c>
      <c r="C960" s="10" t="s">
        <v>1085</v>
      </c>
      <c r="D960" s="10" t="s">
        <v>655</v>
      </c>
      <c r="E960" s="10" t="s">
        <v>70</v>
      </c>
      <c r="F960" s="10" t="s">
        <v>35</v>
      </c>
      <c r="G960" s="8" t="s">
        <v>36</v>
      </c>
      <c r="H960" s="8" t="s">
        <v>65</v>
      </c>
      <c r="I960" s="8" t="s">
        <v>151</v>
      </c>
      <c r="J960" s="10">
        <v>164</v>
      </c>
      <c r="K960" s="10" t="s">
        <v>368</v>
      </c>
      <c r="L960" s="10" t="s">
        <v>40</v>
      </c>
      <c r="M960" s="12">
        <v>2</v>
      </c>
      <c r="N960" s="15">
        <v>11000.0</v>
      </c>
      <c r="O960" s="15"/>
      <c r="P960" s="17">
        <f>IF(N960&gt;0, O960/N960, 0)</f>
        <v>0</v>
      </c>
      <c r="Q960" s="15">
        <f>N960-O960</f>
        <v>11000</v>
      </c>
      <c r="R960" s="15">
        <f>M960*N960</f>
        <v>22000</v>
      </c>
      <c r="S960" s="15">
        <f>M960*O960</f>
        <v>0</v>
      </c>
      <c r="T960" s="15">
        <f>M960*Q960</f>
        <v>22000</v>
      </c>
      <c r="U960" s="15"/>
      <c r="V960" s="15">
        <f>M960*U960</f>
        <v>0</v>
      </c>
      <c r="W960" s="15">
        <f>T960-V960</f>
        <v>22000</v>
      </c>
      <c r="X960" s="17">
        <f>IF(T960&gt;0, W960/T960, 0)</f>
        <v>1</v>
      </c>
      <c r="Y960" s="8" t="s">
        <v>41</v>
      </c>
      <c r="Z960" s="10" t="s">
        <v>42</v>
      </c>
      <c r="AA960" s="10" t="s">
        <v>73</v>
      </c>
      <c r="AB960" s="10" t="s">
        <v>44</v>
      </c>
      <c r="AC960" s="8" t="s">
        <v>44</v>
      </c>
    </row>
    <row r="961" spans="1:29">
      <c r="A961" s="11">
        <v>954</v>
      </c>
      <c r="B961" s="11" t="s">
        <v>1264</v>
      </c>
      <c r="C961" s="11" t="s">
        <v>1085</v>
      </c>
      <c r="D961" s="11" t="s">
        <v>655</v>
      </c>
      <c r="E961" s="11" t="s">
        <v>70</v>
      </c>
      <c r="F961" s="11" t="s">
        <v>35</v>
      </c>
      <c r="G961" s="9" t="s">
        <v>36</v>
      </c>
      <c r="H961" s="9" t="s">
        <v>71</v>
      </c>
      <c r="I961" s="9" t="s">
        <v>71</v>
      </c>
      <c r="J961" s="11">
        <v>164</v>
      </c>
      <c r="K961" s="11" t="s">
        <v>72</v>
      </c>
      <c r="L961" s="11" t="s">
        <v>40</v>
      </c>
      <c r="M961" s="13">
        <v>1</v>
      </c>
      <c r="N961" s="16">
        <v>18000.0</v>
      </c>
      <c r="O961" s="16"/>
      <c r="P961" s="18">
        <f>IF(N961&gt;0, O961/N961, 0)</f>
        <v>0</v>
      </c>
      <c r="Q961" s="16">
        <f>N961-O961</f>
        <v>18000</v>
      </c>
      <c r="R961" s="16">
        <f>M961*N961</f>
        <v>18000</v>
      </c>
      <c r="S961" s="16">
        <f>M961*O961</f>
        <v>0</v>
      </c>
      <c r="T961" s="16">
        <f>M961*Q961</f>
        <v>18000</v>
      </c>
      <c r="U961" s="16"/>
      <c r="V961" s="16">
        <f>M961*U961</f>
        <v>0</v>
      </c>
      <c r="W961" s="16">
        <f>T961-V961</f>
        <v>18000</v>
      </c>
      <c r="X961" s="18">
        <f>IF(T961&gt;0, W961/T961, 0)</f>
        <v>1</v>
      </c>
      <c r="Y961" s="9" t="s">
        <v>41</v>
      </c>
      <c r="Z961" s="11" t="s">
        <v>42</v>
      </c>
      <c r="AA961" s="11" t="s">
        <v>73</v>
      </c>
      <c r="AB961" s="11" t="s">
        <v>44</v>
      </c>
      <c r="AC961" s="9" t="s">
        <v>44</v>
      </c>
    </row>
    <row r="962" spans="1:29">
      <c r="A962" s="10">
        <v>955</v>
      </c>
      <c r="B962" s="10" t="s">
        <v>1265</v>
      </c>
      <c r="C962" s="10" t="s">
        <v>1085</v>
      </c>
      <c r="D962" s="10" t="s">
        <v>655</v>
      </c>
      <c r="E962" s="10" t="s">
        <v>34</v>
      </c>
      <c r="F962" s="10" t="s">
        <v>35</v>
      </c>
      <c r="G962" s="8" t="s">
        <v>36</v>
      </c>
      <c r="H962" s="8" t="s">
        <v>53</v>
      </c>
      <c r="I962" s="8" t="s">
        <v>53</v>
      </c>
      <c r="J962" s="10">
        <v>164</v>
      </c>
      <c r="K962" s="10" t="s">
        <v>63</v>
      </c>
      <c r="L962" s="10" t="s">
        <v>40</v>
      </c>
      <c r="M962" s="12">
        <v>1</v>
      </c>
      <c r="N962" s="15">
        <v>8500.0</v>
      </c>
      <c r="O962" s="15"/>
      <c r="P962" s="17">
        <f>IF(N962&gt;0, O962/N962, 0)</f>
        <v>0</v>
      </c>
      <c r="Q962" s="15">
        <f>N962-O962</f>
        <v>8500</v>
      </c>
      <c r="R962" s="15">
        <f>M962*N962</f>
        <v>8500</v>
      </c>
      <c r="S962" s="15">
        <f>M962*O962</f>
        <v>0</v>
      </c>
      <c r="T962" s="15">
        <f>M962*Q962</f>
        <v>8500</v>
      </c>
      <c r="U962" s="15"/>
      <c r="V962" s="15">
        <f>M962*U962</f>
        <v>0</v>
      </c>
      <c r="W962" s="15">
        <f>T962-V962</f>
        <v>8500</v>
      </c>
      <c r="X962" s="17">
        <f>IF(T962&gt;0, W962/T962, 0)</f>
        <v>1</v>
      </c>
      <c r="Y962" s="8" t="s">
        <v>41</v>
      </c>
      <c r="Z962" s="10" t="s">
        <v>42</v>
      </c>
      <c r="AA962" s="10" t="s">
        <v>43</v>
      </c>
      <c r="AB962" s="10" t="s">
        <v>44</v>
      </c>
      <c r="AC962" s="8" t="s">
        <v>44</v>
      </c>
    </row>
    <row r="963" spans="1:29">
      <c r="A963" s="11">
        <v>956</v>
      </c>
      <c r="B963" s="11" t="s">
        <v>1266</v>
      </c>
      <c r="C963" s="11" t="s">
        <v>1085</v>
      </c>
      <c r="D963" s="11" t="s">
        <v>655</v>
      </c>
      <c r="E963" s="11" t="s">
        <v>34</v>
      </c>
      <c r="F963" s="11" t="s">
        <v>35</v>
      </c>
      <c r="G963" s="9" t="s">
        <v>36</v>
      </c>
      <c r="H963" s="9" t="s">
        <v>37</v>
      </c>
      <c r="I963" s="9" t="s">
        <v>38</v>
      </c>
      <c r="J963" s="11">
        <v>164</v>
      </c>
      <c r="K963" s="11" t="s">
        <v>79</v>
      </c>
      <c r="L963" s="11" t="s">
        <v>40</v>
      </c>
      <c r="M963" s="13">
        <v>2</v>
      </c>
      <c r="N963" s="16">
        <v>8000.0</v>
      </c>
      <c r="O963" s="16"/>
      <c r="P963" s="18">
        <f>IF(N963&gt;0, O963/N963, 0)</f>
        <v>0</v>
      </c>
      <c r="Q963" s="16">
        <f>N963-O963</f>
        <v>8000</v>
      </c>
      <c r="R963" s="16">
        <f>M963*N963</f>
        <v>16000</v>
      </c>
      <c r="S963" s="16">
        <f>M963*O963</f>
        <v>0</v>
      </c>
      <c r="T963" s="16">
        <f>M963*Q963</f>
        <v>16000</v>
      </c>
      <c r="U963" s="16"/>
      <c r="V963" s="16">
        <f>M963*U963</f>
        <v>0</v>
      </c>
      <c r="W963" s="16">
        <f>T963-V963</f>
        <v>16000</v>
      </c>
      <c r="X963" s="18">
        <f>IF(T963&gt;0, W963/T963, 0)</f>
        <v>1</v>
      </c>
      <c r="Y963" s="9" t="s">
        <v>41</v>
      </c>
      <c r="Z963" s="11" t="s">
        <v>42</v>
      </c>
      <c r="AA963" s="11" t="s">
        <v>43</v>
      </c>
      <c r="AB963" s="11" t="s">
        <v>44</v>
      </c>
      <c r="AC963" s="9" t="s">
        <v>44</v>
      </c>
    </row>
    <row r="964" spans="1:29">
      <c r="A964" s="10">
        <v>957</v>
      </c>
      <c r="B964" s="10" t="s">
        <v>1267</v>
      </c>
      <c r="C964" s="10" t="s">
        <v>1085</v>
      </c>
      <c r="D964" s="10" t="s">
        <v>655</v>
      </c>
      <c r="E964" s="10" t="s">
        <v>34</v>
      </c>
      <c r="F964" s="10" t="s">
        <v>35</v>
      </c>
      <c r="G964" s="8" t="s">
        <v>36</v>
      </c>
      <c r="H964" s="8" t="s">
        <v>71</v>
      </c>
      <c r="I964" s="8" t="s">
        <v>71</v>
      </c>
      <c r="J964" s="10">
        <v>152</v>
      </c>
      <c r="K964" s="10" t="s">
        <v>210</v>
      </c>
      <c r="L964" s="10" t="s">
        <v>40</v>
      </c>
      <c r="M964" s="12">
        <v>1</v>
      </c>
      <c r="N964" s="15">
        <v>16500.0</v>
      </c>
      <c r="O964" s="15"/>
      <c r="P964" s="17">
        <f>IF(N964&gt;0, O964/N964, 0)</f>
        <v>0</v>
      </c>
      <c r="Q964" s="15">
        <f>N964-O964</f>
        <v>16500</v>
      </c>
      <c r="R964" s="15">
        <f>M964*N964</f>
        <v>16500</v>
      </c>
      <c r="S964" s="15">
        <f>M964*O964</f>
        <v>0</v>
      </c>
      <c r="T964" s="15">
        <f>M964*Q964</f>
        <v>16500</v>
      </c>
      <c r="U964" s="15"/>
      <c r="V964" s="15">
        <f>M964*U964</f>
        <v>0</v>
      </c>
      <c r="W964" s="15">
        <f>T964-V964</f>
        <v>16500</v>
      </c>
      <c r="X964" s="17">
        <f>IF(T964&gt;0, W964/T964, 0)</f>
        <v>1</v>
      </c>
      <c r="Y964" s="8" t="s">
        <v>41</v>
      </c>
      <c r="Z964" s="10" t="s">
        <v>42</v>
      </c>
      <c r="AA964" s="10" t="s">
        <v>43</v>
      </c>
      <c r="AB964" s="10" t="s">
        <v>44</v>
      </c>
      <c r="AC964" s="8" t="s">
        <v>44</v>
      </c>
    </row>
    <row r="965" spans="1:29">
      <c r="A965" s="11">
        <v>958</v>
      </c>
      <c r="B965" s="11" t="s">
        <v>1268</v>
      </c>
      <c r="C965" s="11" t="s">
        <v>1085</v>
      </c>
      <c r="D965" s="11" t="s">
        <v>655</v>
      </c>
      <c r="E965" s="11" t="s">
        <v>34</v>
      </c>
      <c r="F965" s="11" t="s">
        <v>35</v>
      </c>
      <c r="G965" s="9" t="s">
        <v>52</v>
      </c>
      <c r="H965" s="9" t="s">
        <v>53</v>
      </c>
      <c r="I965" s="9" t="s">
        <v>53</v>
      </c>
      <c r="J965" s="11">
        <v>134</v>
      </c>
      <c r="K965" s="11" t="s">
        <v>178</v>
      </c>
      <c r="L965" s="11" t="s">
        <v>55</v>
      </c>
      <c r="M965" s="13">
        <v>1</v>
      </c>
      <c r="N965" s="16">
        <v>8000.0</v>
      </c>
      <c r="O965" s="16"/>
      <c r="P965" s="18">
        <f>IF(N965&gt;0, O965/N965, 0)</f>
        <v>0</v>
      </c>
      <c r="Q965" s="16">
        <f>N965-O965</f>
        <v>8000</v>
      </c>
      <c r="R965" s="16">
        <f>M965*N965</f>
        <v>8000</v>
      </c>
      <c r="S965" s="16">
        <f>M965*O965</f>
        <v>0</v>
      </c>
      <c r="T965" s="16">
        <f>M965*Q965</f>
        <v>8000</v>
      </c>
      <c r="U965" s="16"/>
      <c r="V965" s="16">
        <f>M965*U965</f>
        <v>0</v>
      </c>
      <c r="W965" s="16">
        <f>T965-V965</f>
        <v>8000</v>
      </c>
      <c r="X965" s="18">
        <f>IF(T965&gt;0, W965/T965, 0)</f>
        <v>1</v>
      </c>
      <c r="Y965" s="9" t="s">
        <v>41</v>
      </c>
      <c r="Z965" s="11" t="s">
        <v>42</v>
      </c>
      <c r="AA965" s="11" t="s">
        <v>43</v>
      </c>
      <c r="AB965" s="11" t="s">
        <v>44</v>
      </c>
      <c r="AC965" s="9" t="s">
        <v>44</v>
      </c>
    </row>
    <row r="966" spans="1:29">
      <c r="A966" s="10">
        <v>959</v>
      </c>
      <c r="B966" s="10" t="s">
        <v>1269</v>
      </c>
      <c r="C966" s="10" t="s">
        <v>1085</v>
      </c>
      <c r="D966" s="10" t="s">
        <v>655</v>
      </c>
      <c r="E966" s="10" t="s">
        <v>34</v>
      </c>
      <c r="F966" s="10" t="s">
        <v>35</v>
      </c>
      <c r="G966" s="8" t="s">
        <v>52</v>
      </c>
      <c r="H966" s="8" t="s">
        <v>37</v>
      </c>
      <c r="I966" s="8" t="s">
        <v>38</v>
      </c>
      <c r="J966" s="10">
        <v>134</v>
      </c>
      <c r="K966" s="10" t="s">
        <v>180</v>
      </c>
      <c r="L966" s="10" t="s">
        <v>55</v>
      </c>
      <c r="M966" s="12">
        <v>1</v>
      </c>
      <c r="N966" s="15">
        <v>7000.0</v>
      </c>
      <c r="O966" s="15"/>
      <c r="P966" s="17">
        <f>IF(N966&gt;0, O966/N966, 0)</f>
        <v>0</v>
      </c>
      <c r="Q966" s="15">
        <f>N966-O966</f>
        <v>7000</v>
      </c>
      <c r="R966" s="15">
        <f>M966*N966</f>
        <v>7000</v>
      </c>
      <c r="S966" s="15">
        <f>M966*O966</f>
        <v>0</v>
      </c>
      <c r="T966" s="15">
        <f>M966*Q966</f>
        <v>7000</v>
      </c>
      <c r="U966" s="15"/>
      <c r="V966" s="15">
        <f>M966*U966</f>
        <v>0</v>
      </c>
      <c r="W966" s="15">
        <f>T966-V966</f>
        <v>7000</v>
      </c>
      <c r="X966" s="17">
        <f>IF(T966&gt;0, W966/T966, 0)</f>
        <v>1</v>
      </c>
      <c r="Y966" s="8" t="s">
        <v>41</v>
      </c>
      <c r="Z966" s="10" t="s">
        <v>42</v>
      </c>
      <c r="AA966" s="10" t="s">
        <v>43</v>
      </c>
      <c r="AB966" s="10" t="s">
        <v>44</v>
      </c>
      <c r="AC966" s="8" t="s">
        <v>44</v>
      </c>
    </row>
    <row r="967" spans="1:29">
      <c r="A967" s="11">
        <v>960</v>
      </c>
      <c r="B967" s="11" t="s">
        <v>1270</v>
      </c>
      <c r="C967" s="11" t="s">
        <v>1085</v>
      </c>
      <c r="D967" s="11" t="s">
        <v>655</v>
      </c>
      <c r="E967" s="11" t="s">
        <v>34</v>
      </c>
      <c r="F967" s="11" t="s">
        <v>35</v>
      </c>
      <c r="G967" s="9" t="s">
        <v>52</v>
      </c>
      <c r="H967" s="9" t="s">
        <v>71</v>
      </c>
      <c r="I967" s="9" t="s">
        <v>71</v>
      </c>
      <c r="J967" s="11">
        <v>134</v>
      </c>
      <c r="K967" s="11" t="s">
        <v>212</v>
      </c>
      <c r="L967" s="11" t="s">
        <v>40</v>
      </c>
      <c r="M967" s="13">
        <v>1</v>
      </c>
      <c r="N967" s="16">
        <v>16000.0</v>
      </c>
      <c r="O967" s="16"/>
      <c r="P967" s="18">
        <f>IF(N967&gt;0, O967/N967, 0)</f>
        <v>0</v>
      </c>
      <c r="Q967" s="16">
        <f>N967-O967</f>
        <v>16000</v>
      </c>
      <c r="R967" s="16">
        <f>M967*N967</f>
        <v>16000</v>
      </c>
      <c r="S967" s="16">
        <f>M967*O967</f>
        <v>0</v>
      </c>
      <c r="T967" s="16">
        <f>M967*Q967</f>
        <v>16000</v>
      </c>
      <c r="U967" s="16"/>
      <c r="V967" s="16">
        <f>M967*U967</f>
        <v>0</v>
      </c>
      <c r="W967" s="16">
        <f>T967-V967</f>
        <v>16000</v>
      </c>
      <c r="X967" s="18">
        <f>IF(T967&gt;0, W967/T967, 0)</f>
        <v>1</v>
      </c>
      <c r="Y967" s="9" t="s">
        <v>41</v>
      </c>
      <c r="Z967" s="11" t="s">
        <v>42</v>
      </c>
      <c r="AA967" s="11" t="s">
        <v>43</v>
      </c>
      <c r="AB967" s="11" t="s">
        <v>44</v>
      </c>
      <c r="AC967" s="9" t="s">
        <v>44</v>
      </c>
    </row>
    <row r="968" spans="1:29">
      <c r="A968" s="10">
        <v>961</v>
      </c>
      <c r="B968" s="10" t="s">
        <v>1271</v>
      </c>
      <c r="C968" s="10" t="s">
        <v>1085</v>
      </c>
      <c r="D968" s="10" t="s">
        <v>655</v>
      </c>
      <c r="E968" s="10" t="s">
        <v>34</v>
      </c>
      <c r="F968" s="10" t="s">
        <v>35</v>
      </c>
      <c r="G968" s="8" t="s">
        <v>52</v>
      </c>
      <c r="H968" s="8" t="s">
        <v>47</v>
      </c>
      <c r="I968" s="8" t="s">
        <v>48</v>
      </c>
      <c r="J968" s="10">
        <v>122</v>
      </c>
      <c r="K968" s="10" t="s">
        <v>479</v>
      </c>
      <c r="L968" s="10" t="s">
        <v>40</v>
      </c>
      <c r="M968" s="12">
        <v>1</v>
      </c>
      <c r="N968" s="15">
        <v>18000.0</v>
      </c>
      <c r="O968" s="15"/>
      <c r="P968" s="17">
        <f>IF(N968&gt;0, O968/N968, 0)</f>
        <v>0</v>
      </c>
      <c r="Q968" s="15">
        <f>N968-O968</f>
        <v>18000</v>
      </c>
      <c r="R968" s="15">
        <f>M968*N968</f>
        <v>18000</v>
      </c>
      <c r="S968" s="15">
        <f>M968*O968</f>
        <v>0</v>
      </c>
      <c r="T968" s="15">
        <f>M968*Q968</f>
        <v>18000</v>
      </c>
      <c r="U968" s="15"/>
      <c r="V968" s="15">
        <f>M968*U968</f>
        <v>0</v>
      </c>
      <c r="W968" s="15">
        <f>T968-V968</f>
        <v>18000</v>
      </c>
      <c r="X968" s="17">
        <f>IF(T968&gt;0, W968/T968, 0)</f>
        <v>1</v>
      </c>
      <c r="Y968" s="8" t="s">
        <v>41</v>
      </c>
      <c r="Z968" s="10" t="s">
        <v>42</v>
      </c>
      <c r="AA968" s="10" t="s">
        <v>43</v>
      </c>
      <c r="AB968" s="10" t="s">
        <v>44</v>
      </c>
      <c r="AC968" s="8" t="s">
        <v>44</v>
      </c>
    </row>
    <row r="969" spans="1:29">
      <c r="A969" s="11">
        <v>962</v>
      </c>
      <c r="B969" s="11" t="s">
        <v>1272</v>
      </c>
      <c r="C969" s="11" t="s">
        <v>1085</v>
      </c>
      <c r="D969" s="11" t="s">
        <v>655</v>
      </c>
      <c r="E969" s="11" t="s">
        <v>34</v>
      </c>
      <c r="F969" s="11" t="s">
        <v>35</v>
      </c>
      <c r="G969" s="9" t="s">
        <v>52</v>
      </c>
      <c r="H969" s="9" t="s">
        <v>65</v>
      </c>
      <c r="I969" s="9" t="s">
        <v>151</v>
      </c>
      <c r="J969" s="11">
        <v>122</v>
      </c>
      <c r="K969" s="11" t="s">
        <v>244</v>
      </c>
      <c r="L969" s="11" t="s">
        <v>40</v>
      </c>
      <c r="M969" s="13">
        <v>1</v>
      </c>
      <c r="N969" s="16">
        <v>9000.0</v>
      </c>
      <c r="O969" s="16"/>
      <c r="P969" s="18">
        <f>IF(N969&gt;0, O969/N969, 0)</f>
        <v>0</v>
      </c>
      <c r="Q969" s="16">
        <f>N969-O969</f>
        <v>9000</v>
      </c>
      <c r="R969" s="16">
        <f>M969*N969</f>
        <v>9000</v>
      </c>
      <c r="S969" s="16">
        <f>M969*O969</f>
        <v>0</v>
      </c>
      <c r="T969" s="16">
        <f>M969*Q969</f>
        <v>9000</v>
      </c>
      <c r="U969" s="16"/>
      <c r="V969" s="16">
        <f>M969*U969</f>
        <v>0</v>
      </c>
      <c r="W969" s="16">
        <f>T969-V969</f>
        <v>9000</v>
      </c>
      <c r="X969" s="18">
        <f>IF(T969&gt;0, W969/T969, 0)</f>
        <v>1</v>
      </c>
      <c r="Y969" s="9" t="s">
        <v>41</v>
      </c>
      <c r="Z969" s="11" t="s">
        <v>42</v>
      </c>
      <c r="AA969" s="11" t="s">
        <v>43</v>
      </c>
      <c r="AB969" s="11" t="s">
        <v>44</v>
      </c>
      <c r="AC969" s="9" t="s">
        <v>44</v>
      </c>
    </row>
    <row r="970" spans="1:29">
      <c r="A970" s="10">
        <v>963</v>
      </c>
      <c r="B970" s="10" t="s">
        <v>1273</v>
      </c>
      <c r="C970" s="10" t="s">
        <v>1085</v>
      </c>
      <c r="D970" s="10" t="s">
        <v>655</v>
      </c>
      <c r="E970" s="10" t="s">
        <v>34</v>
      </c>
      <c r="F970" s="10" t="s">
        <v>35</v>
      </c>
      <c r="G970" s="8" t="s">
        <v>52</v>
      </c>
      <c r="H970" s="8" t="s">
        <v>53</v>
      </c>
      <c r="I970" s="8" t="s">
        <v>53</v>
      </c>
      <c r="J970" s="10">
        <v>122</v>
      </c>
      <c r="K970" s="10" t="s">
        <v>84</v>
      </c>
      <c r="L970" s="10" t="s">
        <v>55</v>
      </c>
      <c r="M970" s="12">
        <v>1</v>
      </c>
      <c r="N970" s="15">
        <v>8000.0</v>
      </c>
      <c r="O970" s="15"/>
      <c r="P970" s="17">
        <f>IF(N970&gt;0, O970/N970, 0)</f>
        <v>0</v>
      </c>
      <c r="Q970" s="15">
        <f>N970-O970</f>
        <v>8000</v>
      </c>
      <c r="R970" s="15">
        <f>M970*N970</f>
        <v>8000</v>
      </c>
      <c r="S970" s="15">
        <f>M970*O970</f>
        <v>0</v>
      </c>
      <c r="T970" s="15">
        <f>M970*Q970</f>
        <v>8000</v>
      </c>
      <c r="U970" s="15"/>
      <c r="V970" s="15">
        <f>M970*U970</f>
        <v>0</v>
      </c>
      <c r="W970" s="15">
        <f>T970-V970</f>
        <v>8000</v>
      </c>
      <c r="X970" s="17">
        <f>IF(T970&gt;0, W970/T970, 0)</f>
        <v>1</v>
      </c>
      <c r="Y970" s="8" t="s">
        <v>41</v>
      </c>
      <c r="Z970" s="10" t="s">
        <v>42</v>
      </c>
      <c r="AA970" s="10" t="s">
        <v>43</v>
      </c>
      <c r="AB970" s="10" t="s">
        <v>44</v>
      </c>
      <c r="AC970" s="8" t="s">
        <v>44</v>
      </c>
    </row>
    <row r="971" spans="1:29">
      <c r="A971" s="11">
        <v>964</v>
      </c>
      <c r="B971" s="11" t="s">
        <v>1274</v>
      </c>
      <c r="C971" s="11" t="s">
        <v>1085</v>
      </c>
      <c r="D971" s="11" t="s">
        <v>655</v>
      </c>
      <c r="E971" s="11" t="s">
        <v>34</v>
      </c>
      <c r="F971" s="11" t="s">
        <v>35</v>
      </c>
      <c r="G971" s="9" t="s">
        <v>52</v>
      </c>
      <c r="H971" s="9" t="s">
        <v>37</v>
      </c>
      <c r="I971" s="9" t="s">
        <v>38</v>
      </c>
      <c r="J971" s="11">
        <v>122</v>
      </c>
      <c r="K971" s="11" t="s">
        <v>107</v>
      </c>
      <c r="L971" s="11" t="s">
        <v>55</v>
      </c>
      <c r="M971" s="13">
        <v>1</v>
      </c>
      <c r="N971" s="16">
        <v>7000.0</v>
      </c>
      <c r="O971" s="16"/>
      <c r="P971" s="18">
        <f>IF(N971&gt;0, O971/N971, 0)</f>
        <v>0</v>
      </c>
      <c r="Q971" s="16">
        <f>N971-O971</f>
        <v>7000</v>
      </c>
      <c r="R971" s="16">
        <f>M971*N971</f>
        <v>7000</v>
      </c>
      <c r="S971" s="16">
        <f>M971*O971</f>
        <v>0</v>
      </c>
      <c r="T971" s="16">
        <f>M971*Q971</f>
        <v>7000</v>
      </c>
      <c r="U971" s="16"/>
      <c r="V971" s="16">
        <f>M971*U971</f>
        <v>0</v>
      </c>
      <c r="W971" s="16">
        <f>T971-V971</f>
        <v>7000</v>
      </c>
      <c r="X971" s="18">
        <f>IF(T971&gt;0, W971/T971, 0)</f>
        <v>1</v>
      </c>
      <c r="Y971" s="9" t="s">
        <v>41</v>
      </c>
      <c r="Z971" s="11" t="s">
        <v>42</v>
      </c>
      <c r="AA971" s="11" t="s">
        <v>43</v>
      </c>
      <c r="AB971" s="11" t="s">
        <v>44</v>
      </c>
      <c r="AC971" s="9" t="s">
        <v>44</v>
      </c>
    </row>
    <row r="972" spans="1:29">
      <c r="A972" s="10">
        <v>965</v>
      </c>
      <c r="B972" s="10" t="s">
        <v>1275</v>
      </c>
      <c r="C972" s="10" t="s">
        <v>1085</v>
      </c>
      <c r="D972" s="10" t="s">
        <v>655</v>
      </c>
      <c r="E972" s="10" t="s">
        <v>34</v>
      </c>
      <c r="F972" s="10" t="s">
        <v>35</v>
      </c>
      <c r="G972" s="8" t="s">
        <v>52</v>
      </c>
      <c r="H972" s="8" t="s">
        <v>37</v>
      </c>
      <c r="I972" s="8" t="s">
        <v>75</v>
      </c>
      <c r="J972" s="10">
        <v>122</v>
      </c>
      <c r="K972" s="10" t="s">
        <v>104</v>
      </c>
      <c r="L972" s="10" t="s">
        <v>55</v>
      </c>
      <c r="M972" s="12">
        <v>1</v>
      </c>
      <c r="N972" s="15">
        <v>8000.0</v>
      </c>
      <c r="O972" s="15"/>
      <c r="P972" s="17">
        <f>IF(N972&gt;0, O972/N972, 0)</f>
        <v>0</v>
      </c>
      <c r="Q972" s="15">
        <f>N972-O972</f>
        <v>8000</v>
      </c>
      <c r="R972" s="15">
        <f>M972*N972</f>
        <v>8000</v>
      </c>
      <c r="S972" s="15">
        <f>M972*O972</f>
        <v>0</v>
      </c>
      <c r="T972" s="15">
        <f>M972*Q972</f>
        <v>8000</v>
      </c>
      <c r="U972" s="15"/>
      <c r="V972" s="15">
        <f>M972*U972</f>
        <v>0</v>
      </c>
      <c r="W972" s="15">
        <f>T972-V972</f>
        <v>8000</v>
      </c>
      <c r="X972" s="17">
        <f>IF(T972&gt;0, W972/T972, 0)</f>
        <v>1</v>
      </c>
      <c r="Y972" s="8" t="s">
        <v>41</v>
      </c>
      <c r="Z972" s="10" t="s">
        <v>42</v>
      </c>
      <c r="AA972" s="10" t="s">
        <v>43</v>
      </c>
      <c r="AB972" s="10" t="s">
        <v>44</v>
      </c>
      <c r="AC972" s="8" t="s">
        <v>44</v>
      </c>
    </row>
    <row r="973" spans="1:29">
      <c r="A973" s="11">
        <v>966</v>
      </c>
      <c r="B973" s="11" t="s">
        <v>1276</v>
      </c>
      <c r="C973" s="11" t="s">
        <v>1085</v>
      </c>
      <c r="D973" s="11" t="s">
        <v>655</v>
      </c>
      <c r="E973" s="11" t="s">
        <v>34</v>
      </c>
      <c r="F973" s="11" t="s">
        <v>35</v>
      </c>
      <c r="G973" s="9" t="s">
        <v>36</v>
      </c>
      <c r="H973" s="9" t="s">
        <v>47</v>
      </c>
      <c r="I973" s="9" t="s">
        <v>48</v>
      </c>
      <c r="J973" s="11">
        <v>176</v>
      </c>
      <c r="K973" s="11" t="s">
        <v>427</v>
      </c>
      <c r="L973" s="11" t="s">
        <v>40</v>
      </c>
      <c r="M973" s="13">
        <v>1</v>
      </c>
      <c r="N973" s="16">
        <v>18000.0</v>
      </c>
      <c r="O973" s="16"/>
      <c r="P973" s="18">
        <f>IF(N973&gt;0, O973/N973, 0)</f>
        <v>0</v>
      </c>
      <c r="Q973" s="16">
        <f>N973-O973</f>
        <v>18000</v>
      </c>
      <c r="R973" s="16">
        <f>M973*N973</f>
        <v>18000</v>
      </c>
      <c r="S973" s="16">
        <f>M973*O973</f>
        <v>0</v>
      </c>
      <c r="T973" s="16">
        <f>M973*Q973</f>
        <v>18000</v>
      </c>
      <c r="U973" s="16"/>
      <c r="V973" s="16">
        <f>M973*U973</f>
        <v>0</v>
      </c>
      <c r="W973" s="16">
        <f>T973-V973</f>
        <v>18000</v>
      </c>
      <c r="X973" s="18">
        <f>IF(T973&gt;0, W973/T973, 0)</f>
        <v>1</v>
      </c>
      <c r="Y973" s="9" t="s">
        <v>41</v>
      </c>
      <c r="Z973" s="11" t="s">
        <v>42</v>
      </c>
      <c r="AA973" s="11" t="s">
        <v>43</v>
      </c>
      <c r="AB973" s="11" t="s">
        <v>44</v>
      </c>
      <c r="AC973" s="9" t="s">
        <v>44</v>
      </c>
    </row>
    <row r="974" spans="1:29">
      <c r="A974" s="10">
        <v>967</v>
      </c>
      <c r="B974" s="10" t="s">
        <v>1277</v>
      </c>
      <c r="C974" s="10" t="s">
        <v>1085</v>
      </c>
      <c r="D974" s="10" t="s">
        <v>655</v>
      </c>
      <c r="E974" s="10" t="s">
        <v>34</v>
      </c>
      <c r="F974" s="10" t="s">
        <v>35</v>
      </c>
      <c r="G974" s="8" t="s">
        <v>36</v>
      </c>
      <c r="H974" s="8" t="s">
        <v>71</v>
      </c>
      <c r="I974" s="8" t="s">
        <v>71</v>
      </c>
      <c r="J974" s="10">
        <v>176</v>
      </c>
      <c r="K974" s="10" t="s">
        <v>206</v>
      </c>
      <c r="L974" s="10" t="s">
        <v>40</v>
      </c>
      <c r="M974" s="12">
        <v>1</v>
      </c>
      <c r="N974" s="15">
        <v>16500.0</v>
      </c>
      <c r="O974" s="15"/>
      <c r="P974" s="17">
        <f>IF(N974&gt;0, O974/N974, 0)</f>
        <v>0</v>
      </c>
      <c r="Q974" s="15">
        <f>N974-O974</f>
        <v>16500</v>
      </c>
      <c r="R974" s="15">
        <f>M974*N974</f>
        <v>16500</v>
      </c>
      <c r="S974" s="15">
        <f>M974*O974</f>
        <v>0</v>
      </c>
      <c r="T974" s="15">
        <f>M974*Q974</f>
        <v>16500</v>
      </c>
      <c r="U974" s="15"/>
      <c r="V974" s="15">
        <f>M974*U974</f>
        <v>0</v>
      </c>
      <c r="W974" s="15">
        <f>T974-V974</f>
        <v>16500</v>
      </c>
      <c r="X974" s="17">
        <f>IF(T974&gt;0, W974/T974, 0)</f>
        <v>1</v>
      </c>
      <c r="Y974" s="8" t="s">
        <v>41</v>
      </c>
      <c r="Z974" s="10" t="s">
        <v>42</v>
      </c>
      <c r="AA974" s="10" t="s">
        <v>43</v>
      </c>
      <c r="AB974" s="10" t="s">
        <v>44</v>
      </c>
      <c r="AC974" s="8" t="s">
        <v>44</v>
      </c>
    </row>
    <row r="975" spans="1:29">
      <c r="A975" s="11">
        <v>968</v>
      </c>
      <c r="B975" s="11" t="s">
        <v>1278</v>
      </c>
      <c r="C975" s="11" t="s">
        <v>1085</v>
      </c>
      <c r="D975" s="11" t="s">
        <v>655</v>
      </c>
      <c r="E975" s="11" t="s">
        <v>34</v>
      </c>
      <c r="F975" s="11" t="s">
        <v>35</v>
      </c>
      <c r="G975" s="9" t="s">
        <v>36</v>
      </c>
      <c r="H975" s="9" t="s">
        <v>65</v>
      </c>
      <c r="I975" s="9" t="s">
        <v>151</v>
      </c>
      <c r="J975" s="11">
        <v>176</v>
      </c>
      <c r="K975" s="11" t="s">
        <v>236</v>
      </c>
      <c r="L975" s="11" t="s">
        <v>40</v>
      </c>
      <c r="M975" s="13">
        <v>1</v>
      </c>
      <c r="N975" s="16">
        <v>9500.0</v>
      </c>
      <c r="O975" s="16"/>
      <c r="P975" s="18">
        <f>IF(N975&gt;0, O975/N975, 0)</f>
        <v>0</v>
      </c>
      <c r="Q975" s="16">
        <f>N975-O975</f>
        <v>9500</v>
      </c>
      <c r="R975" s="16">
        <f>M975*N975</f>
        <v>9500</v>
      </c>
      <c r="S975" s="16">
        <f>M975*O975</f>
        <v>0</v>
      </c>
      <c r="T975" s="16">
        <f>M975*Q975</f>
        <v>9500</v>
      </c>
      <c r="U975" s="16"/>
      <c r="V975" s="16">
        <f>M975*U975</f>
        <v>0</v>
      </c>
      <c r="W975" s="16">
        <f>T975-V975</f>
        <v>9500</v>
      </c>
      <c r="X975" s="18">
        <f>IF(T975&gt;0, W975/T975, 0)</f>
        <v>1</v>
      </c>
      <c r="Y975" s="9" t="s">
        <v>41</v>
      </c>
      <c r="Z975" s="11" t="s">
        <v>42</v>
      </c>
      <c r="AA975" s="11" t="s">
        <v>43</v>
      </c>
      <c r="AB975" s="11" t="s">
        <v>44</v>
      </c>
      <c r="AC975" s="9" t="s">
        <v>44</v>
      </c>
    </row>
    <row r="976" spans="1:29">
      <c r="A976" s="10">
        <v>969</v>
      </c>
      <c r="B976" s="10" t="s">
        <v>1279</v>
      </c>
      <c r="C976" s="10" t="s">
        <v>1085</v>
      </c>
      <c r="D976" s="10" t="s">
        <v>655</v>
      </c>
      <c r="E976" s="10" t="s">
        <v>34</v>
      </c>
      <c r="F976" s="10" t="s">
        <v>35</v>
      </c>
      <c r="G976" s="8" t="s">
        <v>36</v>
      </c>
      <c r="H976" s="8" t="s">
        <v>53</v>
      </c>
      <c r="I976" s="8" t="s">
        <v>53</v>
      </c>
      <c r="J976" s="10">
        <v>176</v>
      </c>
      <c r="K976" s="10" t="s">
        <v>421</v>
      </c>
      <c r="L976" s="10" t="s">
        <v>40</v>
      </c>
      <c r="M976" s="12">
        <v>1</v>
      </c>
      <c r="N976" s="15">
        <v>8500.0</v>
      </c>
      <c r="O976" s="15"/>
      <c r="P976" s="17">
        <f>IF(N976&gt;0, O976/N976, 0)</f>
        <v>0</v>
      </c>
      <c r="Q976" s="15">
        <f>N976-O976</f>
        <v>8500</v>
      </c>
      <c r="R976" s="15">
        <f>M976*N976</f>
        <v>8500</v>
      </c>
      <c r="S976" s="15">
        <f>M976*O976</f>
        <v>0</v>
      </c>
      <c r="T976" s="15">
        <f>M976*Q976</f>
        <v>8500</v>
      </c>
      <c r="U976" s="15"/>
      <c r="V976" s="15">
        <f>M976*U976</f>
        <v>0</v>
      </c>
      <c r="W976" s="15">
        <f>T976-V976</f>
        <v>8500</v>
      </c>
      <c r="X976" s="17">
        <f>IF(T976&gt;0, W976/T976, 0)</f>
        <v>1</v>
      </c>
      <c r="Y976" s="8" t="s">
        <v>41</v>
      </c>
      <c r="Z976" s="10" t="s">
        <v>42</v>
      </c>
      <c r="AA976" s="10" t="s">
        <v>43</v>
      </c>
      <c r="AB976" s="10" t="s">
        <v>44</v>
      </c>
      <c r="AC976" s="8" t="s">
        <v>44</v>
      </c>
    </row>
    <row r="977" spans="1:29">
      <c r="A977" s="11">
        <v>970</v>
      </c>
      <c r="B977" s="11" t="s">
        <v>1280</v>
      </c>
      <c r="C977" s="11" t="s">
        <v>1085</v>
      </c>
      <c r="D977" s="11" t="s">
        <v>655</v>
      </c>
      <c r="E977" s="11" t="s">
        <v>34</v>
      </c>
      <c r="F977" s="11" t="s">
        <v>35</v>
      </c>
      <c r="G977" s="9" t="s">
        <v>36</v>
      </c>
      <c r="H977" s="9" t="s">
        <v>37</v>
      </c>
      <c r="I977" s="9" t="s">
        <v>75</v>
      </c>
      <c r="J977" s="11">
        <v>170</v>
      </c>
      <c r="K977" s="11" t="s">
        <v>651</v>
      </c>
      <c r="L977" s="11" t="s">
        <v>40</v>
      </c>
      <c r="M977" s="13">
        <v>1</v>
      </c>
      <c r="N977" s="16">
        <v>9000.0</v>
      </c>
      <c r="O977" s="16"/>
      <c r="P977" s="18">
        <f>IF(N977&gt;0, O977/N977, 0)</f>
        <v>0</v>
      </c>
      <c r="Q977" s="16">
        <f>N977-O977</f>
        <v>9000</v>
      </c>
      <c r="R977" s="16">
        <f>M977*N977</f>
        <v>9000</v>
      </c>
      <c r="S977" s="16">
        <f>M977*O977</f>
        <v>0</v>
      </c>
      <c r="T977" s="16">
        <f>M977*Q977</f>
        <v>9000</v>
      </c>
      <c r="U977" s="16"/>
      <c r="V977" s="16">
        <f>M977*U977</f>
        <v>0</v>
      </c>
      <c r="W977" s="16">
        <f>T977-V977</f>
        <v>9000</v>
      </c>
      <c r="X977" s="18">
        <f>IF(T977&gt;0, W977/T977, 0)</f>
        <v>1</v>
      </c>
      <c r="Y977" s="9" t="s">
        <v>41</v>
      </c>
      <c r="Z977" s="11" t="s">
        <v>42</v>
      </c>
      <c r="AA977" s="11" t="s">
        <v>43</v>
      </c>
      <c r="AB977" s="11" t="s">
        <v>44</v>
      </c>
      <c r="AC977" s="9" t="s">
        <v>44</v>
      </c>
    </row>
    <row r="978" spans="1:29">
      <c r="A978" s="10">
        <v>971</v>
      </c>
      <c r="B978" s="10" t="s">
        <v>1281</v>
      </c>
      <c r="C978" s="10" t="s">
        <v>1085</v>
      </c>
      <c r="D978" s="10" t="s">
        <v>655</v>
      </c>
      <c r="E978" s="10" t="s">
        <v>34</v>
      </c>
      <c r="F978" s="10" t="s">
        <v>35</v>
      </c>
      <c r="G978" s="8" t="s">
        <v>36</v>
      </c>
      <c r="H978" s="8" t="s">
        <v>37</v>
      </c>
      <c r="I978" s="8" t="s">
        <v>38</v>
      </c>
      <c r="J978" s="10">
        <v>170</v>
      </c>
      <c r="K978" s="10" t="s">
        <v>145</v>
      </c>
      <c r="L978" s="10" t="s">
        <v>40</v>
      </c>
      <c r="M978" s="12">
        <v>1</v>
      </c>
      <c r="N978" s="15">
        <v>8000.0</v>
      </c>
      <c r="O978" s="15"/>
      <c r="P978" s="17">
        <f>IF(N978&gt;0, O978/N978, 0)</f>
        <v>0</v>
      </c>
      <c r="Q978" s="15">
        <f>N978-O978</f>
        <v>8000</v>
      </c>
      <c r="R978" s="15">
        <f>M978*N978</f>
        <v>8000</v>
      </c>
      <c r="S978" s="15">
        <f>M978*O978</f>
        <v>0</v>
      </c>
      <c r="T978" s="15">
        <f>M978*Q978</f>
        <v>8000</v>
      </c>
      <c r="U978" s="15"/>
      <c r="V978" s="15">
        <f>M978*U978</f>
        <v>0</v>
      </c>
      <c r="W978" s="15">
        <f>T978-V978</f>
        <v>8000</v>
      </c>
      <c r="X978" s="17">
        <f>IF(T978&gt;0, W978/T978, 0)</f>
        <v>1</v>
      </c>
      <c r="Y978" s="8" t="s">
        <v>41</v>
      </c>
      <c r="Z978" s="10" t="s">
        <v>42</v>
      </c>
      <c r="AA978" s="10" t="s">
        <v>43</v>
      </c>
      <c r="AB978" s="10" t="s">
        <v>44</v>
      </c>
      <c r="AC978" s="8" t="s">
        <v>44</v>
      </c>
    </row>
    <row r="979" spans="1:29">
      <c r="A979" s="11">
        <v>972</v>
      </c>
      <c r="B979" s="11" t="s">
        <v>1282</v>
      </c>
      <c r="C979" s="11" t="s">
        <v>1085</v>
      </c>
      <c r="D979" s="11" t="s">
        <v>655</v>
      </c>
      <c r="E979" s="11" t="s">
        <v>34</v>
      </c>
      <c r="F979" s="11" t="s">
        <v>35</v>
      </c>
      <c r="G979" s="9" t="s">
        <v>52</v>
      </c>
      <c r="H979" s="9" t="s">
        <v>37</v>
      </c>
      <c r="I979" s="9" t="s">
        <v>38</v>
      </c>
      <c r="J979" s="11">
        <v>140</v>
      </c>
      <c r="K979" s="11" t="s">
        <v>226</v>
      </c>
      <c r="L979" s="11" t="s">
        <v>55</v>
      </c>
      <c r="M979" s="13">
        <v>2</v>
      </c>
      <c r="N979" s="16">
        <v>7200.0</v>
      </c>
      <c r="O979" s="16"/>
      <c r="P979" s="18">
        <f>IF(N979&gt;0, O979/N979, 0)</f>
        <v>0</v>
      </c>
      <c r="Q979" s="16">
        <f>N979-O979</f>
        <v>7200</v>
      </c>
      <c r="R979" s="16">
        <f>M979*N979</f>
        <v>14400</v>
      </c>
      <c r="S979" s="16">
        <f>M979*O979</f>
        <v>0</v>
      </c>
      <c r="T979" s="16">
        <f>M979*Q979</f>
        <v>14400</v>
      </c>
      <c r="U979" s="16"/>
      <c r="V979" s="16">
        <f>M979*U979</f>
        <v>0</v>
      </c>
      <c r="W979" s="16">
        <f>T979-V979</f>
        <v>14400</v>
      </c>
      <c r="X979" s="18">
        <f>IF(T979&gt;0, W979/T979, 0)</f>
        <v>1</v>
      </c>
      <c r="Y979" s="9" t="s">
        <v>41</v>
      </c>
      <c r="Z979" s="11" t="s">
        <v>42</v>
      </c>
      <c r="AA979" s="11" t="s">
        <v>43</v>
      </c>
      <c r="AB979" s="11" t="s">
        <v>44</v>
      </c>
      <c r="AC979" s="9" t="s">
        <v>44</v>
      </c>
    </row>
    <row r="980" spans="1:29">
      <c r="A980" s="10">
        <v>973</v>
      </c>
      <c r="B980" s="10" t="s">
        <v>1283</v>
      </c>
      <c r="C980" s="10" t="s">
        <v>1085</v>
      </c>
      <c r="D980" s="10" t="s">
        <v>655</v>
      </c>
      <c r="E980" s="10" t="s">
        <v>34</v>
      </c>
      <c r="F980" s="10" t="s">
        <v>35</v>
      </c>
      <c r="G980" s="8" t="s">
        <v>52</v>
      </c>
      <c r="H980" s="8" t="s">
        <v>53</v>
      </c>
      <c r="I980" s="8" t="s">
        <v>53</v>
      </c>
      <c r="J980" s="10">
        <v>140</v>
      </c>
      <c r="K980" s="10" t="s">
        <v>282</v>
      </c>
      <c r="L980" s="10" t="s">
        <v>55</v>
      </c>
      <c r="M980" s="12">
        <v>2</v>
      </c>
      <c r="N980" s="15">
        <v>6300.0</v>
      </c>
      <c r="O980" s="15"/>
      <c r="P980" s="17">
        <f>IF(N980&gt;0, O980/N980, 0)</f>
        <v>0</v>
      </c>
      <c r="Q980" s="15">
        <f>N980-O980</f>
        <v>6300</v>
      </c>
      <c r="R980" s="15">
        <f>M980*N980</f>
        <v>12600</v>
      </c>
      <c r="S980" s="15">
        <f>M980*O980</f>
        <v>0</v>
      </c>
      <c r="T980" s="15">
        <f>M980*Q980</f>
        <v>12600</v>
      </c>
      <c r="U980" s="15"/>
      <c r="V980" s="15">
        <f>M980*U980</f>
        <v>0</v>
      </c>
      <c r="W980" s="15">
        <f>T980-V980</f>
        <v>12600</v>
      </c>
      <c r="X980" s="17">
        <f>IF(T980&gt;0, W980/T980, 0)</f>
        <v>1</v>
      </c>
      <c r="Y980" s="8" t="s">
        <v>41</v>
      </c>
      <c r="Z980" s="10" t="s">
        <v>42</v>
      </c>
      <c r="AA980" s="10" t="s">
        <v>43</v>
      </c>
      <c r="AB980" s="10" t="s">
        <v>44</v>
      </c>
      <c r="AC980" s="8" t="s">
        <v>44</v>
      </c>
    </row>
    <row r="981" spans="1:29">
      <c r="A981" s="11">
        <v>974</v>
      </c>
      <c r="B981" s="11" t="s">
        <v>1284</v>
      </c>
      <c r="C981" s="11" t="s">
        <v>1085</v>
      </c>
      <c r="D981" s="11" t="s">
        <v>655</v>
      </c>
      <c r="E981" s="11" t="s">
        <v>34</v>
      </c>
      <c r="F981" s="11" t="s">
        <v>35</v>
      </c>
      <c r="G981" s="9" t="s">
        <v>36</v>
      </c>
      <c r="H981" s="9" t="s">
        <v>58</v>
      </c>
      <c r="I981" s="9" t="s">
        <v>58</v>
      </c>
      <c r="J981" s="11">
        <v>176</v>
      </c>
      <c r="K981" s="11" t="s">
        <v>668</v>
      </c>
      <c r="L981" s="11" t="s">
        <v>40</v>
      </c>
      <c r="M981" s="13">
        <v>1</v>
      </c>
      <c r="N981" s="16">
        <v>7500.0</v>
      </c>
      <c r="O981" s="16"/>
      <c r="P981" s="18">
        <f>IF(N981&gt;0, O981/N981, 0)</f>
        <v>0</v>
      </c>
      <c r="Q981" s="16">
        <f>N981-O981</f>
        <v>7500</v>
      </c>
      <c r="R981" s="16">
        <f>M981*N981</f>
        <v>7500</v>
      </c>
      <c r="S981" s="16">
        <f>M981*O981</f>
        <v>0</v>
      </c>
      <c r="T981" s="16">
        <f>M981*Q981</f>
        <v>7500</v>
      </c>
      <c r="U981" s="16"/>
      <c r="V981" s="16">
        <f>M981*U981</f>
        <v>0</v>
      </c>
      <c r="W981" s="16">
        <f>T981-V981</f>
        <v>7500</v>
      </c>
      <c r="X981" s="18">
        <f>IF(T981&gt;0, W981/T981, 0)</f>
        <v>1</v>
      </c>
      <c r="Y981" s="9" t="s">
        <v>41</v>
      </c>
      <c r="Z981" s="11" t="s">
        <v>42</v>
      </c>
      <c r="AA981" s="11" t="s">
        <v>43</v>
      </c>
      <c r="AB981" s="11" t="s">
        <v>44</v>
      </c>
      <c r="AC981" s="9" t="s">
        <v>44</v>
      </c>
    </row>
    <row r="982" spans="1:29">
      <c r="A982" s="10">
        <v>975</v>
      </c>
      <c r="B982" s="10" t="s">
        <v>1285</v>
      </c>
      <c r="C982" s="10" t="s">
        <v>1085</v>
      </c>
      <c r="D982" s="10" t="s">
        <v>655</v>
      </c>
      <c r="E982" s="10" t="s">
        <v>34</v>
      </c>
      <c r="F982" s="10" t="s">
        <v>35</v>
      </c>
      <c r="G982" s="8" t="s">
        <v>36</v>
      </c>
      <c r="H982" s="8" t="s">
        <v>65</v>
      </c>
      <c r="I982" s="8" t="s">
        <v>151</v>
      </c>
      <c r="J982" s="10">
        <v>176</v>
      </c>
      <c r="K982" s="10" t="s">
        <v>236</v>
      </c>
      <c r="L982" s="10" t="s">
        <v>40</v>
      </c>
      <c r="M982" s="12">
        <v>1</v>
      </c>
      <c r="N982" s="15">
        <v>9500.0</v>
      </c>
      <c r="O982" s="15"/>
      <c r="P982" s="17">
        <f>IF(N982&gt;0, O982/N982, 0)</f>
        <v>0</v>
      </c>
      <c r="Q982" s="15">
        <f>N982-O982</f>
        <v>9500</v>
      </c>
      <c r="R982" s="15">
        <f>M982*N982</f>
        <v>9500</v>
      </c>
      <c r="S982" s="15">
        <f>M982*O982</f>
        <v>0</v>
      </c>
      <c r="T982" s="15">
        <f>M982*Q982</f>
        <v>9500</v>
      </c>
      <c r="U982" s="15"/>
      <c r="V982" s="15">
        <f>M982*U982</f>
        <v>0</v>
      </c>
      <c r="W982" s="15">
        <f>T982-V982</f>
        <v>9500</v>
      </c>
      <c r="X982" s="17">
        <f>IF(T982&gt;0, W982/T982, 0)</f>
        <v>1</v>
      </c>
      <c r="Y982" s="8" t="s">
        <v>41</v>
      </c>
      <c r="Z982" s="10" t="s">
        <v>42</v>
      </c>
      <c r="AA982" s="10" t="s">
        <v>43</v>
      </c>
      <c r="AB982" s="10" t="s">
        <v>44</v>
      </c>
      <c r="AC982" s="8" t="s">
        <v>44</v>
      </c>
    </row>
    <row r="983" spans="1:29">
      <c r="A983" s="11">
        <v>976</v>
      </c>
      <c r="B983" s="11" t="s">
        <v>1286</v>
      </c>
      <c r="C983" s="11" t="s">
        <v>1085</v>
      </c>
      <c r="D983" s="11" t="s">
        <v>655</v>
      </c>
      <c r="E983" s="11" t="s">
        <v>34</v>
      </c>
      <c r="F983" s="11" t="s">
        <v>35</v>
      </c>
      <c r="G983" s="9" t="s">
        <v>36</v>
      </c>
      <c r="H983" s="9" t="s">
        <v>65</v>
      </c>
      <c r="I983" s="9" t="s">
        <v>151</v>
      </c>
      <c r="J983" s="11">
        <v>170</v>
      </c>
      <c r="K983" s="11" t="s">
        <v>152</v>
      </c>
      <c r="L983" s="11" t="s">
        <v>40</v>
      </c>
      <c r="M983" s="13">
        <v>1</v>
      </c>
      <c r="N983" s="16">
        <v>9500.0</v>
      </c>
      <c r="O983" s="16"/>
      <c r="P983" s="18">
        <f>IF(N983&gt;0, O983/N983, 0)</f>
        <v>0</v>
      </c>
      <c r="Q983" s="16">
        <f>N983-O983</f>
        <v>9500</v>
      </c>
      <c r="R983" s="16">
        <f>M983*N983</f>
        <v>9500</v>
      </c>
      <c r="S983" s="16">
        <f>M983*O983</f>
        <v>0</v>
      </c>
      <c r="T983" s="16">
        <f>M983*Q983</f>
        <v>9500</v>
      </c>
      <c r="U983" s="16"/>
      <c r="V983" s="16">
        <f>M983*U983</f>
        <v>0</v>
      </c>
      <c r="W983" s="16">
        <f>T983-V983</f>
        <v>9500</v>
      </c>
      <c r="X983" s="18">
        <f>IF(T983&gt;0, W983/T983, 0)</f>
        <v>1</v>
      </c>
      <c r="Y983" s="9" t="s">
        <v>41</v>
      </c>
      <c r="Z983" s="11" t="s">
        <v>42</v>
      </c>
      <c r="AA983" s="11" t="s">
        <v>43</v>
      </c>
      <c r="AB983" s="11" t="s">
        <v>44</v>
      </c>
      <c r="AC983" s="9" t="s">
        <v>44</v>
      </c>
    </row>
    <row r="984" spans="1:29">
      <c r="A984" s="10">
        <v>977</v>
      </c>
      <c r="B984" s="10" t="s">
        <v>1287</v>
      </c>
      <c r="C984" s="10" t="s">
        <v>1085</v>
      </c>
      <c r="D984" s="10" t="s">
        <v>655</v>
      </c>
      <c r="E984" s="10" t="s">
        <v>34</v>
      </c>
      <c r="F984" s="10" t="s">
        <v>35</v>
      </c>
      <c r="G984" s="8" t="s">
        <v>36</v>
      </c>
      <c r="H984" s="8" t="s">
        <v>37</v>
      </c>
      <c r="I984" s="8" t="s">
        <v>38</v>
      </c>
      <c r="J984" s="10">
        <v>170</v>
      </c>
      <c r="K984" s="10" t="s">
        <v>145</v>
      </c>
      <c r="L984" s="10" t="s">
        <v>40</v>
      </c>
      <c r="M984" s="12">
        <v>3</v>
      </c>
      <c r="N984" s="15">
        <v>8000.0</v>
      </c>
      <c r="O984" s="15"/>
      <c r="P984" s="17">
        <f>IF(N984&gt;0, O984/N984, 0)</f>
        <v>0</v>
      </c>
      <c r="Q984" s="15">
        <f>N984-O984</f>
        <v>8000</v>
      </c>
      <c r="R984" s="15">
        <f>M984*N984</f>
        <v>24000</v>
      </c>
      <c r="S984" s="15">
        <f>M984*O984</f>
        <v>0</v>
      </c>
      <c r="T984" s="15">
        <f>M984*Q984</f>
        <v>24000</v>
      </c>
      <c r="U984" s="15"/>
      <c r="V984" s="15">
        <f>M984*U984</f>
        <v>0</v>
      </c>
      <c r="W984" s="15">
        <f>T984-V984</f>
        <v>24000</v>
      </c>
      <c r="X984" s="17">
        <f>IF(T984&gt;0, W984/T984, 0)</f>
        <v>1</v>
      </c>
      <c r="Y984" s="8" t="s">
        <v>41</v>
      </c>
      <c r="Z984" s="10" t="s">
        <v>42</v>
      </c>
      <c r="AA984" s="10" t="s">
        <v>43</v>
      </c>
      <c r="AB984" s="10" t="s">
        <v>44</v>
      </c>
      <c r="AC984" s="8" t="s">
        <v>44</v>
      </c>
    </row>
    <row r="985" spans="1:29">
      <c r="A985" s="11">
        <v>978</v>
      </c>
      <c r="B985" s="11" t="s">
        <v>1288</v>
      </c>
      <c r="C985" s="11" t="s">
        <v>1085</v>
      </c>
      <c r="D985" s="11" t="s">
        <v>655</v>
      </c>
      <c r="E985" s="11" t="s">
        <v>34</v>
      </c>
      <c r="F985" s="11" t="s">
        <v>35</v>
      </c>
      <c r="G985" s="9" t="s">
        <v>36</v>
      </c>
      <c r="H985" s="9" t="s">
        <v>37</v>
      </c>
      <c r="I985" s="9" t="s">
        <v>75</v>
      </c>
      <c r="J985" s="11">
        <v>176</v>
      </c>
      <c r="K985" s="11" t="s">
        <v>423</v>
      </c>
      <c r="L985" s="11" t="s">
        <v>40</v>
      </c>
      <c r="M985" s="13">
        <v>2</v>
      </c>
      <c r="N985" s="16">
        <v>9000.0</v>
      </c>
      <c r="O985" s="16"/>
      <c r="P985" s="18">
        <f>IF(N985&gt;0, O985/N985, 0)</f>
        <v>0</v>
      </c>
      <c r="Q985" s="16">
        <f>N985-O985</f>
        <v>9000</v>
      </c>
      <c r="R985" s="16">
        <f>M985*N985</f>
        <v>18000</v>
      </c>
      <c r="S985" s="16">
        <f>M985*O985</f>
        <v>0</v>
      </c>
      <c r="T985" s="16">
        <f>M985*Q985</f>
        <v>18000</v>
      </c>
      <c r="U985" s="16"/>
      <c r="V985" s="16">
        <f>M985*U985</f>
        <v>0</v>
      </c>
      <c r="W985" s="16">
        <f>T985-V985</f>
        <v>18000</v>
      </c>
      <c r="X985" s="18">
        <f>IF(T985&gt;0, W985/T985, 0)</f>
        <v>1</v>
      </c>
      <c r="Y985" s="9" t="s">
        <v>41</v>
      </c>
      <c r="Z985" s="11" t="s">
        <v>42</v>
      </c>
      <c r="AA985" s="11" t="s">
        <v>43</v>
      </c>
      <c r="AB985" s="11" t="s">
        <v>44</v>
      </c>
      <c r="AC985" s="9" t="s">
        <v>44</v>
      </c>
    </row>
    <row r="986" spans="1:29">
      <c r="A986" s="10">
        <v>979</v>
      </c>
      <c r="B986" s="10" t="s">
        <v>1289</v>
      </c>
      <c r="C986" s="10" t="s">
        <v>1085</v>
      </c>
      <c r="D986" s="10" t="s">
        <v>655</v>
      </c>
      <c r="E986" s="10" t="s">
        <v>34</v>
      </c>
      <c r="F986" s="10" t="s">
        <v>35</v>
      </c>
      <c r="G986" s="8" t="s">
        <v>36</v>
      </c>
      <c r="H986" s="8" t="s">
        <v>37</v>
      </c>
      <c r="I986" s="8" t="s">
        <v>38</v>
      </c>
      <c r="J986" s="10">
        <v>176</v>
      </c>
      <c r="K986" s="10" t="s">
        <v>355</v>
      </c>
      <c r="L986" s="10" t="s">
        <v>40</v>
      </c>
      <c r="M986" s="12">
        <v>1</v>
      </c>
      <c r="N986" s="15">
        <v>8000.0</v>
      </c>
      <c r="O986" s="15"/>
      <c r="P986" s="17">
        <f>IF(N986&gt;0, O986/N986, 0)</f>
        <v>0</v>
      </c>
      <c r="Q986" s="15">
        <f>N986-O986</f>
        <v>8000</v>
      </c>
      <c r="R986" s="15">
        <f>M986*N986</f>
        <v>8000</v>
      </c>
      <c r="S986" s="15">
        <f>M986*O986</f>
        <v>0</v>
      </c>
      <c r="T986" s="15">
        <f>M986*Q986</f>
        <v>8000</v>
      </c>
      <c r="U986" s="15"/>
      <c r="V986" s="15">
        <f>M986*U986</f>
        <v>0</v>
      </c>
      <c r="W986" s="15">
        <f>T986-V986</f>
        <v>8000</v>
      </c>
      <c r="X986" s="17">
        <f>IF(T986&gt;0, W986/T986, 0)</f>
        <v>1</v>
      </c>
      <c r="Y986" s="8" t="s">
        <v>41</v>
      </c>
      <c r="Z986" s="10" t="s">
        <v>42</v>
      </c>
      <c r="AA986" s="10" t="s">
        <v>43</v>
      </c>
      <c r="AB986" s="10" t="s">
        <v>44</v>
      </c>
      <c r="AC986" s="8" t="s">
        <v>44</v>
      </c>
    </row>
    <row r="987" spans="1:29">
      <c r="A987" s="11">
        <v>980</v>
      </c>
      <c r="B987" s="11" t="s">
        <v>1290</v>
      </c>
      <c r="C987" s="11" t="s">
        <v>1085</v>
      </c>
      <c r="D987" s="11" t="s">
        <v>655</v>
      </c>
      <c r="E987" s="11" t="s">
        <v>70</v>
      </c>
      <c r="F987" s="11" t="s">
        <v>35</v>
      </c>
      <c r="G987" s="9" t="s">
        <v>36</v>
      </c>
      <c r="H987" s="9" t="s">
        <v>65</v>
      </c>
      <c r="I987" s="9" t="s">
        <v>151</v>
      </c>
      <c r="J987" s="11">
        <v>158</v>
      </c>
      <c r="K987" s="11" t="s">
        <v>220</v>
      </c>
      <c r="L987" s="11" t="s">
        <v>40</v>
      </c>
      <c r="M987" s="13">
        <v>1</v>
      </c>
      <c r="N987" s="16">
        <v>11000.0</v>
      </c>
      <c r="O987" s="16"/>
      <c r="P987" s="18">
        <f>IF(N987&gt;0, O987/N987, 0)</f>
        <v>0</v>
      </c>
      <c r="Q987" s="16">
        <f>N987-O987</f>
        <v>11000</v>
      </c>
      <c r="R987" s="16">
        <f>M987*N987</f>
        <v>11000</v>
      </c>
      <c r="S987" s="16">
        <f>M987*O987</f>
        <v>0</v>
      </c>
      <c r="T987" s="16">
        <f>M987*Q987</f>
        <v>11000</v>
      </c>
      <c r="U987" s="16"/>
      <c r="V987" s="16">
        <f>M987*U987</f>
        <v>0</v>
      </c>
      <c r="W987" s="16">
        <f>T987-V987</f>
        <v>11000</v>
      </c>
      <c r="X987" s="18">
        <f>IF(T987&gt;0, W987/T987, 0)</f>
        <v>1</v>
      </c>
      <c r="Y987" s="9" t="s">
        <v>41</v>
      </c>
      <c r="Z987" s="11" t="s">
        <v>42</v>
      </c>
      <c r="AA987" s="11" t="s">
        <v>73</v>
      </c>
      <c r="AB987" s="11" t="s">
        <v>44</v>
      </c>
      <c r="AC987" s="9" t="s">
        <v>44</v>
      </c>
    </row>
    <row r="988" spans="1:29">
      <c r="A988" s="10">
        <v>981</v>
      </c>
      <c r="B988" s="10" t="s">
        <v>1291</v>
      </c>
      <c r="C988" s="10" t="s">
        <v>1292</v>
      </c>
      <c r="D988" s="10" t="s">
        <v>655</v>
      </c>
      <c r="E988" s="10" t="s">
        <v>70</v>
      </c>
      <c r="F988" s="10" t="s">
        <v>35</v>
      </c>
      <c r="G988" s="8" t="s">
        <v>36</v>
      </c>
      <c r="H988" s="8" t="s">
        <v>37</v>
      </c>
      <c r="I988" s="8" t="s">
        <v>38</v>
      </c>
      <c r="J988" s="10">
        <v>146</v>
      </c>
      <c r="K988" s="10" t="s">
        <v>531</v>
      </c>
      <c r="L988" s="10" t="s">
        <v>40</v>
      </c>
      <c r="M988" s="12">
        <v>3</v>
      </c>
      <c r="N988" s="15">
        <v>10000.0</v>
      </c>
      <c r="O988" s="15"/>
      <c r="P988" s="17">
        <f>IF(N988&gt;0, O988/N988, 0)</f>
        <v>0</v>
      </c>
      <c r="Q988" s="15">
        <f>N988-O988</f>
        <v>10000</v>
      </c>
      <c r="R988" s="15">
        <f>M988*N988</f>
        <v>30000</v>
      </c>
      <c r="S988" s="15">
        <f>M988*O988</f>
        <v>0</v>
      </c>
      <c r="T988" s="15">
        <f>M988*Q988</f>
        <v>30000</v>
      </c>
      <c r="U988" s="15"/>
      <c r="V988" s="15">
        <f>M988*U988</f>
        <v>0</v>
      </c>
      <c r="W988" s="15">
        <f>T988-V988</f>
        <v>30000</v>
      </c>
      <c r="X988" s="17">
        <f>IF(T988&gt;0, W988/T988, 0)</f>
        <v>1</v>
      </c>
      <c r="Y988" s="8" t="s">
        <v>41</v>
      </c>
      <c r="Z988" s="10" t="s">
        <v>42</v>
      </c>
      <c r="AA988" s="10" t="s">
        <v>73</v>
      </c>
      <c r="AB988" s="10" t="s">
        <v>44</v>
      </c>
      <c r="AC988" s="8" t="s">
        <v>44</v>
      </c>
    </row>
    <row r="989" spans="1:29">
      <c r="A989" s="11">
        <v>982</v>
      </c>
      <c r="B989" s="11" t="s">
        <v>1293</v>
      </c>
      <c r="C989" s="11" t="s">
        <v>1292</v>
      </c>
      <c r="D989" s="11" t="s">
        <v>655</v>
      </c>
      <c r="E989" s="11" t="s">
        <v>34</v>
      </c>
      <c r="F989" s="11" t="s">
        <v>35</v>
      </c>
      <c r="G989" s="9" t="s">
        <v>36</v>
      </c>
      <c r="H989" s="9" t="s">
        <v>71</v>
      </c>
      <c r="I989" s="9" t="s">
        <v>71</v>
      </c>
      <c r="J989" s="11">
        <v>176</v>
      </c>
      <c r="K989" s="11" t="s">
        <v>206</v>
      </c>
      <c r="L989" s="11" t="s">
        <v>40</v>
      </c>
      <c r="M989" s="13">
        <v>1</v>
      </c>
      <c r="N989" s="16">
        <v>16500.0</v>
      </c>
      <c r="O989" s="16"/>
      <c r="P989" s="18">
        <f>IF(N989&gt;0, O989/N989, 0)</f>
        <v>0</v>
      </c>
      <c r="Q989" s="16">
        <f>N989-O989</f>
        <v>16500</v>
      </c>
      <c r="R989" s="16">
        <f>M989*N989</f>
        <v>16500</v>
      </c>
      <c r="S989" s="16">
        <f>M989*O989</f>
        <v>0</v>
      </c>
      <c r="T989" s="16">
        <f>M989*Q989</f>
        <v>16500</v>
      </c>
      <c r="U989" s="16"/>
      <c r="V989" s="16">
        <f>M989*U989</f>
        <v>0</v>
      </c>
      <c r="W989" s="16">
        <f>T989-V989</f>
        <v>16500</v>
      </c>
      <c r="X989" s="18">
        <f>IF(T989&gt;0, W989/T989, 0)</f>
        <v>1</v>
      </c>
      <c r="Y989" s="9" t="s">
        <v>41</v>
      </c>
      <c r="Z989" s="11" t="s">
        <v>42</v>
      </c>
      <c r="AA989" s="11" t="s">
        <v>43</v>
      </c>
      <c r="AB989" s="11" t="s">
        <v>44</v>
      </c>
      <c r="AC989" s="9" t="s">
        <v>44</v>
      </c>
    </row>
    <row r="990" spans="1:29">
      <c r="A990" s="10">
        <v>983</v>
      </c>
      <c r="B990" s="10" t="s">
        <v>1294</v>
      </c>
      <c r="C990" s="10" t="s">
        <v>1292</v>
      </c>
      <c r="D990" s="10" t="s">
        <v>655</v>
      </c>
      <c r="E990" s="10" t="s">
        <v>34</v>
      </c>
      <c r="F990" s="10" t="s">
        <v>35</v>
      </c>
      <c r="G990" s="8" t="s">
        <v>36</v>
      </c>
      <c r="H990" s="8" t="s">
        <v>58</v>
      </c>
      <c r="I990" s="8" t="s">
        <v>58</v>
      </c>
      <c r="J990" s="10">
        <v>170</v>
      </c>
      <c r="K990" s="10" t="s">
        <v>215</v>
      </c>
      <c r="L990" s="10" t="s">
        <v>40</v>
      </c>
      <c r="M990" s="12">
        <v>1</v>
      </c>
      <c r="N990" s="15">
        <v>7500.0</v>
      </c>
      <c r="O990" s="15"/>
      <c r="P990" s="17">
        <f>IF(N990&gt;0, O990/N990, 0)</f>
        <v>0</v>
      </c>
      <c r="Q990" s="15">
        <f>N990-O990</f>
        <v>7500</v>
      </c>
      <c r="R990" s="15">
        <f>M990*N990</f>
        <v>7500</v>
      </c>
      <c r="S990" s="15">
        <f>M990*O990</f>
        <v>0</v>
      </c>
      <c r="T990" s="15">
        <f>M990*Q990</f>
        <v>7500</v>
      </c>
      <c r="U990" s="15"/>
      <c r="V990" s="15">
        <f>M990*U990</f>
        <v>0</v>
      </c>
      <c r="W990" s="15">
        <f>T990-V990</f>
        <v>7500</v>
      </c>
      <c r="X990" s="17">
        <f>IF(T990&gt;0, W990/T990, 0)</f>
        <v>1</v>
      </c>
      <c r="Y990" s="8" t="s">
        <v>41</v>
      </c>
      <c r="Z990" s="10" t="s">
        <v>42</v>
      </c>
      <c r="AA990" s="10" t="s">
        <v>43</v>
      </c>
      <c r="AB990" s="10" t="s">
        <v>44</v>
      </c>
      <c r="AC990" s="8" t="s">
        <v>44</v>
      </c>
    </row>
    <row r="991" spans="1:29">
      <c r="A991" s="11">
        <v>984</v>
      </c>
      <c r="B991" s="11" t="s">
        <v>1295</v>
      </c>
      <c r="C991" s="11" t="s">
        <v>1292</v>
      </c>
      <c r="D991" s="11" t="s">
        <v>655</v>
      </c>
      <c r="E991" s="11" t="s">
        <v>34</v>
      </c>
      <c r="F991" s="11" t="s">
        <v>35</v>
      </c>
      <c r="G991" s="9" t="s">
        <v>36</v>
      </c>
      <c r="H991" s="9" t="s">
        <v>53</v>
      </c>
      <c r="I991" s="9" t="s">
        <v>53</v>
      </c>
      <c r="J991" s="11">
        <v>176</v>
      </c>
      <c r="K991" s="11" t="s">
        <v>421</v>
      </c>
      <c r="L991" s="11" t="s">
        <v>40</v>
      </c>
      <c r="M991" s="13">
        <v>1</v>
      </c>
      <c r="N991" s="16">
        <v>8500.0</v>
      </c>
      <c r="O991" s="16"/>
      <c r="P991" s="18">
        <f>IF(N991&gt;0, O991/N991, 0)</f>
        <v>0</v>
      </c>
      <c r="Q991" s="16">
        <f>N991-O991</f>
        <v>8500</v>
      </c>
      <c r="R991" s="16">
        <f>M991*N991</f>
        <v>8500</v>
      </c>
      <c r="S991" s="16">
        <f>M991*O991</f>
        <v>0</v>
      </c>
      <c r="T991" s="16">
        <f>M991*Q991</f>
        <v>8500</v>
      </c>
      <c r="U991" s="16"/>
      <c r="V991" s="16">
        <f>M991*U991</f>
        <v>0</v>
      </c>
      <c r="W991" s="16">
        <f>T991-V991</f>
        <v>8500</v>
      </c>
      <c r="X991" s="18">
        <f>IF(T991&gt;0, W991/T991, 0)</f>
        <v>1</v>
      </c>
      <c r="Y991" s="9" t="s">
        <v>41</v>
      </c>
      <c r="Z991" s="11" t="s">
        <v>42</v>
      </c>
      <c r="AA991" s="11" t="s">
        <v>43</v>
      </c>
      <c r="AB991" s="11" t="s">
        <v>44</v>
      </c>
      <c r="AC991" s="9" t="s">
        <v>44</v>
      </c>
    </row>
    <row r="992" spans="1:29">
      <c r="A992" s="10">
        <v>985</v>
      </c>
      <c r="B992" s="10" t="s">
        <v>1296</v>
      </c>
      <c r="C992" s="10" t="s">
        <v>1292</v>
      </c>
      <c r="D992" s="10" t="s">
        <v>655</v>
      </c>
      <c r="E992" s="10" t="s">
        <v>34</v>
      </c>
      <c r="F992" s="10" t="s">
        <v>35</v>
      </c>
      <c r="G992" s="8" t="s">
        <v>36</v>
      </c>
      <c r="H992" s="8" t="s">
        <v>65</v>
      </c>
      <c r="I992" s="8" t="s">
        <v>151</v>
      </c>
      <c r="J992" s="10">
        <v>170</v>
      </c>
      <c r="K992" s="10" t="s">
        <v>152</v>
      </c>
      <c r="L992" s="10" t="s">
        <v>40</v>
      </c>
      <c r="M992" s="12">
        <v>1</v>
      </c>
      <c r="N992" s="15">
        <v>9500.0</v>
      </c>
      <c r="O992" s="15"/>
      <c r="P992" s="17">
        <f>IF(N992&gt;0, O992/N992, 0)</f>
        <v>0</v>
      </c>
      <c r="Q992" s="15">
        <f>N992-O992</f>
        <v>9500</v>
      </c>
      <c r="R992" s="15">
        <f>M992*N992</f>
        <v>9500</v>
      </c>
      <c r="S992" s="15">
        <f>M992*O992</f>
        <v>0</v>
      </c>
      <c r="T992" s="15">
        <f>M992*Q992</f>
        <v>9500</v>
      </c>
      <c r="U992" s="15"/>
      <c r="V992" s="15">
        <f>M992*U992</f>
        <v>0</v>
      </c>
      <c r="W992" s="15">
        <f>T992-V992</f>
        <v>9500</v>
      </c>
      <c r="X992" s="17">
        <f>IF(T992&gt;0, W992/T992, 0)</f>
        <v>1</v>
      </c>
      <c r="Y992" s="8" t="s">
        <v>41</v>
      </c>
      <c r="Z992" s="10" t="s">
        <v>42</v>
      </c>
      <c r="AA992" s="10" t="s">
        <v>43</v>
      </c>
      <c r="AB992" s="10" t="s">
        <v>44</v>
      </c>
      <c r="AC992" s="8" t="s">
        <v>44</v>
      </c>
    </row>
    <row r="993" spans="1:29">
      <c r="A993" s="11">
        <v>986</v>
      </c>
      <c r="B993" s="11" t="s">
        <v>1297</v>
      </c>
      <c r="C993" s="11" t="s">
        <v>1292</v>
      </c>
      <c r="D993" s="11" t="s">
        <v>655</v>
      </c>
      <c r="E993" s="11" t="s">
        <v>34</v>
      </c>
      <c r="F993" s="11" t="s">
        <v>35</v>
      </c>
      <c r="G993" s="9" t="s">
        <v>36</v>
      </c>
      <c r="H993" s="9" t="s">
        <v>37</v>
      </c>
      <c r="I993" s="9" t="s">
        <v>75</v>
      </c>
      <c r="J993" s="11">
        <v>176</v>
      </c>
      <c r="K993" s="11" t="s">
        <v>423</v>
      </c>
      <c r="L993" s="11" t="s">
        <v>40</v>
      </c>
      <c r="M993" s="13">
        <v>1</v>
      </c>
      <c r="N993" s="16">
        <v>9000.0</v>
      </c>
      <c r="O993" s="16"/>
      <c r="P993" s="18">
        <f>IF(N993&gt;0, O993/N993, 0)</f>
        <v>0</v>
      </c>
      <c r="Q993" s="16">
        <f>N993-O993</f>
        <v>9000</v>
      </c>
      <c r="R993" s="16">
        <f>M993*N993</f>
        <v>9000</v>
      </c>
      <c r="S993" s="16">
        <f>M993*O993</f>
        <v>0</v>
      </c>
      <c r="T993" s="16">
        <f>M993*Q993</f>
        <v>9000</v>
      </c>
      <c r="U993" s="16"/>
      <c r="V993" s="16">
        <f>M993*U993</f>
        <v>0</v>
      </c>
      <c r="W993" s="16">
        <f>T993-V993</f>
        <v>9000</v>
      </c>
      <c r="X993" s="18">
        <f>IF(T993&gt;0, W993/T993, 0)</f>
        <v>1</v>
      </c>
      <c r="Y993" s="9" t="s">
        <v>41</v>
      </c>
      <c r="Z993" s="11" t="s">
        <v>42</v>
      </c>
      <c r="AA993" s="11" t="s">
        <v>43</v>
      </c>
      <c r="AB993" s="11" t="s">
        <v>44</v>
      </c>
      <c r="AC993" s="9" t="s">
        <v>44</v>
      </c>
    </row>
    <row r="994" spans="1:29">
      <c r="A994" s="10">
        <v>987</v>
      </c>
      <c r="B994" s="10" t="s">
        <v>1298</v>
      </c>
      <c r="C994" s="10" t="s">
        <v>1292</v>
      </c>
      <c r="D994" s="10" t="s">
        <v>655</v>
      </c>
      <c r="E994" s="10" t="s">
        <v>34</v>
      </c>
      <c r="F994" s="10" t="s">
        <v>35</v>
      </c>
      <c r="G994" s="8" t="s">
        <v>36</v>
      </c>
      <c r="H994" s="8" t="s">
        <v>37</v>
      </c>
      <c r="I994" s="8" t="s">
        <v>38</v>
      </c>
      <c r="J994" s="10">
        <v>176</v>
      </c>
      <c r="K994" s="10" t="s">
        <v>355</v>
      </c>
      <c r="L994" s="10" t="s">
        <v>40</v>
      </c>
      <c r="M994" s="12">
        <v>2</v>
      </c>
      <c r="N994" s="15">
        <v>8000.0</v>
      </c>
      <c r="O994" s="15"/>
      <c r="P994" s="17">
        <f>IF(N994&gt;0, O994/N994, 0)</f>
        <v>0</v>
      </c>
      <c r="Q994" s="15">
        <f>N994-O994</f>
        <v>8000</v>
      </c>
      <c r="R994" s="15">
        <f>M994*N994</f>
        <v>16000</v>
      </c>
      <c r="S994" s="15">
        <f>M994*O994</f>
        <v>0</v>
      </c>
      <c r="T994" s="15">
        <f>M994*Q994</f>
        <v>16000</v>
      </c>
      <c r="U994" s="15"/>
      <c r="V994" s="15">
        <f>M994*U994</f>
        <v>0</v>
      </c>
      <c r="W994" s="15">
        <f>T994-V994</f>
        <v>16000</v>
      </c>
      <c r="X994" s="17">
        <f>IF(T994&gt;0, W994/T994, 0)</f>
        <v>1</v>
      </c>
      <c r="Y994" s="8" t="s">
        <v>41</v>
      </c>
      <c r="Z994" s="10" t="s">
        <v>42</v>
      </c>
      <c r="AA994" s="10" t="s">
        <v>43</v>
      </c>
      <c r="AB994" s="10" t="s">
        <v>44</v>
      </c>
      <c r="AC994" s="8" t="s">
        <v>44</v>
      </c>
    </row>
    <row r="995" spans="1:29">
      <c r="A995" s="11">
        <v>988</v>
      </c>
      <c r="B995" s="11" t="s">
        <v>1299</v>
      </c>
      <c r="C995" s="11" t="s">
        <v>1292</v>
      </c>
      <c r="D995" s="11" t="s">
        <v>655</v>
      </c>
      <c r="E995" s="11" t="s">
        <v>70</v>
      </c>
      <c r="F995" s="11" t="s">
        <v>35</v>
      </c>
      <c r="G995" s="9" t="s">
        <v>36</v>
      </c>
      <c r="H995" s="9" t="s">
        <v>53</v>
      </c>
      <c r="I995" s="9" t="s">
        <v>53</v>
      </c>
      <c r="J995" s="11">
        <v>146</v>
      </c>
      <c r="K995" s="11" t="s">
        <v>327</v>
      </c>
      <c r="L995" s="11" t="s">
        <v>40</v>
      </c>
      <c r="M995" s="13">
        <v>1</v>
      </c>
      <c r="N995" s="16">
        <v>10000.0</v>
      </c>
      <c r="O995" s="16"/>
      <c r="P995" s="18">
        <f>IF(N995&gt;0, O995/N995, 0)</f>
        <v>0</v>
      </c>
      <c r="Q995" s="16">
        <f>N995-O995</f>
        <v>10000</v>
      </c>
      <c r="R995" s="16">
        <f>M995*N995</f>
        <v>10000</v>
      </c>
      <c r="S995" s="16">
        <f>M995*O995</f>
        <v>0</v>
      </c>
      <c r="T995" s="16">
        <f>M995*Q995</f>
        <v>10000</v>
      </c>
      <c r="U995" s="16"/>
      <c r="V995" s="16">
        <f>M995*U995</f>
        <v>0</v>
      </c>
      <c r="W995" s="16">
        <f>T995-V995</f>
        <v>10000</v>
      </c>
      <c r="X995" s="18">
        <f>IF(T995&gt;0, W995/T995, 0)</f>
        <v>1</v>
      </c>
      <c r="Y995" s="9" t="s">
        <v>41</v>
      </c>
      <c r="Z995" s="11" t="s">
        <v>42</v>
      </c>
      <c r="AA995" s="11" t="s">
        <v>73</v>
      </c>
      <c r="AB995" s="11" t="s">
        <v>44</v>
      </c>
      <c r="AC995" s="9" t="s">
        <v>44</v>
      </c>
    </row>
    <row r="996" spans="1:29">
      <c r="A996" s="10">
        <v>989</v>
      </c>
      <c r="B996" s="10" t="s">
        <v>1300</v>
      </c>
      <c r="C996" s="10" t="s">
        <v>1292</v>
      </c>
      <c r="D996" s="10" t="s">
        <v>655</v>
      </c>
      <c r="E996" s="10" t="s">
        <v>34</v>
      </c>
      <c r="F996" s="10" t="s">
        <v>35</v>
      </c>
      <c r="G996" s="8" t="s">
        <v>52</v>
      </c>
      <c r="H996" s="8" t="s">
        <v>37</v>
      </c>
      <c r="I996" s="8" t="s">
        <v>38</v>
      </c>
      <c r="J996" s="10">
        <v>110</v>
      </c>
      <c r="K996" s="10" t="s">
        <v>1301</v>
      </c>
      <c r="L996" s="10" t="s">
        <v>55</v>
      </c>
      <c r="M996" s="12">
        <v>1</v>
      </c>
      <c r="N996" s="15">
        <v>7000.0</v>
      </c>
      <c r="O996" s="15"/>
      <c r="P996" s="17">
        <f>IF(N996&gt;0, O996/N996, 0)</f>
        <v>0</v>
      </c>
      <c r="Q996" s="15">
        <f>N996-O996</f>
        <v>7000</v>
      </c>
      <c r="R996" s="15">
        <f>M996*N996</f>
        <v>7000</v>
      </c>
      <c r="S996" s="15">
        <f>M996*O996</f>
        <v>0</v>
      </c>
      <c r="T996" s="15">
        <f>M996*Q996</f>
        <v>7000</v>
      </c>
      <c r="U996" s="15"/>
      <c r="V996" s="15">
        <f>M996*U996</f>
        <v>0</v>
      </c>
      <c r="W996" s="15">
        <f>T996-V996</f>
        <v>7000</v>
      </c>
      <c r="X996" s="17">
        <f>IF(T996&gt;0, W996/T996, 0)</f>
        <v>1</v>
      </c>
      <c r="Y996" s="8" t="s">
        <v>41</v>
      </c>
      <c r="Z996" s="10" t="s">
        <v>42</v>
      </c>
      <c r="AA996" s="10" t="s">
        <v>43</v>
      </c>
      <c r="AB996" s="10" t="s">
        <v>44</v>
      </c>
      <c r="AC996" s="8" t="s">
        <v>44</v>
      </c>
    </row>
    <row r="997" spans="1:29">
      <c r="A997" s="11">
        <v>990</v>
      </c>
      <c r="B997" s="11" t="s">
        <v>1302</v>
      </c>
      <c r="C997" s="11" t="s">
        <v>1292</v>
      </c>
      <c r="D997" s="11" t="s">
        <v>655</v>
      </c>
      <c r="E997" s="11" t="s">
        <v>34</v>
      </c>
      <c r="F997" s="11" t="s">
        <v>35</v>
      </c>
      <c r="G997" s="9" t="s">
        <v>36</v>
      </c>
      <c r="H997" s="9" t="s">
        <v>47</v>
      </c>
      <c r="I997" s="9" t="s">
        <v>48</v>
      </c>
      <c r="J997" s="11">
        <v>146</v>
      </c>
      <c r="K997" s="11" t="s">
        <v>710</v>
      </c>
      <c r="L997" s="11" t="s">
        <v>40</v>
      </c>
      <c r="M997" s="13">
        <v>1</v>
      </c>
      <c r="N997" s="16">
        <v>18000.0</v>
      </c>
      <c r="O997" s="16"/>
      <c r="P997" s="18">
        <f>IF(N997&gt;0, O997/N997, 0)</f>
        <v>0</v>
      </c>
      <c r="Q997" s="16">
        <f>N997-O997</f>
        <v>18000</v>
      </c>
      <c r="R997" s="16">
        <f>M997*N997</f>
        <v>18000</v>
      </c>
      <c r="S997" s="16">
        <f>M997*O997</f>
        <v>0</v>
      </c>
      <c r="T997" s="16">
        <f>M997*Q997</f>
        <v>18000</v>
      </c>
      <c r="U997" s="16"/>
      <c r="V997" s="16">
        <f>M997*U997</f>
        <v>0</v>
      </c>
      <c r="W997" s="16">
        <f>T997-V997</f>
        <v>18000</v>
      </c>
      <c r="X997" s="18">
        <f>IF(T997&gt;0, W997/T997, 0)</f>
        <v>1</v>
      </c>
      <c r="Y997" s="9" t="s">
        <v>41</v>
      </c>
      <c r="Z997" s="11" t="s">
        <v>42</v>
      </c>
      <c r="AA997" s="11" t="s">
        <v>43</v>
      </c>
      <c r="AB997" s="11" t="s">
        <v>44</v>
      </c>
      <c r="AC997" s="9" t="s">
        <v>44</v>
      </c>
    </row>
    <row r="998" spans="1:29">
      <c r="A998" s="10">
        <v>991</v>
      </c>
      <c r="B998" s="10" t="s">
        <v>1303</v>
      </c>
      <c r="C998" s="10" t="s">
        <v>1292</v>
      </c>
      <c r="D998" s="10" t="s">
        <v>655</v>
      </c>
      <c r="E998" s="10" t="s">
        <v>34</v>
      </c>
      <c r="F998" s="10" t="s">
        <v>35</v>
      </c>
      <c r="G998" s="8" t="s">
        <v>36</v>
      </c>
      <c r="H998" s="8" t="s">
        <v>71</v>
      </c>
      <c r="I998" s="8" t="s">
        <v>71</v>
      </c>
      <c r="J998" s="10">
        <v>146</v>
      </c>
      <c r="K998" s="10" t="s">
        <v>267</v>
      </c>
      <c r="L998" s="10" t="s">
        <v>40</v>
      </c>
      <c r="M998" s="12">
        <v>1</v>
      </c>
      <c r="N998" s="15">
        <v>16500.0</v>
      </c>
      <c r="O998" s="15"/>
      <c r="P998" s="17">
        <f>IF(N998&gt;0, O998/N998, 0)</f>
        <v>0</v>
      </c>
      <c r="Q998" s="15">
        <f>N998-O998</f>
        <v>16500</v>
      </c>
      <c r="R998" s="15">
        <f>M998*N998</f>
        <v>16500</v>
      </c>
      <c r="S998" s="15">
        <f>M998*O998</f>
        <v>0</v>
      </c>
      <c r="T998" s="15">
        <f>M998*Q998</f>
        <v>16500</v>
      </c>
      <c r="U998" s="15"/>
      <c r="V998" s="15">
        <f>M998*U998</f>
        <v>0</v>
      </c>
      <c r="W998" s="15">
        <f>T998-V998</f>
        <v>16500</v>
      </c>
      <c r="X998" s="17">
        <f>IF(T998&gt;0, W998/T998, 0)</f>
        <v>1</v>
      </c>
      <c r="Y998" s="8" t="s">
        <v>41</v>
      </c>
      <c r="Z998" s="10" t="s">
        <v>42</v>
      </c>
      <c r="AA998" s="10" t="s">
        <v>43</v>
      </c>
      <c r="AB998" s="10" t="s">
        <v>44</v>
      </c>
      <c r="AC998" s="8" t="s">
        <v>44</v>
      </c>
    </row>
    <row r="999" spans="1:29">
      <c r="A999" s="11">
        <v>992</v>
      </c>
      <c r="B999" s="11" t="s">
        <v>1304</v>
      </c>
      <c r="C999" s="11" t="s">
        <v>1292</v>
      </c>
      <c r="D999" s="11" t="s">
        <v>655</v>
      </c>
      <c r="E999" s="11" t="s">
        <v>70</v>
      </c>
      <c r="F999" s="11" t="s">
        <v>35</v>
      </c>
      <c r="G999" s="9" t="s">
        <v>52</v>
      </c>
      <c r="H999" s="9" t="s">
        <v>65</v>
      </c>
      <c r="I999" s="9" t="s">
        <v>151</v>
      </c>
      <c r="J999" s="11">
        <v>146</v>
      </c>
      <c r="K999" s="11" t="s">
        <v>170</v>
      </c>
      <c r="L999" s="11" t="s">
        <v>40</v>
      </c>
      <c r="M999" s="13">
        <v>1</v>
      </c>
      <c r="N999" s="16">
        <v>10000.0</v>
      </c>
      <c r="O999" s="16"/>
      <c r="P999" s="18">
        <f>IF(N999&gt;0, O999/N999, 0)</f>
        <v>0</v>
      </c>
      <c r="Q999" s="16">
        <f>N999-O999</f>
        <v>10000</v>
      </c>
      <c r="R999" s="16">
        <f>M999*N999</f>
        <v>10000</v>
      </c>
      <c r="S999" s="16">
        <f>M999*O999</f>
        <v>0</v>
      </c>
      <c r="T999" s="16">
        <f>M999*Q999</f>
        <v>10000</v>
      </c>
      <c r="U999" s="16"/>
      <c r="V999" s="16">
        <f>M999*U999</f>
        <v>0</v>
      </c>
      <c r="W999" s="16">
        <f>T999-V999</f>
        <v>10000</v>
      </c>
      <c r="X999" s="18">
        <f>IF(T999&gt;0, W999/T999, 0)</f>
        <v>1</v>
      </c>
      <c r="Y999" s="9" t="s">
        <v>41</v>
      </c>
      <c r="Z999" s="11" t="s">
        <v>42</v>
      </c>
      <c r="AA999" s="11" t="s">
        <v>73</v>
      </c>
      <c r="AB999" s="11" t="s">
        <v>44</v>
      </c>
      <c r="AC999" s="9" t="s">
        <v>44</v>
      </c>
    </row>
    <row r="1000" spans="1:29">
      <c r="A1000" s="10">
        <v>993</v>
      </c>
      <c r="B1000" s="10" t="s">
        <v>1305</v>
      </c>
      <c r="C1000" s="10" t="s">
        <v>1292</v>
      </c>
      <c r="D1000" s="10" t="s">
        <v>655</v>
      </c>
      <c r="E1000" s="10" t="s">
        <v>70</v>
      </c>
      <c r="F1000" s="10" t="s">
        <v>35</v>
      </c>
      <c r="G1000" s="8" t="s">
        <v>52</v>
      </c>
      <c r="H1000" s="8" t="s">
        <v>58</v>
      </c>
      <c r="I1000" s="8" t="s">
        <v>58</v>
      </c>
      <c r="J1000" s="10">
        <v>146</v>
      </c>
      <c r="K1000" s="10" t="s">
        <v>755</v>
      </c>
      <c r="L1000" s="10" t="s">
        <v>40</v>
      </c>
      <c r="M1000" s="12">
        <v>1</v>
      </c>
      <c r="N1000" s="15">
        <v>8000.0</v>
      </c>
      <c r="O1000" s="15"/>
      <c r="P1000" s="17">
        <f>IF(N1000&gt;0, O1000/N1000, 0)</f>
        <v>0</v>
      </c>
      <c r="Q1000" s="15">
        <f>N1000-O1000</f>
        <v>8000</v>
      </c>
      <c r="R1000" s="15">
        <f>M1000*N1000</f>
        <v>8000</v>
      </c>
      <c r="S1000" s="15">
        <f>M1000*O1000</f>
        <v>0</v>
      </c>
      <c r="T1000" s="15">
        <f>M1000*Q1000</f>
        <v>8000</v>
      </c>
      <c r="U1000" s="15"/>
      <c r="V1000" s="15">
        <f>M1000*U1000</f>
        <v>0</v>
      </c>
      <c r="W1000" s="15">
        <f>T1000-V1000</f>
        <v>8000</v>
      </c>
      <c r="X1000" s="17">
        <f>IF(T1000&gt;0, W1000/T1000, 0)</f>
        <v>1</v>
      </c>
      <c r="Y1000" s="8" t="s">
        <v>41</v>
      </c>
      <c r="Z1000" s="10" t="s">
        <v>42</v>
      </c>
      <c r="AA1000" s="10" t="s">
        <v>73</v>
      </c>
      <c r="AB1000" s="10" t="s">
        <v>44</v>
      </c>
      <c r="AC1000" s="8" t="s">
        <v>44</v>
      </c>
    </row>
    <row r="1001" spans="1:29">
      <c r="A1001" s="11">
        <v>994</v>
      </c>
      <c r="B1001" s="11" t="s">
        <v>1306</v>
      </c>
      <c r="C1001" s="11" t="s">
        <v>1292</v>
      </c>
      <c r="D1001" s="11" t="s">
        <v>655</v>
      </c>
      <c r="E1001" s="11" t="s">
        <v>34</v>
      </c>
      <c r="F1001" s="11" t="s">
        <v>35</v>
      </c>
      <c r="G1001" s="9" t="s">
        <v>52</v>
      </c>
      <c r="H1001" s="9" t="s">
        <v>71</v>
      </c>
      <c r="I1001" s="9" t="s">
        <v>71</v>
      </c>
      <c r="J1001" s="11">
        <v>152</v>
      </c>
      <c r="K1001" s="11" t="s">
        <v>353</v>
      </c>
      <c r="L1001" s="11" t="s">
        <v>40</v>
      </c>
      <c r="M1001" s="13">
        <v>1</v>
      </c>
      <c r="N1001" s="16">
        <v>16000.0</v>
      </c>
      <c r="O1001" s="16"/>
      <c r="P1001" s="18">
        <f>IF(N1001&gt;0, O1001/N1001, 0)</f>
        <v>0</v>
      </c>
      <c r="Q1001" s="16">
        <f>N1001-O1001</f>
        <v>16000</v>
      </c>
      <c r="R1001" s="16">
        <f>M1001*N1001</f>
        <v>16000</v>
      </c>
      <c r="S1001" s="16">
        <f>M1001*O1001</f>
        <v>0</v>
      </c>
      <c r="T1001" s="16">
        <f>M1001*Q1001</f>
        <v>16000</v>
      </c>
      <c r="U1001" s="16"/>
      <c r="V1001" s="16">
        <f>M1001*U1001</f>
        <v>0</v>
      </c>
      <c r="W1001" s="16">
        <f>T1001-V1001</f>
        <v>16000</v>
      </c>
      <c r="X1001" s="18">
        <f>IF(T1001&gt;0, W1001/T1001, 0)</f>
        <v>1</v>
      </c>
      <c r="Y1001" s="9" t="s">
        <v>41</v>
      </c>
      <c r="Z1001" s="11" t="s">
        <v>42</v>
      </c>
      <c r="AA1001" s="11" t="s">
        <v>43</v>
      </c>
      <c r="AB1001" s="11" t="s">
        <v>44</v>
      </c>
      <c r="AC1001" s="9" t="s">
        <v>44</v>
      </c>
    </row>
    <row r="1002" spans="1:29">
      <c r="A1002" s="10">
        <v>995</v>
      </c>
      <c r="B1002" s="10" t="s">
        <v>1307</v>
      </c>
      <c r="C1002" s="10" t="s">
        <v>1292</v>
      </c>
      <c r="D1002" s="10" t="s">
        <v>655</v>
      </c>
      <c r="E1002" s="10" t="s">
        <v>34</v>
      </c>
      <c r="F1002" s="10" t="s">
        <v>35</v>
      </c>
      <c r="G1002" s="8" t="s">
        <v>52</v>
      </c>
      <c r="H1002" s="8" t="s">
        <v>53</v>
      </c>
      <c r="I1002" s="8" t="s">
        <v>53</v>
      </c>
      <c r="J1002" s="10">
        <v>146</v>
      </c>
      <c r="K1002" s="10" t="s">
        <v>257</v>
      </c>
      <c r="L1002" s="10" t="s">
        <v>55</v>
      </c>
      <c r="M1002" s="12">
        <v>1</v>
      </c>
      <c r="N1002" s="15">
        <v>8000.0</v>
      </c>
      <c r="O1002" s="15"/>
      <c r="P1002" s="17">
        <f>IF(N1002&gt;0, O1002/N1002, 0)</f>
        <v>0</v>
      </c>
      <c r="Q1002" s="15">
        <f>N1002-O1002</f>
        <v>8000</v>
      </c>
      <c r="R1002" s="15">
        <f>M1002*N1002</f>
        <v>8000</v>
      </c>
      <c r="S1002" s="15">
        <f>M1002*O1002</f>
        <v>0</v>
      </c>
      <c r="T1002" s="15">
        <f>M1002*Q1002</f>
        <v>8000</v>
      </c>
      <c r="U1002" s="15"/>
      <c r="V1002" s="15">
        <f>M1002*U1002</f>
        <v>0</v>
      </c>
      <c r="W1002" s="15">
        <f>T1002-V1002</f>
        <v>8000</v>
      </c>
      <c r="X1002" s="17">
        <f>IF(T1002&gt;0, W1002/T1002, 0)</f>
        <v>1</v>
      </c>
      <c r="Y1002" s="8" t="s">
        <v>41</v>
      </c>
      <c r="Z1002" s="10" t="s">
        <v>42</v>
      </c>
      <c r="AA1002" s="10" t="s">
        <v>43</v>
      </c>
      <c r="AB1002" s="10" t="s">
        <v>44</v>
      </c>
      <c r="AC1002" s="8" t="s">
        <v>44</v>
      </c>
    </row>
    <row r="1003" spans="1:29">
      <c r="A1003" s="11">
        <v>996</v>
      </c>
      <c r="B1003" s="11" t="s">
        <v>1308</v>
      </c>
      <c r="C1003" s="11" t="s">
        <v>1292</v>
      </c>
      <c r="D1003" s="11" t="s">
        <v>655</v>
      </c>
      <c r="E1003" s="11" t="s">
        <v>34</v>
      </c>
      <c r="F1003" s="11" t="s">
        <v>35</v>
      </c>
      <c r="G1003" s="9" t="s">
        <v>52</v>
      </c>
      <c r="H1003" s="9" t="s">
        <v>37</v>
      </c>
      <c r="I1003" s="9" t="s">
        <v>38</v>
      </c>
      <c r="J1003" s="11">
        <v>152</v>
      </c>
      <c r="K1003" s="11" t="s">
        <v>154</v>
      </c>
      <c r="L1003" s="11" t="s">
        <v>55</v>
      </c>
      <c r="M1003" s="13">
        <v>1</v>
      </c>
      <c r="N1003" s="16">
        <v>7000.0</v>
      </c>
      <c r="O1003" s="16"/>
      <c r="P1003" s="18">
        <f>IF(N1003&gt;0, O1003/N1003, 0)</f>
        <v>0</v>
      </c>
      <c r="Q1003" s="16">
        <f>N1003-O1003</f>
        <v>7000</v>
      </c>
      <c r="R1003" s="16">
        <f>M1003*N1003</f>
        <v>7000</v>
      </c>
      <c r="S1003" s="16">
        <f>M1003*O1003</f>
        <v>0</v>
      </c>
      <c r="T1003" s="16">
        <f>M1003*Q1003</f>
        <v>7000</v>
      </c>
      <c r="U1003" s="16"/>
      <c r="V1003" s="16">
        <f>M1003*U1003</f>
        <v>0</v>
      </c>
      <c r="W1003" s="16">
        <f>T1003-V1003</f>
        <v>7000</v>
      </c>
      <c r="X1003" s="18">
        <f>IF(T1003&gt;0, W1003/T1003, 0)</f>
        <v>1</v>
      </c>
      <c r="Y1003" s="9" t="s">
        <v>41</v>
      </c>
      <c r="Z1003" s="11" t="s">
        <v>42</v>
      </c>
      <c r="AA1003" s="11" t="s">
        <v>43</v>
      </c>
      <c r="AB1003" s="11" t="s">
        <v>44</v>
      </c>
      <c r="AC1003" s="9" t="s">
        <v>44</v>
      </c>
    </row>
    <row r="1004" spans="1:29">
      <c r="A1004" s="10">
        <v>997</v>
      </c>
      <c r="B1004" s="10" t="s">
        <v>1309</v>
      </c>
      <c r="C1004" s="10" t="s">
        <v>1292</v>
      </c>
      <c r="D1004" s="10" t="s">
        <v>655</v>
      </c>
      <c r="E1004" s="10" t="s">
        <v>70</v>
      </c>
      <c r="F1004" s="10" t="s">
        <v>35</v>
      </c>
      <c r="G1004" s="8" t="s">
        <v>36</v>
      </c>
      <c r="H1004" s="8" t="s">
        <v>71</v>
      </c>
      <c r="I1004" s="8" t="s">
        <v>71</v>
      </c>
      <c r="J1004" s="10">
        <v>158</v>
      </c>
      <c r="K1004" s="10" t="s">
        <v>263</v>
      </c>
      <c r="L1004" s="10" t="s">
        <v>40</v>
      </c>
      <c r="M1004" s="12">
        <v>1</v>
      </c>
      <c r="N1004" s="15">
        <v>18000.0</v>
      </c>
      <c r="O1004" s="15"/>
      <c r="P1004" s="17">
        <f>IF(N1004&gt;0, O1004/N1004, 0)</f>
        <v>0</v>
      </c>
      <c r="Q1004" s="15">
        <f>N1004-O1004</f>
        <v>18000</v>
      </c>
      <c r="R1004" s="15">
        <f>M1004*N1004</f>
        <v>18000</v>
      </c>
      <c r="S1004" s="15">
        <f>M1004*O1004</f>
        <v>0</v>
      </c>
      <c r="T1004" s="15">
        <f>M1004*Q1004</f>
        <v>18000</v>
      </c>
      <c r="U1004" s="15"/>
      <c r="V1004" s="15">
        <f>M1004*U1004</f>
        <v>0</v>
      </c>
      <c r="W1004" s="15">
        <f>T1004-V1004</f>
        <v>18000</v>
      </c>
      <c r="X1004" s="17">
        <f>IF(T1004&gt;0, W1004/T1004, 0)</f>
        <v>1</v>
      </c>
      <c r="Y1004" s="8" t="s">
        <v>41</v>
      </c>
      <c r="Z1004" s="10" t="s">
        <v>42</v>
      </c>
      <c r="AA1004" s="10" t="s">
        <v>73</v>
      </c>
      <c r="AB1004" s="10" t="s">
        <v>44</v>
      </c>
      <c r="AC1004" s="8" t="s">
        <v>44</v>
      </c>
    </row>
    <row r="1005" spans="1:29">
      <c r="A1005" s="11">
        <v>998</v>
      </c>
      <c r="B1005" s="11" t="s">
        <v>1310</v>
      </c>
      <c r="C1005" s="11" t="s">
        <v>1292</v>
      </c>
      <c r="D1005" s="11" t="s">
        <v>655</v>
      </c>
      <c r="E1005" s="11" t="s">
        <v>34</v>
      </c>
      <c r="F1005" s="11" t="s">
        <v>35</v>
      </c>
      <c r="G1005" s="9" t="s">
        <v>36</v>
      </c>
      <c r="H1005" s="9" t="s">
        <v>58</v>
      </c>
      <c r="I1005" s="9" t="s">
        <v>58</v>
      </c>
      <c r="J1005" s="11">
        <v>158</v>
      </c>
      <c r="K1005" s="11" t="s">
        <v>130</v>
      </c>
      <c r="L1005" s="11" t="s">
        <v>40</v>
      </c>
      <c r="M1005" s="13">
        <v>1</v>
      </c>
      <c r="N1005" s="16">
        <v>7500.0</v>
      </c>
      <c r="O1005" s="16"/>
      <c r="P1005" s="18">
        <f>IF(N1005&gt;0, O1005/N1005, 0)</f>
        <v>0</v>
      </c>
      <c r="Q1005" s="16">
        <f>N1005-O1005</f>
        <v>7500</v>
      </c>
      <c r="R1005" s="16">
        <f>M1005*N1005</f>
        <v>7500</v>
      </c>
      <c r="S1005" s="16">
        <f>M1005*O1005</f>
        <v>0</v>
      </c>
      <c r="T1005" s="16">
        <f>M1005*Q1005</f>
        <v>7500</v>
      </c>
      <c r="U1005" s="16"/>
      <c r="V1005" s="16">
        <f>M1005*U1005</f>
        <v>0</v>
      </c>
      <c r="W1005" s="16">
        <f>T1005-V1005</f>
        <v>7500</v>
      </c>
      <c r="X1005" s="18">
        <f>IF(T1005&gt;0, W1005/T1005, 0)</f>
        <v>1</v>
      </c>
      <c r="Y1005" s="9" t="s">
        <v>41</v>
      </c>
      <c r="Z1005" s="11" t="s">
        <v>42</v>
      </c>
      <c r="AA1005" s="11" t="s">
        <v>43</v>
      </c>
      <c r="AB1005" s="11" t="s">
        <v>44</v>
      </c>
      <c r="AC1005" s="9" t="s">
        <v>44</v>
      </c>
    </row>
    <row r="1006" spans="1:29">
      <c r="A1006" s="10">
        <v>999</v>
      </c>
      <c r="B1006" s="10" t="s">
        <v>1311</v>
      </c>
      <c r="C1006" s="10" t="s">
        <v>1292</v>
      </c>
      <c r="D1006" s="10" t="s">
        <v>655</v>
      </c>
      <c r="E1006" s="10" t="s">
        <v>34</v>
      </c>
      <c r="F1006" s="10" t="s">
        <v>35</v>
      </c>
      <c r="G1006" s="8" t="s">
        <v>36</v>
      </c>
      <c r="H1006" s="8" t="s">
        <v>37</v>
      </c>
      <c r="I1006" s="8" t="s">
        <v>38</v>
      </c>
      <c r="J1006" s="10">
        <v>164</v>
      </c>
      <c r="K1006" s="10" t="s">
        <v>79</v>
      </c>
      <c r="L1006" s="10" t="s">
        <v>40</v>
      </c>
      <c r="M1006" s="12">
        <v>1</v>
      </c>
      <c r="N1006" s="15">
        <v>8000.0</v>
      </c>
      <c r="O1006" s="15"/>
      <c r="P1006" s="17">
        <f>IF(N1006&gt;0, O1006/N1006, 0)</f>
        <v>0</v>
      </c>
      <c r="Q1006" s="15">
        <f>N1006-O1006</f>
        <v>8000</v>
      </c>
      <c r="R1006" s="15">
        <f>M1006*N1006</f>
        <v>8000</v>
      </c>
      <c r="S1006" s="15">
        <f>M1006*O1006</f>
        <v>0</v>
      </c>
      <c r="T1006" s="15">
        <f>M1006*Q1006</f>
        <v>8000</v>
      </c>
      <c r="U1006" s="15"/>
      <c r="V1006" s="15">
        <f>M1006*U1006</f>
        <v>0</v>
      </c>
      <c r="W1006" s="15">
        <f>T1006-V1006</f>
        <v>8000</v>
      </c>
      <c r="X1006" s="17">
        <f>IF(T1006&gt;0, W1006/T1006, 0)</f>
        <v>1</v>
      </c>
      <c r="Y1006" s="8" t="s">
        <v>41</v>
      </c>
      <c r="Z1006" s="10" t="s">
        <v>42</v>
      </c>
      <c r="AA1006" s="10" t="s">
        <v>43</v>
      </c>
      <c r="AB1006" s="10" t="s">
        <v>44</v>
      </c>
      <c r="AC1006" s="8" t="s">
        <v>44</v>
      </c>
    </row>
    <row r="1007" spans="1:29">
      <c r="A1007" s="11">
        <v>1000</v>
      </c>
      <c r="B1007" s="11" t="s">
        <v>1312</v>
      </c>
      <c r="C1007" s="11" t="s">
        <v>1292</v>
      </c>
      <c r="D1007" s="11" t="s">
        <v>655</v>
      </c>
      <c r="E1007" s="11" t="s">
        <v>34</v>
      </c>
      <c r="F1007" s="11" t="s">
        <v>35</v>
      </c>
      <c r="G1007" s="9" t="s">
        <v>36</v>
      </c>
      <c r="H1007" s="9" t="s">
        <v>53</v>
      </c>
      <c r="I1007" s="9" t="s">
        <v>53</v>
      </c>
      <c r="J1007" s="11">
        <v>158</v>
      </c>
      <c r="K1007" s="11" t="s">
        <v>124</v>
      </c>
      <c r="L1007" s="11" t="s">
        <v>40</v>
      </c>
      <c r="M1007" s="13">
        <v>1</v>
      </c>
      <c r="N1007" s="16">
        <v>8500.0</v>
      </c>
      <c r="O1007" s="16"/>
      <c r="P1007" s="18">
        <f>IF(N1007&gt;0, O1007/N1007, 0)</f>
        <v>0</v>
      </c>
      <c r="Q1007" s="16">
        <f>N1007-O1007</f>
        <v>8500</v>
      </c>
      <c r="R1007" s="16">
        <f>M1007*N1007</f>
        <v>8500</v>
      </c>
      <c r="S1007" s="16">
        <f>M1007*O1007</f>
        <v>0</v>
      </c>
      <c r="T1007" s="16">
        <f>M1007*Q1007</f>
        <v>8500</v>
      </c>
      <c r="U1007" s="16"/>
      <c r="V1007" s="16">
        <f>M1007*U1007</f>
        <v>0</v>
      </c>
      <c r="W1007" s="16">
        <f>T1007-V1007</f>
        <v>8500</v>
      </c>
      <c r="X1007" s="18">
        <f>IF(T1007&gt;0, W1007/T1007, 0)</f>
        <v>1</v>
      </c>
      <c r="Y1007" s="9" t="s">
        <v>41</v>
      </c>
      <c r="Z1007" s="11" t="s">
        <v>42</v>
      </c>
      <c r="AA1007" s="11" t="s">
        <v>43</v>
      </c>
      <c r="AB1007" s="11" t="s">
        <v>44</v>
      </c>
      <c r="AC1007" s="9" t="s">
        <v>44</v>
      </c>
    </row>
    <row r="1008" spans="1:29">
      <c r="A1008" s="10">
        <v>1001</v>
      </c>
      <c r="B1008" s="10" t="s">
        <v>1313</v>
      </c>
      <c r="C1008" s="10" t="s">
        <v>1292</v>
      </c>
      <c r="D1008" s="10" t="s">
        <v>655</v>
      </c>
      <c r="E1008" s="10" t="s">
        <v>34</v>
      </c>
      <c r="F1008" s="10" t="s">
        <v>35</v>
      </c>
      <c r="G1008" s="8" t="s">
        <v>36</v>
      </c>
      <c r="H1008" s="8" t="s">
        <v>53</v>
      </c>
      <c r="I1008" s="8" t="s">
        <v>53</v>
      </c>
      <c r="J1008" s="10">
        <v>164</v>
      </c>
      <c r="K1008" s="10" t="s">
        <v>63</v>
      </c>
      <c r="L1008" s="10" t="s">
        <v>40</v>
      </c>
      <c r="M1008" s="12">
        <v>1</v>
      </c>
      <c r="N1008" s="15">
        <v>8500.0</v>
      </c>
      <c r="O1008" s="15"/>
      <c r="P1008" s="17">
        <f>IF(N1008&gt;0, O1008/N1008, 0)</f>
        <v>0</v>
      </c>
      <c r="Q1008" s="15">
        <f>N1008-O1008</f>
        <v>8500</v>
      </c>
      <c r="R1008" s="15">
        <f>M1008*N1008</f>
        <v>8500</v>
      </c>
      <c r="S1008" s="15">
        <f>M1008*O1008</f>
        <v>0</v>
      </c>
      <c r="T1008" s="15">
        <f>M1008*Q1008</f>
        <v>8500</v>
      </c>
      <c r="U1008" s="15"/>
      <c r="V1008" s="15">
        <f>M1008*U1008</f>
        <v>0</v>
      </c>
      <c r="W1008" s="15">
        <f>T1008-V1008</f>
        <v>8500</v>
      </c>
      <c r="X1008" s="17">
        <f>IF(T1008&gt;0, W1008/T1008, 0)</f>
        <v>1</v>
      </c>
      <c r="Y1008" s="8" t="s">
        <v>41</v>
      </c>
      <c r="Z1008" s="10" t="s">
        <v>42</v>
      </c>
      <c r="AA1008" s="10" t="s">
        <v>43</v>
      </c>
      <c r="AB1008" s="10" t="s">
        <v>44</v>
      </c>
      <c r="AC1008" s="8" t="s">
        <v>44</v>
      </c>
    </row>
    <row r="1009" spans="1:29">
      <c r="A1009" s="11">
        <v>1002</v>
      </c>
      <c r="B1009" s="11" t="s">
        <v>1314</v>
      </c>
      <c r="C1009" s="11" t="s">
        <v>1292</v>
      </c>
      <c r="D1009" s="11" t="s">
        <v>655</v>
      </c>
      <c r="E1009" s="11" t="s">
        <v>34</v>
      </c>
      <c r="F1009" s="11" t="s">
        <v>35</v>
      </c>
      <c r="G1009" s="9" t="s">
        <v>36</v>
      </c>
      <c r="H1009" s="9" t="s">
        <v>58</v>
      </c>
      <c r="I1009" s="9" t="s">
        <v>58</v>
      </c>
      <c r="J1009" s="11">
        <v>164</v>
      </c>
      <c r="K1009" s="11" t="s">
        <v>59</v>
      </c>
      <c r="L1009" s="11" t="s">
        <v>40</v>
      </c>
      <c r="M1009" s="13">
        <v>1</v>
      </c>
      <c r="N1009" s="16">
        <v>7500.0</v>
      </c>
      <c r="O1009" s="16"/>
      <c r="P1009" s="18">
        <f>IF(N1009&gt;0, O1009/N1009, 0)</f>
        <v>0</v>
      </c>
      <c r="Q1009" s="16">
        <f>N1009-O1009</f>
        <v>7500</v>
      </c>
      <c r="R1009" s="16">
        <f>M1009*N1009</f>
        <v>7500</v>
      </c>
      <c r="S1009" s="16">
        <f>M1009*O1009</f>
        <v>0</v>
      </c>
      <c r="T1009" s="16">
        <f>M1009*Q1009</f>
        <v>7500</v>
      </c>
      <c r="U1009" s="16"/>
      <c r="V1009" s="16">
        <f>M1009*U1009</f>
        <v>0</v>
      </c>
      <c r="W1009" s="16">
        <f>T1009-V1009</f>
        <v>7500</v>
      </c>
      <c r="X1009" s="18">
        <f>IF(T1009&gt;0, W1009/T1009, 0)</f>
        <v>1</v>
      </c>
      <c r="Y1009" s="9" t="s">
        <v>41</v>
      </c>
      <c r="Z1009" s="11" t="s">
        <v>42</v>
      </c>
      <c r="AA1009" s="11" t="s">
        <v>43</v>
      </c>
      <c r="AB1009" s="11" t="s">
        <v>44</v>
      </c>
      <c r="AC1009" s="9" t="s">
        <v>44</v>
      </c>
    </row>
    <row r="1010" spans="1:29">
      <c r="A1010" s="10">
        <v>1003</v>
      </c>
      <c r="B1010" s="10" t="s">
        <v>1315</v>
      </c>
      <c r="C1010" s="10" t="s">
        <v>1292</v>
      </c>
      <c r="D1010" s="10" t="s">
        <v>655</v>
      </c>
      <c r="E1010" s="10" t="s">
        <v>34</v>
      </c>
      <c r="F1010" s="10" t="s">
        <v>35</v>
      </c>
      <c r="G1010" s="8" t="s">
        <v>36</v>
      </c>
      <c r="H1010" s="8" t="s">
        <v>71</v>
      </c>
      <c r="I1010" s="8" t="s">
        <v>71</v>
      </c>
      <c r="J1010" s="10">
        <v>170</v>
      </c>
      <c r="K1010" s="10" t="s">
        <v>182</v>
      </c>
      <c r="L1010" s="10" t="s">
        <v>40</v>
      </c>
      <c r="M1010" s="12">
        <v>1</v>
      </c>
      <c r="N1010" s="15">
        <v>16500.0</v>
      </c>
      <c r="O1010" s="15"/>
      <c r="P1010" s="17">
        <f>IF(N1010&gt;0, O1010/N1010, 0)</f>
        <v>0</v>
      </c>
      <c r="Q1010" s="15">
        <f>N1010-O1010</f>
        <v>16500</v>
      </c>
      <c r="R1010" s="15">
        <f>M1010*N1010</f>
        <v>16500</v>
      </c>
      <c r="S1010" s="15">
        <f>M1010*O1010</f>
        <v>0</v>
      </c>
      <c r="T1010" s="15">
        <f>M1010*Q1010</f>
        <v>16500</v>
      </c>
      <c r="U1010" s="15"/>
      <c r="V1010" s="15">
        <f>M1010*U1010</f>
        <v>0</v>
      </c>
      <c r="W1010" s="15">
        <f>T1010-V1010</f>
        <v>16500</v>
      </c>
      <c r="X1010" s="17">
        <f>IF(T1010&gt;0, W1010/T1010, 0)</f>
        <v>1</v>
      </c>
      <c r="Y1010" s="8" t="s">
        <v>41</v>
      </c>
      <c r="Z1010" s="10" t="s">
        <v>42</v>
      </c>
      <c r="AA1010" s="10" t="s">
        <v>43</v>
      </c>
      <c r="AB1010" s="10" t="s">
        <v>44</v>
      </c>
      <c r="AC1010" s="8" t="s">
        <v>44</v>
      </c>
    </row>
    <row r="1011" spans="1:29">
      <c r="A1011" s="11">
        <v>1004</v>
      </c>
      <c r="B1011" s="11" t="s">
        <v>1316</v>
      </c>
      <c r="C1011" s="11" t="s">
        <v>1292</v>
      </c>
      <c r="D1011" s="11" t="s">
        <v>655</v>
      </c>
      <c r="E1011" s="11" t="s">
        <v>34</v>
      </c>
      <c r="F1011" s="11" t="s">
        <v>35</v>
      </c>
      <c r="G1011" s="9" t="s">
        <v>36</v>
      </c>
      <c r="H1011" s="9" t="s">
        <v>37</v>
      </c>
      <c r="I1011" s="9" t="s">
        <v>75</v>
      </c>
      <c r="J1011" s="11">
        <v>170</v>
      </c>
      <c r="K1011" s="11" t="s">
        <v>651</v>
      </c>
      <c r="L1011" s="11" t="s">
        <v>40</v>
      </c>
      <c r="M1011" s="13">
        <v>1</v>
      </c>
      <c r="N1011" s="16">
        <v>9000.0</v>
      </c>
      <c r="O1011" s="16"/>
      <c r="P1011" s="18">
        <f>IF(N1011&gt;0, O1011/N1011, 0)</f>
        <v>0</v>
      </c>
      <c r="Q1011" s="16">
        <f>N1011-O1011</f>
        <v>9000</v>
      </c>
      <c r="R1011" s="16">
        <f>M1011*N1011</f>
        <v>9000</v>
      </c>
      <c r="S1011" s="16">
        <f>M1011*O1011</f>
        <v>0</v>
      </c>
      <c r="T1011" s="16">
        <f>M1011*Q1011</f>
        <v>9000</v>
      </c>
      <c r="U1011" s="16"/>
      <c r="V1011" s="16">
        <f>M1011*U1011</f>
        <v>0</v>
      </c>
      <c r="W1011" s="16">
        <f>T1011-V1011</f>
        <v>9000</v>
      </c>
      <c r="X1011" s="18">
        <f>IF(T1011&gt;0, W1011/T1011, 0)</f>
        <v>1</v>
      </c>
      <c r="Y1011" s="9" t="s">
        <v>41</v>
      </c>
      <c r="Z1011" s="11" t="s">
        <v>42</v>
      </c>
      <c r="AA1011" s="11" t="s">
        <v>43</v>
      </c>
      <c r="AB1011" s="11" t="s">
        <v>44</v>
      </c>
      <c r="AC1011" s="9" t="s">
        <v>44</v>
      </c>
    </row>
    <row r="1012" spans="1:29">
      <c r="A1012" s="10">
        <v>1005</v>
      </c>
      <c r="B1012" s="10" t="s">
        <v>1317</v>
      </c>
      <c r="C1012" s="10" t="s">
        <v>1292</v>
      </c>
      <c r="D1012" s="10" t="s">
        <v>655</v>
      </c>
      <c r="E1012" s="10" t="s">
        <v>34</v>
      </c>
      <c r="F1012" s="10" t="s">
        <v>35</v>
      </c>
      <c r="G1012" s="8" t="s">
        <v>36</v>
      </c>
      <c r="H1012" s="8" t="s">
        <v>37</v>
      </c>
      <c r="I1012" s="8" t="s">
        <v>38</v>
      </c>
      <c r="J1012" s="10">
        <v>164</v>
      </c>
      <c r="K1012" s="10" t="s">
        <v>79</v>
      </c>
      <c r="L1012" s="10" t="s">
        <v>40</v>
      </c>
      <c r="M1012" s="12">
        <v>1</v>
      </c>
      <c r="N1012" s="15">
        <v>8000.0</v>
      </c>
      <c r="O1012" s="15"/>
      <c r="P1012" s="17">
        <f>IF(N1012&gt;0, O1012/N1012, 0)</f>
        <v>0</v>
      </c>
      <c r="Q1012" s="15">
        <f>N1012-O1012</f>
        <v>8000</v>
      </c>
      <c r="R1012" s="15">
        <f>M1012*N1012</f>
        <v>8000</v>
      </c>
      <c r="S1012" s="15">
        <f>M1012*O1012</f>
        <v>0</v>
      </c>
      <c r="T1012" s="15">
        <f>M1012*Q1012</f>
        <v>8000</v>
      </c>
      <c r="U1012" s="15"/>
      <c r="V1012" s="15">
        <f>M1012*U1012</f>
        <v>0</v>
      </c>
      <c r="W1012" s="15">
        <f>T1012-V1012</f>
        <v>8000</v>
      </c>
      <c r="X1012" s="17">
        <f>IF(T1012&gt;0, W1012/T1012, 0)</f>
        <v>1</v>
      </c>
      <c r="Y1012" s="8" t="s">
        <v>41</v>
      </c>
      <c r="Z1012" s="10" t="s">
        <v>42</v>
      </c>
      <c r="AA1012" s="10" t="s">
        <v>43</v>
      </c>
      <c r="AB1012" s="10" t="s">
        <v>44</v>
      </c>
      <c r="AC1012" s="8" t="s">
        <v>44</v>
      </c>
    </row>
    <row r="1013" spans="1:29">
      <c r="A1013" s="11">
        <v>1006</v>
      </c>
      <c r="B1013" s="11" t="s">
        <v>1318</v>
      </c>
      <c r="C1013" s="11" t="s">
        <v>1292</v>
      </c>
      <c r="D1013" s="11" t="s">
        <v>655</v>
      </c>
      <c r="E1013" s="11" t="s">
        <v>34</v>
      </c>
      <c r="F1013" s="11" t="s">
        <v>35</v>
      </c>
      <c r="G1013" s="9" t="s">
        <v>52</v>
      </c>
      <c r="H1013" s="9" t="s">
        <v>65</v>
      </c>
      <c r="I1013" s="9" t="s">
        <v>151</v>
      </c>
      <c r="J1013" s="11">
        <v>152</v>
      </c>
      <c r="K1013" s="11" t="s">
        <v>254</v>
      </c>
      <c r="L1013" s="11" t="s">
        <v>40</v>
      </c>
      <c r="M1013" s="13">
        <v>1</v>
      </c>
      <c r="N1013" s="16">
        <v>9500.0</v>
      </c>
      <c r="O1013" s="16"/>
      <c r="P1013" s="18">
        <f>IF(N1013&gt;0, O1013/N1013, 0)</f>
        <v>0</v>
      </c>
      <c r="Q1013" s="16">
        <f>N1013-O1013</f>
        <v>9500</v>
      </c>
      <c r="R1013" s="16">
        <f>M1013*N1013</f>
        <v>9500</v>
      </c>
      <c r="S1013" s="16">
        <f>M1013*O1013</f>
        <v>0</v>
      </c>
      <c r="T1013" s="16">
        <f>M1013*Q1013</f>
        <v>9500</v>
      </c>
      <c r="U1013" s="16"/>
      <c r="V1013" s="16">
        <f>M1013*U1013</f>
        <v>0</v>
      </c>
      <c r="W1013" s="16">
        <f>T1013-V1013</f>
        <v>9500</v>
      </c>
      <c r="X1013" s="18">
        <f>IF(T1013&gt;0, W1013/T1013, 0)</f>
        <v>1</v>
      </c>
      <c r="Y1013" s="9" t="s">
        <v>41</v>
      </c>
      <c r="Z1013" s="11" t="s">
        <v>42</v>
      </c>
      <c r="AA1013" s="11" t="s">
        <v>43</v>
      </c>
      <c r="AB1013" s="11" t="s">
        <v>44</v>
      </c>
      <c r="AC1013" s="9" t="s">
        <v>44</v>
      </c>
    </row>
    <row r="1014" spans="1:29">
      <c r="A1014" s="10">
        <v>1007</v>
      </c>
      <c r="B1014" s="10" t="s">
        <v>1319</v>
      </c>
      <c r="C1014" s="10" t="s">
        <v>1292</v>
      </c>
      <c r="D1014" s="10" t="s">
        <v>655</v>
      </c>
      <c r="E1014" s="10" t="s">
        <v>34</v>
      </c>
      <c r="F1014" s="10" t="s">
        <v>35</v>
      </c>
      <c r="G1014" s="8" t="s">
        <v>52</v>
      </c>
      <c r="H1014" s="8" t="s">
        <v>37</v>
      </c>
      <c r="I1014" s="8" t="s">
        <v>38</v>
      </c>
      <c r="J1014" s="10">
        <v>152</v>
      </c>
      <c r="K1014" s="10" t="s">
        <v>154</v>
      </c>
      <c r="L1014" s="10" t="s">
        <v>55</v>
      </c>
      <c r="M1014" s="12">
        <v>1</v>
      </c>
      <c r="N1014" s="15">
        <v>7000.0</v>
      </c>
      <c r="O1014" s="15"/>
      <c r="P1014" s="17">
        <f>IF(N1014&gt;0, O1014/N1014, 0)</f>
        <v>0</v>
      </c>
      <c r="Q1014" s="15">
        <f>N1014-O1014</f>
        <v>7000</v>
      </c>
      <c r="R1014" s="15">
        <f>M1014*N1014</f>
        <v>7000</v>
      </c>
      <c r="S1014" s="15">
        <f>M1014*O1014</f>
        <v>0</v>
      </c>
      <c r="T1014" s="15">
        <f>M1014*Q1014</f>
        <v>7000</v>
      </c>
      <c r="U1014" s="15"/>
      <c r="V1014" s="15">
        <f>M1014*U1014</f>
        <v>0</v>
      </c>
      <c r="W1014" s="15">
        <f>T1014-V1014</f>
        <v>7000</v>
      </c>
      <c r="X1014" s="17">
        <f>IF(T1014&gt;0, W1014/T1014, 0)</f>
        <v>1</v>
      </c>
      <c r="Y1014" s="8" t="s">
        <v>41</v>
      </c>
      <c r="Z1014" s="10" t="s">
        <v>42</v>
      </c>
      <c r="AA1014" s="10" t="s">
        <v>43</v>
      </c>
      <c r="AB1014" s="10" t="s">
        <v>44</v>
      </c>
      <c r="AC1014" s="8" t="s">
        <v>44</v>
      </c>
    </row>
    <row r="1015" spans="1:29">
      <c r="A1015" s="11">
        <v>1008</v>
      </c>
      <c r="B1015" s="11" t="s">
        <v>1320</v>
      </c>
      <c r="C1015" s="11" t="s">
        <v>1292</v>
      </c>
      <c r="D1015" s="11" t="s">
        <v>655</v>
      </c>
      <c r="E1015" s="11" t="s">
        <v>70</v>
      </c>
      <c r="F1015" s="11" t="s">
        <v>35</v>
      </c>
      <c r="G1015" s="9" t="s">
        <v>36</v>
      </c>
      <c r="H1015" s="9" t="s">
        <v>71</v>
      </c>
      <c r="I1015" s="9" t="s">
        <v>71</v>
      </c>
      <c r="J1015" s="11">
        <v>158</v>
      </c>
      <c r="K1015" s="11" t="s">
        <v>263</v>
      </c>
      <c r="L1015" s="11" t="s">
        <v>40</v>
      </c>
      <c r="M1015" s="13">
        <v>1</v>
      </c>
      <c r="N1015" s="16">
        <v>17000.0</v>
      </c>
      <c r="O1015" s="16"/>
      <c r="P1015" s="18">
        <f>IF(N1015&gt;0, O1015/N1015, 0)</f>
        <v>0</v>
      </c>
      <c r="Q1015" s="16">
        <f>N1015-O1015</f>
        <v>17000</v>
      </c>
      <c r="R1015" s="16">
        <f>M1015*N1015</f>
        <v>17000</v>
      </c>
      <c r="S1015" s="16">
        <f>M1015*O1015</f>
        <v>0</v>
      </c>
      <c r="T1015" s="16">
        <f>M1015*Q1015</f>
        <v>17000</v>
      </c>
      <c r="U1015" s="16"/>
      <c r="V1015" s="16">
        <f>M1015*U1015</f>
        <v>0</v>
      </c>
      <c r="W1015" s="16">
        <f>T1015-V1015</f>
        <v>17000</v>
      </c>
      <c r="X1015" s="18">
        <f>IF(T1015&gt;0, W1015/T1015, 0)</f>
        <v>1</v>
      </c>
      <c r="Y1015" s="9" t="s">
        <v>41</v>
      </c>
      <c r="Z1015" s="11" t="s">
        <v>42</v>
      </c>
      <c r="AA1015" s="11" t="s">
        <v>73</v>
      </c>
      <c r="AB1015" s="11" t="s">
        <v>44</v>
      </c>
      <c r="AC1015" s="9" t="s">
        <v>44</v>
      </c>
    </row>
    <row r="1016" spans="1:29">
      <c r="A1016" s="10">
        <v>1009</v>
      </c>
      <c r="B1016" s="10" t="s">
        <v>1321</v>
      </c>
      <c r="C1016" s="10" t="s">
        <v>1292</v>
      </c>
      <c r="D1016" s="10" t="s">
        <v>655</v>
      </c>
      <c r="E1016" s="10" t="s">
        <v>70</v>
      </c>
      <c r="F1016" s="10" t="s">
        <v>35</v>
      </c>
      <c r="G1016" s="8" t="s">
        <v>36</v>
      </c>
      <c r="H1016" s="8" t="s">
        <v>71</v>
      </c>
      <c r="I1016" s="8" t="s">
        <v>71</v>
      </c>
      <c r="J1016" s="10">
        <v>164</v>
      </c>
      <c r="K1016" s="10" t="s">
        <v>72</v>
      </c>
      <c r="L1016" s="10" t="s">
        <v>40</v>
      </c>
      <c r="M1016" s="12">
        <v>1</v>
      </c>
      <c r="N1016" s="15">
        <v>18000.0</v>
      </c>
      <c r="O1016" s="15"/>
      <c r="P1016" s="17">
        <f>IF(N1016&gt;0, O1016/N1016, 0)</f>
        <v>0</v>
      </c>
      <c r="Q1016" s="15">
        <f>N1016-O1016</f>
        <v>18000</v>
      </c>
      <c r="R1016" s="15">
        <f>M1016*N1016</f>
        <v>18000</v>
      </c>
      <c r="S1016" s="15">
        <f>M1016*O1016</f>
        <v>0</v>
      </c>
      <c r="T1016" s="15">
        <f>M1016*Q1016</f>
        <v>18000</v>
      </c>
      <c r="U1016" s="15"/>
      <c r="V1016" s="15">
        <f>M1016*U1016</f>
        <v>0</v>
      </c>
      <c r="W1016" s="15">
        <f>T1016-V1016</f>
        <v>18000</v>
      </c>
      <c r="X1016" s="17">
        <f>IF(T1016&gt;0, W1016/T1016, 0)</f>
        <v>1</v>
      </c>
      <c r="Y1016" s="8" t="s">
        <v>41</v>
      </c>
      <c r="Z1016" s="10" t="s">
        <v>42</v>
      </c>
      <c r="AA1016" s="10" t="s">
        <v>73</v>
      </c>
      <c r="AB1016" s="10" t="s">
        <v>44</v>
      </c>
      <c r="AC1016" s="8" t="s">
        <v>44</v>
      </c>
    </row>
    <row r="1017" spans="1:29">
      <c r="A1017" s="11">
        <v>1010</v>
      </c>
      <c r="B1017" s="11" t="s">
        <v>1322</v>
      </c>
      <c r="C1017" s="11" t="s">
        <v>1292</v>
      </c>
      <c r="D1017" s="11" t="s">
        <v>655</v>
      </c>
      <c r="E1017" s="11" t="s">
        <v>34</v>
      </c>
      <c r="F1017" s="11" t="s">
        <v>35</v>
      </c>
      <c r="G1017" s="9" t="s">
        <v>36</v>
      </c>
      <c r="H1017" s="9" t="s">
        <v>37</v>
      </c>
      <c r="I1017" s="9" t="s">
        <v>38</v>
      </c>
      <c r="J1017" s="11">
        <v>158</v>
      </c>
      <c r="K1017" s="11" t="s">
        <v>39</v>
      </c>
      <c r="L1017" s="11" t="s">
        <v>40</v>
      </c>
      <c r="M1017" s="13">
        <v>3</v>
      </c>
      <c r="N1017" s="16">
        <v>8000.0</v>
      </c>
      <c r="O1017" s="16"/>
      <c r="P1017" s="18">
        <f>IF(N1017&gt;0, O1017/N1017, 0)</f>
        <v>0</v>
      </c>
      <c r="Q1017" s="16">
        <f>N1017-O1017</f>
        <v>8000</v>
      </c>
      <c r="R1017" s="16">
        <f>M1017*N1017</f>
        <v>24000</v>
      </c>
      <c r="S1017" s="16">
        <f>M1017*O1017</f>
        <v>0</v>
      </c>
      <c r="T1017" s="16">
        <f>M1017*Q1017</f>
        <v>24000</v>
      </c>
      <c r="U1017" s="16"/>
      <c r="V1017" s="16">
        <f>M1017*U1017</f>
        <v>0</v>
      </c>
      <c r="W1017" s="16">
        <f>T1017-V1017</f>
        <v>24000</v>
      </c>
      <c r="X1017" s="18">
        <f>IF(T1017&gt;0, W1017/T1017, 0)</f>
        <v>1</v>
      </c>
      <c r="Y1017" s="9" t="s">
        <v>41</v>
      </c>
      <c r="Z1017" s="11" t="s">
        <v>42</v>
      </c>
      <c r="AA1017" s="11" t="s">
        <v>43</v>
      </c>
      <c r="AB1017" s="11" t="s">
        <v>44</v>
      </c>
      <c r="AC1017" s="9" t="s">
        <v>44</v>
      </c>
    </row>
    <row r="1018" spans="1:29">
      <c r="A1018" s="10">
        <v>1011</v>
      </c>
      <c r="B1018" s="10" t="s">
        <v>1323</v>
      </c>
      <c r="C1018" s="10" t="s">
        <v>1292</v>
      </c>
      <c r="D1018" s="10" t="s">
        <v>655</v>
      </c>
      <c r="E1018" s="10" t="s">
        <v>34</v>
      </c>
      <c r="F1018" s="10" t="s">
        <v>35</v>
      </c>
      <c r="G1018" s="8" t="s">
        <v>52</v>
      </c>
      <c r="H1018" s="8" t="s">
        <v>71</v>
      </c>
      <c r="I1018" s="8" t="s">
        <v>71</v>
      </c>
      <c r="J1018" s="10">
        <v>140</v>
      </c>
      <c r="K1018" s="10" t="s">
        <v>228</v>
      </c>
      <c r="L1018" s="10" t="s">
        <v>40</v>
      </c>
      <c r="M1018" s="12">
        <v>1</v>
      </c>
      <c r="N1018" s="15">
        <v>16000.0</v>
      </c>
      <c r="O1018" s="15"/>
      <c r="P1018" s="17">
        <f>IF(N1018&gt;0, O1018/N1018, 0)</f>
        <v>0</v>
      </c>
      <c r="Q1018" s="15">
        <f>N1018-O1018</f>
        <v>16000</v>
      </c>
      <c r="R1018" s="15">
        <f>M1018*N1018</f>
        <v>16000</v>
      </c>
      <c r="S1018" s="15">
        <f>M1018*O1018</f>
        <v>0</v>
      </c>
      <c r="T1018" s="15">
        <f>M1018*Q1018</f>
        <v>16000</v>
      </c>
      <c r="U1018" s="15"/>
      <c r="V1018" s="15">
        <f>M1018*U1018</f>
        <v>0</v>
      </c>
      <c r="W1018" s="15">
        <f>T1018-V1018</f>
        <v>16000</v>
      </c>
      <c r="X1018" s="17">
        <f>IF(T1018&gt;0, W1018/T1018, 0)</f>
        <v>1</v>
      </c>
      <c r="Y1018" s="8" t="s">
        <v>41</v>
      </c>
      <c r="Z1018" s="10" t="s">
        <v>42</v>
      </c>
      <c r="AA1018" s="10" t="s">
        <v>43</v>
      </c>
      <c r="AB1018" s="10" t="s">
        <v>44</v>
      </c>
      <c r="AC1018" s="8" t="s">
        <v>44</v>
      </c>
    </row>
    <row r="1019" spans="1:29">
      <c r="A1019" s="11">
        <v>1012</v>
      </c>
      <c r="B1019" s="11" t="s">
        <v>1324</v>
      </c>
      <c r="C1019" s="11" t="s">
        <v>1292</v>
      </c>
      <c r="D1019" s="11" t="s">
        <v>655</v>
      </c>
      <c r="E1019" s="11" t="s">
        <v>34</v>
      </c>
      <c r="F1019" s="11" t="s">
        <v>35</v>
      </c>
      <c r="G1019" s="9" t="s">
        <v>52</v>
      </c>
      <c r="H1019" s="9" t="s">
        <v>37</v>
      </c>
      <c r="I1019" s="9" t="s">
        <v>75</v>
      </c>
      <c r="J1019" s="11">
        <v>140</v>
      </c>
      <c r="K1019" s="11" t="s">
        <v>573</v>
      </c>
      <c r="L1019" s="11" t="s">
        <v>55</v>
      </c>
      <c r="M1019" s="13">
        <v>1</v>
      </c>
      <c r="N1019" s="16">
        <v>8000.0</v>
      </c>
      <c r="O1019" s="16"/>
      <c r="P1019" s="18">
        <f>IF(N1019&gt;0, O1019/N1019, 0)</f>
        <v>0</v>
      </c>
      <c r="Q1019" s="16">
        <f>N1019-O1019</f>
        <v>8000</v>
      </c>
      <c r="R1019" s="16">
        <f>M1019*N1019</f>
        <v>8000</v>
      </c>
      <c r="S1019" s="16">
        <f>M1019*O1019</f>
        <v>0</v>
      </c>
      <c r="T1019" s="16">
        <f>M1019*Q1019</f>
        <v>8000</v>
      </c>
      <c r="U1019" s="16"/>
      <c r="V1019" s="16">
        <f>M1019*U1019</f>
        <v>0</v>
      </c>
      <c r="W1019" s="16">
        <f>T1019-V1019</f>
        <v>8000</v>
      </c>
      <c r="X1019" s="18">
        <f>IF(T1019&gt;0, W1019/T1019, 0)</f>
        <v>1</v>
      </c>
      <c r="Y1019" s="9" t="s">
        <v>41</v>
      </c>
      <c r="Z1019" s="11" t="s">
        <v>42</v>
      </c>
      <c r="AA1019" s="11" t="s">
        <v>43</v>
      </c>
      <c r="AB1019" s="11" t="s">
        <v>44</v>
      </c>
      <c r="AC1019" s="9" t="s">
        <v>44</v>
      </c>
    </row>
    <row r="1020" spans="1:29">
      <c r="A1020" s="10">
        <v>1013</v>
      </c>
      <c r="B1020" s="10" t="s">
        <v>1325</v>
      </c>
      <c r="C1020" s="10" t="s">
        <v>1292</v>
      </c>
      <c r="D1020" s="10" t="s">
        <v>655</v>
      </c>
      <c r="E1020" s="10" t="s">
        <v>34</v>
      </c>
      <c r="F1020" s="10" t="s">
        <v>35</v>
      </c>
      <c r="G1020" s="8" t="s">
        <v>52</v>
      </c>
      <c r="H1020" s="8" t="s">
        <v>37</v>
      </c>
      <c r="I1020" s="8" t="s">
        <v>38</v>
      </c>
      <c r="J1020" s="10">
        <v>140</v>
      </c>
      <c r="K1020" s="10" t="s">
        <v>226</v>
      </c>
      <c r="L1020" s="10" t="s">
        <v>55</v>
      </c>
      <c r="M1020" s="12">
        <v>1</v>
      </c>
      <c r="N1020" s="15">
        <v>7000.0</v>
      </c>
      <c r="O1020" s="15"/>
      <c r="P1020" s="17">
        <f>IF(N1020&gt;0, O1020/N1020, 0)</f>
        <v>0</v>
      </c>
      <c r="Q1020" s="15">
        <f>N1020-O1020</f>
        <v>7000</v>
      </c>
      <c r="R1020" s="15">
        <f>M1020*N1020</f>
        <v>7000</v>
      </c>
      <c r="S1020" s="15">
        <f>M1020*O1020</f>
        <v>0</v>
      </c>
      <c r="T1020" s="15">
        <f>M1020*Q1020</f>
        <v>7000</v>
      </c>
      <c r="U1020" s="15"/>
      <c r="V1020" s="15">
        <f>M1020*U1020</f>
        <v>0</v>
      </c>
      <c r="W1020" s="15">
        <f>T1020-V1020</f>
        <v>7000</v>
      </c>
      <c r="X1020" s="17">
        <f>IF(T1020&gt;0, W1020/T1020, 0)</f>
        <v>1</v>
      </c>
      <c r="Y1020" s="8" t="s">
        <v>41</v>
      </c>
      <c r="Z1020" s="10" t="s">
        <v>42</v>
      </c>
      <c r="AA1020" s="10" t="s">
        <v>43</v>
      </c>
      <c r="AB1020" s="10" t="s">
        <v>44</v>
      </c>
      <c r="AC1020" s="8" t="s">
        <v>44</v>
      </c>
    </row>
    <row r="1021" spans="1:29">
      <c r="A1021" s="11">
        <v>1014</v>
      </c>
      <c r="B1021" s="11" t="s">
        <v>1326</v>
      </c>
      <c r="C1021" s="11" t="s">
        <v>1292</v>
      </c>
      <c r="D1021" s="11" t="s">
        <v>655</v>
      </c>
      <c r="E1021" s="11" t="s">
        <v>34</v>
      </c>
      <c r="F1021" s="11" t="s">
        <v>35</v>
      </c>
      <c r="G1021" s="9" t="s">
        <v>52</v>
      </c>
      <c r="H1021" s="9" t="s">
        <v>53</v>
      </c>
      <c r="I1021" s="9" t="s">
        <v>53</v>
      </c>
      <c r="J1021" s="11">
        <v>140</v>
      </c>
      <c r="K1021" s="11" t="s">
        <v>282</v>
      </c>
      <c r="L1021" s="11" t="s">
        <v>55</v>
      </c>
      <c r="M1021" s="13">
        <v>1</v>
      </c>
      <c r="N1021" s="16">
        <v>8000.0</v>
      </c>
      <c r="O1021" s="16"/>
      <c r="P1021" s="18">
        <f>IF(N1021&gt;0, O1021/N1021, 0)</f>
        <v>0</v>
      </c>
      <c r="Q1021" s="16">
        <f>N1021-O1021</f>
        <v>8000</v>
      </c>
      <c r="R1021" s="16">
        <f>M1021*N1021</f>
        <v>8000</v>
      </c>
      <c r="S1021" s="16">
        <f>M1021*O1021</f>
        <v>0</v>
      </c>
      <c r="T1021" s="16">
        <f>M1021*Q1021</f>
        <v>8000</v>
      </c>
      <c r="U1021" s="16"/>
      <c r="V1021" s="16">
        <f>M1021*U1021</f>
        <v>0</v>
      </c>
      <c r="W1021" s="16">
        <f>T1021-V1021</f>
        <v>8000</v>
      </c>
      <c r="X1021" s="18">
        <f>IF(T1021&gt;0, W1021/T1021, 0)</f>
        <v>1</v>
      </c>
      <c r="Y1021" s="9" t="s">
        <v>41</v>
      </c>
      <c r="Z1021" s="11" t="s">
        <v>42</v>
      </c>
      <c r="AA1021" s="11" t="s">
        <v>43</v>
      </c>
      <c r="AB1021" s="11" t="s">
        <v>44</v>
      </c>
      <c r="AC1021" s="9" t="s">
        <v>44</v>
      </c>
    </row>
    <row r="1022" spans="1:29">
      <c r="A1022" s="10">
        <v>1015</v>
      </c>
      <c r="B1022" s="10" t="s">
        <v>1327</v>
      </c>
      <c r="C1022" s="10" t="s">
        <v>1292</v>
      </c>
      <c r="D1022" s="10" t="s">
        <v>655</v>
      </c>
      <c r="E1022" s="10" t="s">
        <v>34</v>
      </c>
      <c r="F1022" s="10" t="s">
        <v>35</v>
      </c>
      <c r="G1022" s="8" t="s">
        <v>36</v>
      </c>
      <c r="H1022" s="8" t="s">
        <v>37</v>
      </c>
      <c r="I1022" s="8" t="s">
        <v>38</v>
      </c>
      <c r="J1022" s="10">
        <v>158</v>
      </c>
      <c r="K1022" s="10" t="s">
        <v>39</v>
      </c>
      <c r="L1022" s="10" t="s">
        <v>40</v>
      </c>
      <c r="M1022" s="12">
        <v>1</v>
      </c>
      <c r="N1022" s="15">
        <v>8000.0</v>
      </c>
      <c r="O1022" s="15"/>
      <c r="P1022" s="17">
        <f>IF(N1022&gt;0, O1022/N1022, 0)</f>
        <v>0</v>
      </c>
      <c r="Q1022" s="15">
        <f>N1022-O1022</f>
        <v>8000</v>
      </c>
      <c r="R1022" s="15">
        <f>M1022*N1022</f>
        <v>8000</v>
      </c>
      <c r="S1022" s="15">
        <f>M1022*O1022</f>
        <v>0</v>
      </c>
      <c r="T1022" s="15">
        <f>M1022*Q1022</f>
        <v>8000</v>
      </c>
      <c r="U1022" s="15"/>
      <c r="V1022" s="15">
        <f>M1022*U1022</f>
        <v>0</v>
      </c>
      <c r="W1022" s="15">
        <f>T1022-V1022</f>
        <v>8000</v>
      </c>
      <c r="X1022" s="17">
        <f>IF(T1022&gt;0, W1022/T1022, 0)</f>
        <v>1</v>
      </c>
      <c r="Y1022" s="8" t="s">
        <v>41</v>
      </c>
      <c r="Z1022" s="10" t="s">
        <v>42</v>
      </c>
      <c r="AA1022" s="10" t="s">
        <v>43</v>
      </c>
      <c r="AB1022" s="10" t="s">
        <v>44</v>
      </c>
      <c r="AC1022" s="8" t="s">
        <v>44</v>
      </c>
    </row>
    <row r="1023" spans="1:29">
      <c r="A1023" s="11">
        <v>1016</v>
      </c>
      <c r="B1023" s="11" t="s">
        <v>1328</v>
      </c>
      <c r="C1023" s="11" t="s">
        <v>1292</v>
      </c>
      <c r="D1023" s="11" t="s">
        <v>655</v>
      </c>
      <c r="E1023" s="11" t="s">
        <v>34</v>
      </c>
      <c r="F1023" s="11" t="s">
        <v>35</v>
      </c>
      <c r="G1023" s="9" t="s">
        <v>52</v>
      </c>
      <c r="H1023" s="9" t="s">
        <v>71</v>
      </c>
      <c r="I1023" s="9" t="s">
        <v>71</v>
      </c>
      <c r="J1023" s="11">
        <v>140</v>
      </c>
      <c r="K1023" s="11" t="s">
        <v>228</v>
      </c>
      <c r="L1023" s="11" t="s">
        <v>40</v>
      </c>
      <c r="M1023" s="13">
        <v>1</v>
      </c>
      <c r="N1023" s="16">
        <v>16000.0</v>
      </c>
      <c r="O1023" s="16"/>
      <c r="P1023" s="18">
        <f>IF(N1023&gt;0, O1023/N1023, 0)</f>
        <v>0</v>
      </c>
      <c r="Q1023" s="16">
        <f>N1023-O1023</f>
        <v>16000</v>
      </c>
      <c r="R1023" s="16">
        <f>M1023*N1023</f>
        <v>16000</v>
      </c>
      <c r="S1023" s="16">
        <f>M1023*O1023</f>
        <v>0</v>
      </c>
      <c r="T1023" s="16">
        <f>M1023*Q1023</f>
        <v>16000</v>
      </c>
      <c r="U1023" s="16"/>
      <c r="V1023" s="16">
        <f>M1023*U1023</f>
        <v>0</v>
      </c>
      <c r="W1023" s="16">
        <f>T1023-V1023</f>
        <v>16000</v>
      </c>
      <c r="X1023" s="18">
        <f>IF(T1023&gt;0, W1023/T1023, 0)</f>
        <v>1</v>
      </c>
      <c r="Y1023" s="9" t="s">
        <v>41</v>
      </c>
      <c r="Z1023" s="11" t="s">
        <v>42</v>
      </c>
      <c r="AA1023" s="11" t="s">
        <v>43</v>
      </c>
      <c r="AB1023" s="11" t="s">
        <v>44</v>
      </c>
      <c r="AC1023" s="9" t="s">
        <v>44</v>
      </c>
    </row>
    <row r="1024" spans="1:29">
      <c r="A1024" s="10">
        <v>1017</v>
      </c>
      <c r="B1024" s="10" t="s">
        <v>1329</v>
      </c>
      <c r="C1024" s="10" t="s">
        <v>1292</v>
      </c>
      <c r="D1024" s="10" t="s">
        <v>655</v>
      </c>
      <c r="E1024" s="10" t="s">
        <v>34</v>
      </c>
      <c r="F1024" s="10" t="s">
        <v>35</v>
      </c>
      <c r="G1024" s="8" t="s">
        <v>36</v>
      </c>
      <c r="H1024" s="8" t="s">
        <v>37</v>
      </c>
      <c r="I1024" s="8" t="s">
        <v>38</v>
      </c>
      <c r="J1024" s="10">
        <v>134</v>
      </c>
      <c r="K1024" s="10" t="s">
        <v>725</v>
      </c>
      <c r="L1024" s="10" t="s">
        <v>40</v>
      </c>
      <c r="M1024" s="12">
        <v>1</v>
      </c>
      <c r="N1024" s="15">
        <v>7000.0</v>
      </c>
      <c r="O1024" s="15"/>
      <c r="P1024" s="17">
        <f>IF(N1024&gt;0, O1024/N1024, 0)</f>
        <v>0</v>
      </c>
      <c r="Q1024" s="15">
        <f>N1024-O1024</f>
        <v>7000</v>
      </c>
      <c r="R1024" s="15">
        <f>M1024*N1024</f>
        <v>7000</v>
      </c>
      <c r="S1024" s="15">
        <f>M1024*O1024</f>
        <v>0</v>
      </c>
      <c r="T1024" s="15">
        <f>M1024*Q1024</f>
        <v>7000</v>
      </c>
      <c r="U1024" s="15"/>
      <c r="V1024" s="15">
        <f>M1024*U1024</f>
        <v>0</v>
      </c>
      <c r="W1024" s="15">
        <f>T1024-V1024</f>
        <v>7000</v>
      </c>
      <c r="X1024" s="17">
        <f>IF(T1024&gt;0, W1024/T1024, 0)</f>
        <v>1</v>
      </c>
      <c r="Y1024" s="8" t="s">
        <v>41</v>
      </c>
      <c r="Z1024" s="10" t="s">
        <v>42</v>
      </c>
      <c r="AA1024" s="10" t="s">
        <v>43</v>
      </c>
      <c r="AB1024" s="10" t="s">
        <v>44</v>
      </c>
      <c r="AC1024" s="8" t="s">
        <v>44</v>
      </c>
    </row>
    <row r="1025" spans="1:29">
      <c r="A1025" s="11">
        <v>1018</v>
      </c>
      <c r="B1025" s="11" t="s">
        <v>1330</v>
      </c>
      <c r="C1025" s="11" t="s">
        <v>1292</v>
      </c>
      <c r="D1025" s="11" t="s">
        <v>655</v>
      </c>
      <c r="E1025" s="11" t="s">
        <v>70</v>
      </c>
      <c r="F1025" s="11" t="s">
        <v>35</v>
      </c>
      <c r="G1025" s="9" t="s">
        <v>36</v>
      </c>
      <c r="H1025" s="9" t="s">
        <v>71</v>
      </c>
      <c r="I1025" s="9" t="s">
        <v>71</v>
      </c>
      <c r="J1025" s="11">
        <v>158</v>
      </c>
      <c r="K1025" s="11" t="s">
        <v>263</v>
      </c>
      <c r="L1025" s="11" t="s">
        <v>40</v>
      </c>
      <c r="M1025" s="13">
        <v>1</v>
      </c>
      <c r="N1025" s="16">
        <v>18000.0</v>
      </c>
      <c r="O1025" s="16"/>
      <c r="P1025" s="18">
        <f>IF(N1025&gt;0, O1025/N1025, 0)</f>
        <v>0</v>
      </c>
      <c r="Q1025" s="16">
        <f>N1025-O1025</f>
        <v>18000</v>
      </c>
      <c r="R1025" s="16">
        <f>M1025*N1025</f>
        <v>18000</v>
      </c>
      <c r="S1025" s="16">
        <f>M1025*O1025</f>
        <v>0</v>
      </c>
      <c r="T1025" s="16">
        <f>M1025*Q1025</f>
        <v>18000</v>
      </c>
      <c r="U1025" s="16"/>
      <c r="V1025" s="16">
        <f>M1025*U1025</f>
        <v>0</v>
      </c>
      <c r="W1025" s="16">
        <f>T1025-V1025</f>
        <v>18000</v>
      </c>
      <c r="X1025" s="18">
        <f>IF(T1025&gt;0, W1025/T1025, 0)</f>
        <v>1</v>
      </c>
      <c r="Y1025" s="9" t="s">
        <v>41</v>
      </c>
      <c r="Z1025" s="11" t="s">
        <v>42</v>
      </c>
      <c r="AA1025" s="11" t="s">
        <v>73</v>
      </c>
      <c r="AB1025" s="11" t="s">
        <v>44</v>
      </c>
      <c r="AC1025" s="9" t="s">
        <v>44</v>
      </c>
    </row>
    <row r="1026" spans="1:29">
      <c r="A1026" s="10">
        <v>1019</v>
      </c>
      <c r="B1026" s="10" t="s">
        <v>1331</v>
      </c>
      <c r="C1026" s="10" t="s">
        <v>1292</v>
      </c>
      <c r="D1026" s="10" t="s">
        <v>655</v>
      </c>
      <c r="E1026" s="10" t="s">
        <v>34</v>
      </c>
      <c r="F1026" s="10" t="s">
        <v>35</v>
      </c>
      <c r="G1026" s="8" t="s">
        <v>36</v>
      </c>
      <c r="H1026" s="8" t="s">
        <v>47</v>
      </c>
      <c r="I1026" s="8" t="s">
        <v>48</v>
      </c>
      <c r="J1026" s="10">
        <v>158</v>
      </c>
      <c r="K1026" s="10" t="s">
        <v>49</v>
      </c>
      <c r="L1026" s="10" t="s">
        <v>40</v>
      </c>
      <c r="M1026" s="12">
        <v>1</v>
      </c>
      <c r="N1026" s="15">
        <v>18000.0</v>
      </c>
      <c r="O1026" s="15"/>
      <c r="P1026" s="17">
        <f>IF(N1026&gt;0, O1026/N1026, 0)</f>
        <v>0</v>
      </c>
      <c r="Q1026" s="15">
        <f>N1026-O1026</f>
        <v>18000</v>
      </c>
      <c r="R1026" s="15">
        <f>M1026*N1026</f>
        <v>18000</v>
      </c>
      <c r="S1026" s="15">
        <f>M1026*O1026</f>
        <v>0</v>
      </c>
      <c r="T1026" s="15">
        <f>M1026*Q1026</f>
        <v>18000</v>
      </c>
      <c r="U1026" s="15"/>
      <c r="V1026" s="15">
        <f>M1026*U1026</f>
        <v>0</v>
      </c>
      <c r="W1026" s="15">
        <f>T1026-V1026</f>
        <v>18000</v>
      </c>
      <c r="X1026" s="17">
        <f>IF(T1026&gt;0, W1026/T1026, 0)</f>
        <v>1</v>
      </c>
      <c r="Y1026" s="8" t="s">
        <v>41</v>
      </c>
      <c r="Z1026" s="10" t="s">
        <v>42</v>
      </c>
      <c r="AA1026" s="10" t="s">
        <v>43</v>
      </c>
      <c r="AB1026" s="10" t="s">
        <v>44</v>
      </c>
      <c r="AC1026" s="8" t="s">
        <v>44</v>
      </c>
    </row>
    <row r="1027" spans="1:29">
      <c r="A1027" s="11">
        <v>1020</v>
      </c>
      <c r="B1027" s="11" t="s">
        <v>1332</v>
      </c>
      <c r="C1027" s="11" t="s">
        <v>1292</v>
      </c>
      <c r="D1027" s="11" t="s">
        <v>655</v>
      </c>
      <c r="E1027" s="11" t="s">
        <v>34</v>
      </c>
      <c r="F1027" s="11" t="s">
        <v>35</v>
      </c>
      <c r="G1027" s="9" t="s">
        <v>36</v>
      </c>
      <c r="H1027" s="9" t="s">
        <v>37</v>
      </c>
      <c r="I1027" s="9" t="s">
        <v>38</v>
      </c>
      <c r="J1027" s="11">
        <v>164</v>
      </c>
      <c r="K1027" s="11" t="s">
        <v>79</v>
      </c>
      <c r="L1027" s="11" t="s">
        <v>40</v>
      </c>
      <c r="M1027" s="13">
        <v>2</v>
      </c>
      <c r="N1027" s="16">
        <v>8000.0</v>
      </c>
      <c r="O1027" s="16"/>
      <c r="P1027" s="18">
        <f>IF(N1027&gt;0, O1027/N1027, 0)</f>
        <v>0</v>
      </c>
      <c r="Q1027" s="16">
        <f>N1027-O1027</f>
        <v>8000</v>
      </c>
      <c r="R1027" s="16">
        <f>M1027*N1027</f>
        <v>16000</v>
      </c>
      <c r="S1027" s="16">
        <f>M1027*O1027</f>
        <v>0</v>
      </c>
      <c r="T1027" s="16">
        <f>M1027*Q1027</f>
        <v>16000</v>
      </c>
      <c r="U1027" s="16"/>
      <c r="V1027" s="16">
        <f>M1027*U1027</f>
        <v>0</v>
      </c>
      <c r="W1027" s="16">
        <f>T1027-V1027</f>
        <v>16000</v>
      </c>
      <c r="X1027" s="18">
        <f>IF(T1027&gt;0, W1027/T1027, 0)</f>
        <v>1</v>
      </c>
      <c r="Y1027" s="9" t="s">
        <v>41</v>
      </c>
      <c r="Z1027" s="11" t="s">
        <v>42</v>
      </c>
      <c r="AA1027" s="11" t="s">
        <v>43</v>
      </c>
      <c r="AB1027" s="11" t="s">
        <v>44</v>
      </c>
      <c r="AC1027" s="9" t="s">
        <v>44</v>
      </c>
    </row>
    <row r="1028" spans="1:29">
      <c r="A1028" s="10">
        <v>1021</v>
      </c>
      <c r="B1028" s="10" t="s">
        <v>1333</v>
      </c>
      <c r="C1028" s="10" t="s">
        <v>1292</v>
      </c>
      <c r="D1028" s="10" t="s">
        <v>655</v>
      </c>
      <c r="E1028" s="10" t="s">
        <v>70</v>
      </c>
      <c r="F1028" s="10" t="s">
        <v>35</v>
      </c>
      <c r="G1028" s="8" t="s">
        <v>52</v>
      </c>
      <c r="H1028" s="8" t="s">
        <v>65</v>
      </c>
      <c r="I1028" s="8" t="s">
        <v>151</v>
      </c>
      <c r="J1028" s="10">
        <v>128</v>
      </c>
      <c r="K1028" s="10" t="s">
        <v>168</v>
      </c>
      <c r="L1028" s="10" t="s">
        <v>40</v>
      </c>
      <c r="M1028" s="12">
        <v>1</v>
      </c>
      <c r="N1028" s="15">
        <v>10000.0</v>
      </c>
      <c r="O1028" s="15"/>
      <c r="P1028" s="17">
        <f>IF(N1028&gt;0, O1028/N1028, 0)</f>
        <v>0</v>
      </c>
      <c r="Q1028" s="15">
        <f>N1028-O1028</f>
        <v>10000</v>
      </c>
      <c r="R1028" s="15">
        <f>M1028*N1028</f>
        <v>10000</v>
      </c>
      <c r="S1028" s="15">
        <f>M1028*O1028</f>
        <v>0</v>
      </c>
      <c r="T1028" s="15">
        <f>M1028*Q1028</f>
        <v>10000</v>
      </c>
      <c r="U1028" s="15"/>
      <c r="V1028" s="15">
        <f>M1028*U1028</f>
        <v>0</v>
      </c>
      <c r="W1028" s="15">
        <f>T1028-V1028</f>
        <v>10000</v>
      </c>
      <c r="X1028" s="17">
        <f>IF(T1028&gt;0, W1028/T1028, 0)</f>
        <v>1</v>
      </c>
      <c r="Y1028" s="8" t="s">
        <v>41</v>
      </c>
      <c r="Z1028" s="10" t="s">
        <v>42</v>
      </c>
      <c r="AA1028" s="10" t="s">
        <v>73</v>
      </c>
      <c r="AB1028" s="10" t="s">
        <v>44</v>
      </c>
      <c r="AC1028" s="8" t="s">
        <v>44</v>
      </c>
    </row>
    <row r="1029" spans="1:29">
      <c r="A1029" s="11">
        <v>1022</v>
      </c>
      <c r="B1029" s="11" t="s">
        <v>1334</v>
      </c>
      <c r="C1029" s="11" t="s">
        <v>1292</v>
      </c>
      <c r="D1029" s="11" t="s">
        <v>655</v>
      </c>
      <c r="E1029" s="11" t="s">
        <v>34</v>
      </c>
      <c r="F1029" s="11" t="s">
        <v>35</v>
      </c>
      <c r="G1029" s="9" t="s">
        <v>52</v>
      </c>
      <c r="H1029" s="9" t="s">
        <v>58</v>
      </c>
      <c r="I1029" s="9" t="s">
        <v>58</v>
      </c>
      <c r="J1029" s="11">
        <v>110</v>
      </c>
      <c r="K1029" s="11" t="s">
        <v>961</v>
      </c>
      <c r="L1029" s="11" t="s">
        <v>40</v>
      </c>
      <c r="M1029" s="13">
        <v>1</v>
      </c>
      <c r="N1029" s="16">
        <v>7000.0</v>
      </c>
      <c r="O1029" s="16"/>
      <c r="P1029" s="18">
        <f>IF(N1029&gt;0, O1029/N1029, 0)</f>
        <v>0</v>
      </c>
      <c r="Q1029" s="16">
        <f>N1029-O1029</f>
        <v>7000</v>
      </c>
      <c r="R1029" s="16">
        <f>M1029*N1029</f>
        <v>7000</v>
      </c>
      <c r="S1029" s="16">
        <f>M1029*O1029</f>
        <v>0</v>
      </c>
      <c r="T1029" s="16">
        <f>M1029*Q1029</f>
        <v>7000</v>
      </c>
      <c r="U1029" s="16"/>
      <c r="V1029" s="16">
        <f>M1029*U1029</f>
        <v>0</v>
      </c>
      <c r="W1029" s="16">
        <f>T1029-V1029</f>
        <v>7000</v>
      </c>
      <c r="X1029" s="18">
        <f>IF(T1029&gt;0, W1029/T1029, 0)</f>
        <v>1</v>
      </c>
      <c r="Y1029" s="9" t="s">
        <v>41</v>
      </c>
      <c r="Z1029" s="11" t="s">
        <v>42</v>
      </c>
      <c r="AA1029" s="11" t="s">
        <v>43</v>
      </c>
      <c r="AB1029" s="11" t="s">
        <v>44</v>
      </c>
      <c r="AC1029" s="9" t="s">
        <v>44</v>
      </c>
    </row>
    <row r="1030" spans="1:29">
      <c r="A1030" s="10">
        <v>1023</v>
      </c>
      <c r="B1030" s="10" t="s">
        <v>1335</v>
      </c>
      <c r="C1030" s="10" t="s">
        <v>1292</v>
      </c>
      <c r="D1030" s="10" t="s">
        <v>655</v>
      </c>
      <c r="E1030" s="10" t="s">
        <v>34</v>
      </c>
      <c r="F1030" s="10" t="s">
        <v>35</v>
      </c>
      <c r="G1030" s="8" t="s">
        <v>52</v>
      </c>
      <c r="H1030" s="8" t="s">
        <v>53</v>
      </c>
      <c r="I1030" s="8" t="s">
        <v>53</v>
      </c>
      <c r="J1030" s="10">
        <v>140</v>
      </c>
      <c r="K1030" s="10" t="s">
        <v>282</v>
      </c>
      <c r="L1030" s="10" t="s">
        <v>55</v>
      </c>
      <c r="M1030" s="12">
        <v>1</v>
      </c>
      <c r="N1030" s="15">
        <v>8000.0</v>
      </c>
      <c r="O1030" s="15"/>
      <c r="P1030" s="17">
        <f>IF(N1030&gt;0, O1030/N1030, 0)</f>
        <v>0</v>
      </c>
      <c r="Q1030" s="15">
        <f>N1030-O1030</f>
        <v>8000</v>
      </c>
      <c r="R1030" s="15">
        <f>M1030*N1030</f>
        <v>8000</v>
      </c>
      <c r="S1030" s="15">
        <f>M1030*O1030</f>
        <v>0</v>
      </c>
      <c r="T1030" s="15">
        <f>M1030*Q1030</f>
        <v>8000</v>
      </c>
      <c r="U1030" s="15"/>
      <c r="V1030" s="15">
        <f>M1030*U1030</f>
        <v>0</v>
      </c>
      <c r="W1030" s="15">
        <f>T1030-V1030</f>
        <v>8000</v>
      </c>
      <c r="X1030" s="17">
        <f>IF(T1030&gt;0, W1030/T1030, 0)</f>
        <v>1</v>
      </c>
      <c r="Y1030" s="8" t="s">
        <v>41</v>
      </c>
      <c r="Z1030" s="10" t="s">
        <v>42</v>
      </c>
      <c r="AA1030" s="10" t="s">
        <v>43</v>
      </c>
      <c r="AB1030" s="10" t="s">
        <v>44</v>
      </c>
      <c r="AC1030" s="8" t="s">
        <v>44</v>
      </c>
    </row>
    <row r="1031" spans="1:29">
      <c r="A1031" s="11">
        <v>1024</v>
      </c>
      <c r="B1031" s="11" t="s">
        <v>1336</v>
      </c>
      <c r="C1031" s="11" t="s">
        <v>1292</v>
      </c>
      <c r="D1031" s="11" t="s">
        <v>655</v>
      </c>
      <c r="E1031" s="11" t="s">
        <v>34</v>
      </c>
      <c r="F1031" s="11" t="s">
        <v>35</v>
      </c>
      <c r="G1031" s="9" t="s">
        <v>52</v>
      </c>
      <c r="H1031" s="9" t="s">
        <v>37</v>
      </c>
      <c r="I1031" s="9" t="s">
        <v>38</v>
      </c>
      <c r="J1031" s="11">
        <v>140</v>
      </c>
      <c r="K1031" s="11" t="s">
        <v>226</v>
      </c>
      <c r="L1031" s="11" t="s">
        <v>55</v>
      </c>
      <c r="M1031" s="13">
        <v>2</v>
      </c>
      <c r="N1031" s="16">
        <v>7000.0</v>
      </c>
      <c r="O1031" s="16"/>
      <c r="P1031" s="18">
        <f>IF(N1031&gt;0, O1031/N1031, 0)</f>
        <v>0</v>
      </c>
      <c r="Q1031" s="16">
        <f>N1031-O1031</f>
        <v>7000</v>
      </c>
      <c r="R1031" s="16">
        <f>M1031*N1031</f>
        <v>14000</v>
      </c>
      <c r="S1031" s="16">
        <f>M1031*O1031</f>
        <v>0</v>
      </c>
      <c r="T1031" s="16">
        <f>M1031*Q1031</f>
        <v>14000</v>
      </c>
      <c r="U1031" s="16"/>
      <c r="V1031" s="16">
        <f>M1031*U1031</f>
        <v>0</v>
      </c>
      <c r="W1031" s="16">
        <f>T1031-V1031</f>
        <v>14000</v>
      </c>
      <c r="X1031" s="18">
        <f>IF(T1031&gt;0, W1031/T1031, 0)</f>
        <v>1</v>
      </c>
      <c r="Y1031" s="9" t="s">
        <v>41</v>
      </c>
      <c r="Z1031" s="11" t="s">
        <v>42</v>
      </c>
      <c r="AA1031" s="11" t="s">
        <v>43</v>
      </c>
      <c r="AB1031" s="11" t="s">
        <v>44</v>
      </c>
      <c r="AC1031" s="9" t="s">
        <v>44</v>
      </c>
    </row>
    <row r="1032" spans="1:29">
      <c r="A1032" s="10">
        <v>1025</v>
      </c>
      <c r="B1032" s="10" t="s">
        <v>1337</v>
      </c>
      <c r="C1032" s="10" t="s">
        <v>1292</v>
      </c>
      <c r="D1032" s="10" t="s">
        <v>655</v>
      </c>
      <c r="E1032" s="10" t="s">
        <v>34</v>
      </c>
      <c r="F1032" s="10" t="s">
        <v>35</v>
      </c>
      <c r="G1032" s="8" t="s">
        <v>52</v>
      </c>
      <c r="H1032" s="8" t="s">
        <v>37</v>
      </c>
      <c r="I1032" s="8" t="s">
        <v>75</v>
      </c>
      <c r="J1032" s="10">
        <v>140</v>
      </c>
      <c r="K1032" s="10" t="s">
        <v>573</v>
      </c>
      <c r="L1032" s="10" t="s">
        <v>55</v>
      </c>
      <c r="M1032" s="12">
        <v>1</v>
      </c>
      <c r="N1032" s="15">
        <v>8000.0</v>
      </c>
      <c r="O1032" s="15"/>
      <c r="P1032" s="17">
        <f>IF(N1032&gt;0, O1032/N1032, 0)</f>
        <v>0</v>
      </c>
      <c r="Q1032" s="15">
        <f>N1032-O1032</f>
        <v>8000</v>
      </c>
      <c r="R1032" s="15">
        <f>M1032*N1032</f>
        <v>8000</v>
      </c>
      <c r="S1032" s="15">
        <f>M1032*O1032</f>
        <v>0</v>
      </c>
      <c r="T1032" s="15">
        <f>M1032*Q1032</f>
        <v>8000</v>
      </c>
      <c r="U1032" s="15"/>
      <c r="V1032" s="15">
        <f>M1032*U1032</f>
        <v>0</v>
      </c>
      <c r="W1032" s="15">
        <f>T1032-V1032</f>
        <v>8000</v>
      </c>
      <c r="X1032" s="17">
        <f>IF(T1032&gt;0, W1032/T1032, 0)</f>
        <v>1</v>
      </c>
      <c r="Y1032" s="8" t="s">
        <v>41</v>
      </c>
      <c r="Z1032" s="10" t="s">
        <v>42</v>
      </c>
      <c r="AA1032" s="10" t="s">
        <v>43</v>
      </c>
      <c r="AB1032" s="10" t="s">
        <v>44</v>
      </c>
      <c r="AC1032" s="8" t="s">
        <v>44</v>
      </c>
    </row>
    <row r="1033" spans="1:29">
      <c r="A1033" s="11">
        <v>1026</v>
      </c>
      <c r="B1033" s="11" t="s">
        <v>1338</v>
      </c>
      <c r="C1033" s="11" t="s">
        <v>1339</v>
      </c>
      <c r="D1033" s="11" t="s">
        <v>655</v>
      </c>
      <c r="E1033" s="11" t="s">
        <v>34</v>
      </c>
      <c r="F1033" s="11" t="s">
        <v>35</v>
      </c>
      <c r="G1033" s="9" t="s">
        <v>52</v>
      </c>
      <c r="H1033" s="9" t="s">
        <v>37</v>
      </c>
      <c r="I1033" s="9" t="s">
        <v>38</v>
      </c>
      <c r="J1033" s="11">
        <v>152</v>
      </c>
      <c r="K1033" s="11" t="s">
        <v>154</v>
      </c>
      <c r="L1033" s="11" t="s">
        <v>55</v>
      </c>
      <c r="M1033" s="13">
        <v>1</v>
      </c>
      <c r="N1033" s="16">
        <v>7000.0</v>
      </c>
      <c r="O1033" s="16"/>
      <c r="P1033" s="18">
        <f>IF(N1033&gt;0, O1033/N1033, 0)</f>
        <v>0</v>
      </c>
      <c r="Q1033" s="16">
        <f>N1033-O1033</f>
        <v>7000</v>
      </c>
      <c r="R1033" s="16">
        <f>M1033*N1033</f>
        <v>7000</v>
      </c>
      <c r="S1033" s="16">
        <f>M1033*O1033</f>
        <v>0</v>
      </c>
      <c r="T1033" s="16">
        <f>M1033*Q1033</f>
        <v>7000</v>
      </c>
      <c r="U1033" s="16"/>
      <c r="V1033" s="16">
        <f>M1033*U1033</f>
        <v>0</v>
      </c>
      <c r="W1033" s="16">
        <f>T1033-V1033</f>
        <v>7000</v>
      </c>
      <c r="X1033" s="18">
        <f>IF(T1033&gt;0, W1033/T1033, 0)</f>
        <v>1</v>
      </c>
      <c r="Y1033" s="9" t="s">
        <v>41</v>
      </c>
      <c r="Z1033" s="11" t="s">
        <v>42</v>
      </c>
      <c r="AA1033" s="11" t="s">
        <v>43</v>
      </c>
      <c r="AB1033" s="11" t="s">
        <v>44</v>
      </c>
      <c r="AC1033" s="9" t="s">
        <v>44</v>
      </c>
    </row>
    <row r="1034" spans="1:29">
      <c r="A1034" s="10">
        <v>1027</v>
      </c>
      <c r="B1034" s="10" t="s">
        <v>1340</v>
      </c>
      <c r="C1034" s="10" t="s">
        <v>1339</v>
      </c>
      <c r="D1034" s="10" t="s">
        <v>655</v>
      </c>
      <c r="E1034" s="10" t="s">
        <v>34</v>
      </c>
      <c r="F1034" s="10" t="s">
        <v>35</v>
      </c>
      <c r="G1034" s="8" t="s">
        <v>52</v>
      </c>
      <c r="H1034" s="8" t="s">
        <v>65</v>
      </c>
      <c r="I1034" s="8" t="s">
        <v>151</v>
      </c>
      <c r="J1034" s="10">
        <v>152</v>
      </c>
      <c r="K1034" s="10" t="s">
        <v>254</v>
      </c>
      <c r="L1034" s="10" t="s">
        <v>40</v>
      </c>
      <c r="M1034" s="12">
        <v>1</v>
      </c>
      <c r="N1034" s="15">
        <v>9000.0</v>
      </c>
      <c r="O1034" s="15"/>
      <c r="P1034" s="17">
        <f>IF(N1034&gt;0, O1034/N1034, 0)</f>
        <v>0</v>
      </c>
      <c r="Q1034" s="15">
        <f>N1034-O1034</f>
        <v>9000</v>
      </c>
      <c r="R1034" s="15">
        <f>M1034*N1034</f>
        <v>9000</v>
      </c>
      <c r="S1034" s="15">
        <f>M1034*O1034</f>
        <v>0</v>
      </c>
      <c r="T1034" s="15">
        <f>M1034*Q1034</f>
        <v>9000</v>
      </c>
      <c r="U1034" s="15"/>
      <c r="V1034" s="15">
        <f>M1034*U1034</f>
        <v>0</v>
      </c>
      <c r="W1034" s="15">
        <f>T1034-V1034</f>
        <v>9000</v>
      </c>
      <c r="X1034" s="17">
        <f>IF(T1034&gt;0, W1034/T1034, 0)</f>
        <v>1</v>
      </c>
      <c r="Y1034" s="8" t="s">
        <v>41</v>
      </c>
      <c r="Z1034" s="10" t="s">
        <v>42</v>
      </c>
      <c r="AA1034" s="10" t="s">
        <v>43</v>
      </c>
      <c r="AB1034" s="10" t="s">
        <v>44</v>
      </c>
      <c r="AC1034" s="8" t="s">
        <v>44</v>
      </c>
    </row>
    <row r="1035" spans="1:29">
      <c r="A1035" s="11">
        <v>1028</v>
      </c>
      <c r="B1035" s="11" t="s">
        <v>1341</v>
      </c>
      <c r="C1035" s="11" t="s">
        <v>1339</v>
      </c>
      <c r="D1035" s="11" t="s">
        <v>655</v>
      </c>
      <c r="E1035" s="11" t="s">
        <v>34</v>
      </c>
      <c r="F1035" s="11" t="s">
        <v>35</v>
      </c>
      <c r="G1035" s="9" t="s">
        <v>52</v>
      </c>
      <c r="H1035" s="9" t="s">
        <v>71</v>
      </c>
      <c r="I1035" s="9" t="s">
        <v>71</v>
      </c>
      <c r="J1035" s="11">
        <v>146</v>
      </c>
      <c r="K1035" s="11" t="s">
        <v>385</v>
      </c>
      <c r="L1035" s="11" t="s">
        <v>40</v>
      </c>
      <c r="M1035" s="13">
        <v>1</v>
      </c>
      <c r="N1035" s="16">
        <v>16000.0</v>
      </c>
      <c r="O1035" s="16"/>
      <c r="P1035" s="18">
        <f>IF(N1035&gt;0, O1035/N1035, 0)</f>
        <v>0</v>
      </c>
      <c r="Q1035" s="16">
        <f>N1035-O1035</f>
        <v>16000</v>
      </c>
      <c r="R1035" s="16">
        <f>M1035*N1035</f>
        <v>16000</v>
      </c>
      <c r="S1035" s="16">
        <f>M1035*O1035</f>
        <v>0</v>
      </c>
      <c r="T1035" s="16">
        <f>M1035*Q1035</f>
        <v>16000</v>
      </c>
      <c r="U1035" s="16"/>
      <c r="V1035" s="16">
        <f>M1035*U1035</f>
        <v>0</v>
      </c>
      <c r="W1035" s="16">
        <f>T1035-V1035</f>
        <v>16000</v>
      </c>
      <c r="X1035" s="18">
        <f>IF(T1035&gt;0, W1035/T1035, 0)</f>
        <v>1</v>
      </c>
      <c r="Y1035" s="9" t="s">
        <v>41</v>
      </c>
      <c r="Z1035" s="11" t="s">
        <v>42</v>
      </c>
      <c r="AA1035" s="11" t="s">
        <v>43</v>
      </c>
      <c r="AB1035" s="11" t="s">
        <v>44</v>
      </c>
      <c r="AC1035" s="9" t="s">
        <v>44</v>
      </c>
    </row>
    <row r="1036" spans="1:29">
      <c r="A1036" s="10">
        <v>1029</v>
      </c>
      <c r="B1036" s="10" t="s">
        <v>1342</v>
      </c>
      <c r="C1036" s="10" t="s">
        <v>1339</v>
      </c>
      <c r="D1036" s="10" t="s">
        <v>655</v>
      </c>
      <c r="E1036" s="10" t="s">
        <v>34</v>
      </c>
      <c r="F1036" s="10" t="s">
        <v>35</v>
      </c>
      <c r="G1036" s="8" t="s">
        <v>52</v>
      </c>
      <c r="H1036" s="8" t="s">
        <v>47</v>
      </c>
      <c r="I1036" s="8" t="s">
        <v>48</v>
      </c>
      <c r="J1036" s="10">
        <v>152</v>
      </c>
      <c r="K1036" s="10" t="s">
        <v>414</v>
      </c>
      <c r="L1036" s="10" t="s">
        <v>40</v>
      </c>
      <c r="M1036" s="12">
        <v>1</v>
      </c>
      <c r="N1036" s="15">
        <v>18000.0</v>
      </c>
      <c r="O1036" s="15"/>
      <c r="P1036" s="17">
        <f>IF(N1036&gt;0, O1036/N1036, 0)</f>
        <v>0</v>
      </c>
      <c r="Q1036" s="15">
        <f>N1036-O1036</f>
        <v>18000</v>
      </c>
      <c r="R1036" s="15">
        <f>M1036*N1036</f>
        <v>18000</v>
      </c>
      <c r="S1036" s="15">
        <f>M1036*O1036</f>
        <v>0</v>
      </c>
      <c r="T1036" s="15">
        <f>M1036*Q1036</f>
        <v>18000</v>
      </c>
      <c r="U1036" s="15"/>
      <c r="V1036" s="15">
        <f>M1036*U1036</f>
        <v>0</v>
      </c>
      <c r="W1036" s="15">
        <f>T1036-V1036</f>
        <v>18000</v>
      </c>
      <c r="X1036" s="17">
        <f>IF(T1036&gt;0, W1036/T1036, 0)</f>
        <v>1</v>
      </c>
      <c r="Y1036" s="8" t="s">
        <v>41</v>
      </c>
      <c r="Z1036" s="10" t="s">
        <v>42</v>
      </c>
      <c r="AA1036" s="10" t="s">
        <v>43</v>
      </c>
      <c r="AB1036" s="10" t="s">
        <v>44</v>
      </c>
      <c r="AC1036" s="8" t="s">
        <v>44</v>
      </c>
    </row>
    <row r="1037" spans="1:29">
      <c r="A1037" s="11">
        <v>1030</v>
      </c>
      <c r="B1037" s="11" t="s">
        <v>1343</v>
      </c>
      <c r="C1037" s="11" t="s">
        <v>1339</v>
      </c>
      <c r="D1037" s="11" t="s">
        <v>655</v>
      </c>
      <c r="E1037" s="11" t="s">
        <v>34</v>
      </c>
      <c r="F1037" s="11" t="s">
        <v>35</v>
      </c>
      <c r="G1037" s="9" t="s">
        <v>52</v>
      </c>
      <c r="H1037" s="9" t="s">
        <v>58</v>
      </c>
      <c r="I1037" s="9" t="s">
        <v>58</v>
      </c>
      <c r="J1037" s="11">
        <v>152</v>
      </c>
      <c r="K1037" s="11" t="s">
        <v>314</v>
      </c>
      <c r="L1037" s="11" t="s">
        <v>40</v>
      </c>
      <c r="M1037" s="13">
        <v>1</v>
      </c>
      <c r="N1037" s="16">
        <v>7000.0</v>
      </c>
      <c r="O1037" s="16"/>
      <c r="P1037" s="18">
        <f>IF(N1037&gt;0, O1037/N1037, 0)</f>
        <v>0</v>
      </c>
      <c r="Q1037" s="16">
        <f>N1037-O1037</f>
        <v>7000</v>
      </c>
      <c r="R1037" s="16">
        <f>M1037*N1037</f>
        <v>7000</v>
      </c>
      <c r="S1037" s="16">
        <f>M1037*O1037</f>
        <v>0</v>
      </c>
      <c r="T1037" s="16">
        <f>M1037*Q1037</f>
        <v>7000</v>
      </c>
      <c r="U1037" s="16"/>
      <c r="V1037" s="16">
        <f>M1037*U1037</f>
        <v>0</v>
      </c>
      <c r="W1037" s="16">
        <f>T1037-V1037</f>
        <v>7000</v>
      </c>
      <c r="X1037" s="18">
        <f>IF(T1037&gt;0, W1037/T1037, 0)</f>
        <v>1</v>
      </c>
      <c r="Y1037" s="9" t="s">
        <v>41</v>
      </c>
      <c r="Z1037" s="11" t="s">
        <v>42</v>
      </c>
      <c r="AA1037" s="11" t="s">
        <v>43</v>
      </c>
      <c r="AB1037" s="11" t="s">
        <v>44</v>
      </c>
      <c r="AC1037" s="9" t="s">
        <v>44</v>
      </c>
    </row>
    <row r="1038" spans="1:29">
      <c r="A1038" s="10">
        <v>1031</v>
      </c>
      <c r="B1038" s="10" t="s">
        <v>1344</v>
      </c>
      <c r="C1038" s="10" t="s">
        <v>1339</v>
      </c>
      <c r="D1038" s="10" t="s">
        <v>655</v>
      </c>
      <c r="E1038" s="10" t="s">
        <v>34</v>
      </c>
      <c r="F1038" s="10" t="s">
        <v>35</v>
      </c>
      <c r="G1038" s="8" t="s">
        <v>52</v>
      </c>
      <c r="H1038" s="8" t="s">
        <v>53</v>
      </c>
      <c r="I1038" s="8" t="s">
        <v>53</v>
      </c>
      <c r="J1038" s="10">
        <v>152</v>
      </c>
      <c r="K1038" s="10" t="s">
        <v>405</v>
      </c>
      <c r="L1038" s="10" t="s">
        <v>55</v>
      </c>
      <c r="M1038" s="12">
        <v>1</v>
      </c>
      <c r="N1038" s="15">
        <v>8000.0</v>
      </c>
      <c r="O1038" s="15"/>
      <c r="P1038" s="17">
        <f>IF(N1038&gt;0, O1038/N1038, 0)</f>
        <v>0</v>
      </c>
      <c r="Q1038" s="15">
        <f>N1038-O1038</f>
        <v>8000</v>
      </c>
      <c r="R1038" s="15">
        <f>M1038*N1038</f>
        <v>8000</v>
      </c>
      <c r="S1038" s="15">
        <f>M1038*O1038</f>
        <v>0</v>
      </c>
      <c r="T1038" s="15">
        <f>M1038*Q1038</f>
        <v>8000</v>
      </c>
      <c r="U1038" s="15"/>
      <c r="V1038" s="15">
        <f>M1038*U1038</f>
        <v>0</v>
      </c>
      <c r="W1038" s="15">
        <f>T1038-V1038</f>
        <v>8000</v>
      </c>
      <c r="X1038" s="17">
        <f>IF(T1038&gt;0, W1038/T1038, 0)</f>
        <v>1</v>
      </c>
      <c r="Y1038" s="8" t="s">
        <v>41</v>
      </c>
      <c r="Z1038" s="10" t="s">
        <v>42</v>
      </c>
      <c r="AA1038" s="10" t="s">
        <v>43</v>
      </c>
      <c r="AB1038" s="10" t="s">
        <v>44</v>
      </c>
      <c r="AC1038" s="8" t="s">
        <v>44</v>
      </c>
    </row>
    <row r="1039" spans="1:29">
      <c r="A1039" s="11">
        <v>1032</v>
      </c>
      <c r="B1039" s="11" t="s">
        <v>1345</v>
      </c>
      <c r="C1039" s="11" t="s">
        <v>1339</v>
      </c>
      <c r="D1039" s="11" t="s">
        <v>655</v>
      </c>
      <c r="E1039" s="11" t="s">
        <v>34</v>
      </c>
      <c r="F1039" s="11" t="s">
        <v>35</v>
      </c>
      <c r="G1039" s="9" t="s">
        <v>52</v>
      </c>
      <c r="H1039" s="9" t="s">
        <v>71</v>
      </c>
      <c r="I1039" s="9" t="s">
        <v>71</v>
      </c>
      <c r="J1039" s="11">
        <v>152</v>
      </c>
      <c r="K1039" s="11" t="s">
        <v>353</v>
      </c>
      <c r="L1039" s="11" t="s">
        <v>40</v>
      </c>
      <c r="M1039" s="13">
        <v>1</v>
      </c>
      <c r="N1039" s="16">
        <v>17000.0</v>
      </c>
      <c r="O1039" s="16"/>
      <c r="P1039" s="18">
        <f>IF(N1039&gt;0, O1039/N1039, 0)</f>
        <v>0</v>
      </c>
      <c r="Q1039" s="16">
        <f>N1039-O1039</f>
        <v>17000</v>
      </c>
      <c r="R1039" s="16">
        <f>M1039*N1039</f>
        <v>17000</v>
      </c>
      <c r="S1039" s="16">
        <f>M1039*O1039</f>
        <v>0</v>
      </c>
      <c r="T1039" s="16">
        <f>M1039*Q1039</f>
        <v>17000</v>
      </c>
      <c r="U1039" s="16"/>
      <c r="V1039" s="16">
        <f>M1039*U1039</f>
        <v>0</v>
      </c>
      <c r="W1039" s="16">
        <f>T1039-V1039</f>
        <v>17000</v>
      </c>
      <c r="X1039" s="18">
        <f>IF(T1039&gt;0, W1039/T1039, 0)</f>
        <v>1</v>
      </c>
      <c r="Y1039" s="9" t="s">
        <v>41</v>
      </c>
      <c r="Z1039" s="11" t="s">
        <v>42</v>
      </c>
      <c r="AA1039" s="11" t="s">
        <v>43</v>
      </c>
      <c r="AB1039" s="11" t="s">
        <v>44</v>
      </c>
      <c r="AC1039" s="9" t="s">
        <v>44</v>
      </c>
    </row>
    <row r="1040" spans="1:29">
      <c r="A1040" s="10">
        <v>1033</v>
      </c>
      <c r="B1040" s="10" t="s">
        <v>1346</v>
      </c>
      <c r="C1040" s="10" t="s">
        <v>1339</v>
      </c>
      <c r="D1040" s="10" t="s">
        <v>655</v>
      </c>
      <c r="E1040" s="10" t="s">
        <v>34</v>
      </c>
      <c r="F1040" s="10" t="s">
        <v>35</v>
      </c>
      <c r="G1040" s="8" t="s">
        <v>52</v>
      </c>
      <c r="H1040" s="8" t="s">
        <v>58</v>
      </c>
      <c r="I1040" s="8" t="s">
        <v>58</v>
      </c>
      <c r="J1040" s="10">
        <v>152</v>
      </c>
      <c r="K1040" s="10" t="s">
        <v>314</v>
      </c>
      <c r="L1040" s="10" t="s">
        <v>40</v>
      </c>
      <c r="M1040" s="12">
        <v>1</v>
      </c>
      <c r="N1040" s="15">
        <v>7000.0</v>
      </c>
      <c r="O1040" s="15"/>
      <c r="P1040" s="17">
        <f>IF(N1040&gt;0, O1040/N1040, 0)</f>
        <v>0</v>
      </c>
      <c r="Q1040" s="15">
        <f>N1040-O1040</f>
        <v>7000</v>
      </c>
      <c r="R1040" s="15">
        <f>M1040*N1040</f>
        <v>7000</v>
      </c>
      <c r="S1040" s="15">
        <f>M1040*O1040</f>
        <v>0</v>
      </c>
      <c r="T1040" s="15">
        <f>M1040*Q1040</f>
        <v>7000</v>
      </c>
      <c r="U1040" s="15"/>
      <c r="V1040" s="15">
        <f>M1040*U1040</f>
        <v>0</v>
      </c>
      <c r="W1040" s="15">
        <f>T1040-V1040</f>
        <v>7000</v>
      </c>
      <c r="X1040" s="17">
        <f>IF(T1040&gt;0, W1040/T1040, 0)</f>
        <v>1</v>
      </c>
      <c r="Y1040" s="8" t="s">
        <v>41</v>
      </c>
      <c r="Z1040" s="10" t="s">
        <v>42</v>
      </c>
      <c r="AA1040" s="10" t="s">
        <v>43</v>
      </c>
      <c r="AB1040" s="10" t="s">
        <v>44</v>
      </c>
      <c r="AC1040" s="8" t="s">
        <v>44</v>
      </c>
    </row>
    <row r="1041" spans="1:29">
      <c r="A1041" s="11">
        <v>1034</v>
      </c>
      <c r="B1041" s="11" t="s">
        <v>1347</v>
      </c>
      <c r="C1041" s="11" t="s">
        <v>1339</v>
      </c>
      <c r="D1041" s="11" t="s">
        <v>655</v>
      </c>
      <c r="E1041" s="11" t="s">
        <v>34</v>
      </c>
      <c r="F1041" s="11" t="s">
        <v>35</v>
      </c>
      <c r="G1041" s="9" t="s">
        <v>52</v>
      </c>
      <c r="H1041" s="9" t="s">
        <v>65</v>
      </c>
      <c r="I1041" s="9" t="s">
        <v>151</v>
      </c>
      <c r="J1041" s="11">
        <v>152</v>
      </c>
      <c r="K1041" s="11" t="s">
        <v>254</v>
      </c>
      <c r="L1041" s="11" t="s">
        <v>40</v>
      </c>
      <c r="M1041" s="13">
        <v>1</v>
      </c>
      <c r="N1041" s="16">
        <v>9000.0</v>
      </c>
      <c r="O1041" s="16"/>
      <c r="P1041" s="18">
        <f>IF(N1041&gt;0, O1041/N1041, 0)</f>
        <v>0</v>
      </c>
      <c r="Q1041" s="16">
        <f>N1041-O1041</f>
        <v>9000</v>
      </c>
      <c r="R1041" s="16">
        <f>M1041*N1041</f>
        <v>9000</v>
      </c>
      <c r="S1041" s="16">
        <f>M1041*O1041</f>
        <v>0</v>
      </c>
      <c r="T1041" s="16">
        <f>M1041*Q1041</f>
        <v>9000</v>
      </c>
      <c r="U1041" s="16"/>
      <c r="V1041" s="16">
        <f>M1041*U1041</f>
        <v>0</v>
      </c>
      <c r="W1041" s="16">
        <f>T1041-V1041</f>
        <v>9000</v>
      </c>
      <c r="X1041" s="18">
        <f>IF(T1041&gt;0, W1041/T1041, 0)</f>
        <v>1</v>
      </c>
      <c r="Y1041" s="9" t="s">
        <v>41</v>
      </c>
      <c r="Z1041" s="11" t="s">
        <v>42</v>
      </c>
      <c r="AA1041" s="11" t="s">
        <v>43</v>
      </c>
      <c r="AB1041" s="11" t="s">
        <v>44</v>
      </c>
      <c r="AC1041" s="9" t="s">
        <v>44</v>
      </c>
    </row>
    <row r="1042" spans="1:29">
      <c r="A1042" s="10">
        <v>1035</v>
      </c>
      <c r="B1042" s="10" t="s">
        <v>1348</v>
      </c>
      <c r="C1042" s="10" t="s">
        <v>1339</v>
      </c>
      <c r="D1042" s="10" t="s">
        <v>655</v>
      </c>
      <c r="E1042" s="10" t="s">
        <v>34</v>
      </c>
      <c r="F1042" s="10" t="s">
        <v>35</v>
      </c>
      <c r="G1042" s="8" t="s">
        <v>52</v>
      </c>
      <c r="H1042" s="8" t="s">
        <v>53</v>
      </c>
      <c r="I1042" s="8" t="s">
        <v>53</v>
      </c>
      <c r="J1042" s="10">
        <v>164</v>
      </c>
      <c r="K1042" s="10" t="s">
        <v>407</v>
      </c>
      <c r="L1042" s="10" t="s">
        <v>55</v>
      </c>
      <c r="M1042" s="12">
        <v>1</v>
      </c>
      <c r="N1042" s="15">
        <v>8000.0</v>
      </c>
      <c r="O1042" s="15"/>
      <c r="P1042" s="17">
        <f>IF(N1042&gt;0, O1042/N1042, 0)</f>
        <v>0</v>
      </c>
      <c r="Q1042" s="15">
        <f>N1042-O1042</f>
        <v>8000</v>
      </c>
      <c r="R1042" s="15">
        <f>M1042*N1042</f>
        <v>8000</v>
      </c>
      <c r="S1042" s="15">
        <f>M1042*O1042</f>
        <v>0</v>
      </c>
      <c r="T1042" s="15">
        <f>M1042*Q1042</f>
        <v>8000</v>
      </c>
      <c r="U1042" s="15"/>
      <c r="V1042" s="15">
        <f>M1042*U1042</f>
        <v>0</v>
      </c>
      <c r="W1042" s="15">
        <f>T1042-V1042</f>
        <v>8000</v>
      </c>
      <c r="X1042" s="17">
        <f>IF(T1042&gt;0, W1042/T1042, 0)</f>
        <v>1</v>
      </c>
      <c r="Y1042" s="8" t="s">
        <v>41</v>
      </c>
      <c r="Z1042" s="10" t="s">
        <v>42</v>
      </c>
      <c r="AA1042" s="10" t="s">
        <v>43</v>
      </c>
      <c r="AB1042" s="10" t="s">
        <v>44</v>
      </c>
      <c r="AC1042" s="8" t="s">
        <v>44</v>
      </c>
    </row>
    <row r="1043" spans="1:29">
      <c r="A1043" s="11">
        <v>1036</v>
      </c>
      <c r="B1043" s="11" t="s">
        <v>1349</v>
      </c>
      <c r="C1043" s="11" t="s">
        <v>1339</v>
      </c>
      <c r="D1043" s="11" t="s">
        <v>655</v>
      </c>
      <c r="E1043" s="11" t="s">
        <v>34</v>
      </c>
      <c r="F1043" s="11" t="s">
        <v>35</v>
      </c>
      <c r="G1043" s="9" t="s">
        <v>52</v>
      </c>
      <c r="H1043" s="9" t="s">
        <v>37</v>
      </c>
      <c r="I1043" s="9" t="s">
        <v>38</v>
      </c>
      <c r="J1043" s="11">
        <v>158</v>
      </c>
      <c r="K1043" s="11" t="s">
        <v>132</v>
      </c>
      <c r="L1043" s="11" t="s">
        <v>55</v>
      </c>
      <c r="M1043" s="13">
        <v>1</v>
      </c>
      <c r="N1043" s="16">
        <v>7000.0</v>
      </c>
      <c r="O1043" s="16"/>
      <c r="P1043" s="18">
        <f>IF(N1043&gt;0, O1043/N1043, 0)</f>
        <v>0</v>
      </c>
      <c r="Q1043" s="16">
        <f>N1043-O1043</f>
        <v>7000</v>
      </c>
      <c r="R1043" s="16">
        <f>M1043*N1043</f>
        <v>7000</v>
      </c>
      <c r="S1043" s="16">
        <f>M1043*O1043</f>
        <v>0</v>
      </c>
      <c r="T1043" s="16">
        <f>M1043*Q1043</f>
        <v>7000</v>
      </c>
      <c r="U1043" s="16"/>
      <c r="V1043" s="16">
        <f>M1043*U1043</f>
        <v>0</v>
      </c>
      <c r="W1043" s="16">
        <f>T1043-V1043</f>
        <v>7000</v>
      </c>
      <c r="X1043" s="18">
        <f>IF(T1043&gt;0, W1043/T1043, 0)</f>
        <v>1</v>
      </c>
      <c r="Y1043" s="9" t="s">
        <v>41</v>
      </c>
      <c r="Z1043" s="11" t="s">
        <v>42</v>
      </c>
      <c r="AA1043" s="11" t="s">
        <v>43</v>
      </c>
      <c r="AB1043" s="11" t="s">
        <v>44</v>
      </c>
      <c r="AC1043" s="9" t="s">
        <v>44</v>
      </c>
    </row>
    <row r="1044" spans="1:29">
      <c r="A1044" s="10">
        <v>1037</v>
      </c>
      <c r="B1044" s="10" t="s">
        <v>1350</v>
      </c>
      <c r="C1044" s="10" t="s">
        <v>1339</v>
      </c>
      <c r="D1044" s="10" t="s">
        <v>655</v>
      </c>
      <c r="E1044" s="10" t="s">
        <v>34</v>
      </c>
      <c r="F1044" s="10" t="s">
        <v>35</v>
      </c>
      <c r="G1044" s="8" t="s">
        <v>52</v>
      </c>
      <c r="H1044" s="8" t="s">
        <v>71</v>
      </c>
      <c r="I1044" s="8" t="s">
        <v>71</v>
      </c>
      <c r="J1044" s="10">
        <v>152</v>
      </c>
      <c r="K1044" s="10" t="s">
        <v>353</v>
      </c>
      <c r="L1044" s="10" t="s">
        <v>40</v>
      </c>
      <c r="M1044" s="12">
        <v>1</v>
      </c>
      <c r="N1044" s="15">
        <v>16000.0</v>
      </c>
      <c r="O1044" s="15"/>
      <c r="P1044" s="17">
        <f>IF(N1044&gt;0, O1044/N1044, 0)</f>
        <v>0</v>
      </c>
      <c r="Q1044" s="15">
        <f>N1044-O1044</f>
        <v>16000</v>
      </c>
      <c r="R1044" s="15">
        <f>M1044*N1044</f>
        <v>16000</v>
      </c>
      <c r="S1044" s="15">
        <f>M1044*O1044</f>
        <v>0</v>
      </c>
      <c r="T1044" s="15">
        <f>M1044*Q1044</f>
        <v>16000</v>
      </c>
      <c r="U1044" s="15"/>
      <c r="V1044" s="15">
        <f>M1044*U1044</f>
        <v>0</v>
      </c>
      <c r="W1044" s="15">
        <f>T1044-V1044</f>
        <v>16000</v>
      </c>
      <c r="X1044" s="17">
        <f>IF(T1044&gt;0, W1044/T1044, 0)</f>
        <v>1</v>
      </c>
      <c r="Y1044" s="8" t="s">
        <v>41</v>
      </c>
      <c r="Z1044" s="10" t="s">
        <v>42</v>
      </c>
      <c r="AA1044" s="10" t="s">
        <v>43</v>
      </c>
      <c r="AB1044" s="10" t="s">
        <v>44</v>
      </c>
      <c r="AC1044" s="8" t="s">
        <v>44</v>
      </c>
    </row>
    <row r="1045" spans="1:29">
      <c r="A1045" s="11">
        <v>1038</v>
      </c>
      <c r="B1045" s="11" t="s">
        <v>1351</v>
      </c>
      <c r="C1045" s="11" t="s">
        <v>1339</v>
      </c>
      <c r="D1045" s="11" t="s">
        <v>655</v>
      </c>
      <c r="E1045" s="11" t="s">
        <v>34</v>
      </c>
      <c r="F1045" s="11" t="s">
        <v>35</v>
      </c>
      <c r="G1045" s="9" t="s">
        <v>52</v>
      </c>
      <c r="H1045" s="9" t="s">
        <v>71</v>
      </c>
      <c r="I1045" s="9" t="s">
        <v>71</v>
      </c>
      <c r="J1045" s="11">
        <v>140</v>
      </c>
      <c r="K1045" s="11" t="s">
        <v>228</v>
      </c>
      <c r="L1045" s="11" t="s">
        <v>40</v>
      </c>
      <c r="M1045" s="13">
        <v>1</v>
      </c>
      <c r="N1045" s="16">
        <v>16000.0</v>
      </c>
      <c r="O1045" s="16"/>
      <c r="P1045" s="18">
        <f>IF(N1045&gt;0, O1045/N1045, 0)</f>
        <v>0</v>
      </c>
      <c r="Q1045" s="16">
        <f>N1045-O1045</f>
        <v>16000</v>
      </c>
      <c r="R1045" s="16">
        <f>M1045*N1045</f>
        <v>16000</v>
      </c>
      <c r="S1045" s="16">
        <f>M1045*O1045</f>
        <v>0</v>
      </c>
      <c r="T1045" s="16">
        <f>M1045*Q1045</f>
        <v>16000</v>
      </c>
      <c r="U1045" s="16"/>
      <c r="V1045" s="16">
        <f>M1045*U1045</f>
        <v>0</v>
      </c>
      <c r="W1045" s="16">
        <f>T1045-V1045</f>
        <v>16000</v>
      </c>
      <c r="X1045" s="18">
        <f>IF(T1045&gt;0, W1045/T1045, 0)</f>
        <v>1</v>
      </c>
      <c r="Y1045" s="9" t="s">
        <v>41</v>
      </c>
      <c r="Z1045" s="11" t="s">
        <v>42</v>
      </c>
      <c r="AA1045" s="11" t="s">
        <v>43</v>
      </c>
      <c r="AB1045" s="11" t="s">
        <v>44</v>
      </c>
      <c r="AC1045" s="9" t="s">
        <v>44</v>
      </c>
    </row>
    <row r="1046" spans="1:29">
      <c r="A1046" s="10">
        <v>1039</v>
      </c>
      <c r="B1046" s="10" t="s">
        <v>1352</v>
      </c>
      <c r="C1046" s="10" t="s">
        <v>1339</v>
      </c>
      <c r="D1046" s="10" t="s">
        <v>655</v>
      </c>
      <c r="E1046" s="10" t="s">
        <v>34</v>
      </c>
      <c r="F1046" s="10" t="s">
        <v>35</v>
      </c>
      <c r="G1046" s="8" t="s">
        <v>52</v>
      </c>
      <c r="H1046" s="8" t="s">
        <v>65</v>
      </c>
      <c r="I1046" s="8" t="s">
        <v>151</v>
      </c>
      <c r="J1046" s="10">
        <v>152</v>
      </c>
      <c r="K1046" s="10" t="s">
        <v>254</v>
      </c>
      <c r="L1046" s="10" t="s">
        <v>40</v>
      </c>
      <c r="M1046" s="12">
        <v>1</v>
      </c>
      <c r="N1046" s="15">
        <v>9000.0</v>
      </c>
      <c r="O1046" s="15"/>
      <c r="P1046" s="17">
        <f>IF(N1046&gt;0, O1046/N1046, 0)</f>
        <v>0</v>
      </c>
      <c r="Q1046" s="15">
        <f>N1046-O1046</f>
        <v>9000</v>
      </c>
      <c r="R1046" s="15">
        <f>M1046*N1046</f>
        <v>9000</v>
      </c>
      <c r="S1046" s="15">
        <f>M1046*O1046</f>
        <v>0</v>
      </c>
      <c r="T1046" s="15">
        <f>M1046*Q1046</f>
        <v>9000</v>
      </c>
      <c r="U1046" s="15"/>
      <c r="V1046" s="15">
        <f>M1046*U1046</f>
        <v>0</v>
      </c>
      <c r="W1046" s="15">
        <f>T1046-V1046</f>
        <v>9000</v>
      </c>
      <c r="X1046" s="17">
        <f>IF(T1046&gt;0, W1046/T1046, 0)</f>
        <v>1</v>
      </c>
      <c r="Y1046" s="8" t="s">
        <v>41</v>
      </c>
      <c r="Z1046" s="10" t="s">
        <v>42</v>
      </c>
      <c r="AA1046" s="10" t="s">
        <v>43</v>
      </c>
      <c r="AB1046" s="10" t="s">
        <v>44</v>
      </c>
      <c r="AC1046" s="8" t="s">
        <v>44</v>
      </c>
    </row>
    <row r="1047" spans="1:29">
      <c r="A1047" s="11">
        <v>1040</v>
      </c>
      <c r="B1047" s="11" t="s">
        <v>1353</v>
      </c>
      <c r="C1047" s="11" t="s">
        <v>1339</v>
      </c>
      <c r="D1047" s="11" t="s">
        <v>655</v>
      </c>
      <c r="E1047" s="11" t="s">
        <v>34</v>
      </c>
      <c r="F1047" s="11" t="s">
        <v>35</v>
      </c>
      <c r="G1047" s="9" t="s">
        <v>52</v>
      </c>
      <c r="H1047" s="9" t="s">
        <v>58</v>
      </c>
      <c r="I1047" s="9" t="s">
        <v>58</v>
      </c>
      <c r="J1047" s="11">
        <v>140</v>
      </c>
      <c r="K1047" s="11" t="s">
        <v>600</v>
      </c>
      <c r="L1047" s="11" t="s">
        <v>40</v>
      </c>
      <c r="M1047" s="13">
        <v>1</v>
      </c>
      <c r="N1047" s="16">
        <v>7000.0</v>
      </c>
      <c r="O1047" s="16"/>
      <c r="P1047" s="18">
        <f>IF(N1047&gt;0, O1047/N1047, 0)</f>
        <v>0</v>
      </c>
      <c r="Q1047" s="16">
        <f>N1047-O1047</f>
        <v>7000</v>
      </c>
      <c r="R1047" s="16">
        <f>M1047*N1047</f>
        <v>7000</v>
      </c>
      <c r="S1047" s="16">
        <f>M1047*O1047</f>
        <v>0</v>
      </c>
      <c r="T1047" s="16">
        <f>M1047*Q1047</f>
        <v>7000</v>
      </c>
      <c r="U1047" s="16"/>
      <c r="V1047" s="16">
        <f>M1047*U1047</f>
        <v>0</v>
      </c>
      <c r="W1047" s="16">
        <f>T1047-V1047</f>
        <v>7000</v>
      </c>
      <c r="X1047" s="18">
        <f>IF(T1047&gt;0, W1047/T1047, 0)</f>
        <v>1</v>
      </c>
      <c r="Y1047" s="9" t="s">
        <v>41</v>
      </c>
      <c r="Z1047" s="11" t="s">
        <v>42</v>
      </c>
      <c r="AA1047" s="11" t="s">
        <v>43</v>
      </c>
      <c r="AB1047" s="11" t="s">
        <v>44</v>
      </c>
      <c r="AC1047" s="9" t="s">
        <v>44</v>
      </c>
    </row>
    <row r="1048" spans="1:29">
      <c r="A1048" s="10">
        <v>1041</v>
      </c>
      <c r="B1048" s="10" t="s">
        <v>1354</v>
      </c>
      <c r="C1048" s="10" t="s">
        <v>1339</v>
      </c>
      <c r="D1048" s="10" t="s">
        <v>655</v>
      </c>
      <c r="E1048" s="10" t="s">
        <v>34</v>
      </c>
      <c r="F1048" s="10" t="s">
        <v>35</v>
      </c>
      <c r="G1048" s="8" t="s">
        <v>52</v>
      </c>
      <c r="H1048" s="8" t="s">
        <v>58</v>
      </c>
      <c r="I1048" s="8" t="s">
        <v>58</v>
      </c>
      <c r="J1048" s="10">
        <v>152</v>
      </c>
      <c r="K1048" s="10" t="s">
        <v>314</v>
      </c>
      <c r="L1048" s="10" t="s">
        <v>40</v>
      </c>
      <c r="M1048" s="12">
        <v>1</v>
      </c>
      <c r="N1048" s="15">
        <v>7000.0</v>
      </c>
      <c r="O1048" s="15"/>
      <c r="P1048" s="17">
        <f>IF(N1048&gt;0, O1048/N1048, 0)</f>
        <v>0</v>
      </c>
      <c r="Q1048" s="15">
        <f>N1048-O1048</f>
        <v>7000</v>
      </c>
      <c r="R1048" s="15">
        <f>M1048*N1048</f>
        <v>7000</v>
      </c>
      <c r="S1048" s="15">
        <f>M1048*O1048</f>
        <v>0</v>
      </c>
      <c r="T1048" s="15">
        <f>M1048*Q1048</f>
        <v>7000</v>
      </c>
      <c r="U1048" s="15"/>
      <c r="V1048" s="15">
        <f>M1048*U1048</f>
        <v>0</v>
      </c>
      <c r="W1048" s="15">
        <f>T1048-V1048</f>
        <v>7000</v>
      </c>
      <c r="X1048" s="17">
        <f>IF(T1048&gt;0, W1048/T1048, 0)</f>
        <v>1</v>
      </c>
      <c r="Y1048" s="8" t="s">
        <v>41</v>
      </c>
      <c r="Z1048" s="10" t="s">
        <v>42</v>
      </c>
      <c r="AA1048" s="10" t="s">
        <v>43</v>
      </c>
      <c r="AB1048" s="10" t="s">
        <v>44</v>
      </c>
      <c r="AC1048" s="8" t="s">
        <v>44</v>
      </c>
    </row>
    <row r="1049" spans="1:29">
      <c r="A1049" s="11">
        <v>1042</v>
      </c>
      <c r="B1049" s="11" t="s">
        <v>1355</v>
      </c>
      <c r="C1049" s="11" t="s">
        <v>1339</v>
      </c>
      <c r="D1049" s="11" t="s">
        <v>655</v>
      </c>
      <c r="E1049" s="11" t="s">
        <v>34</v>
      </c>
      <c r="F1049" s="11" t="s">
        <v>35</v>
      </c>
      <c r="G1049" s="9" t="s">
        <v>52</v>
      </c>
      <c r="H1049" s="9" t="s">
        <v>53</v>
      </c>
      <c r="I1049" s="9" t="s">
        <v>53</v>
      </c>
      <c r="J1049" s="11">
        <v>134</v>
      </c>
      <c r="K1049" s="11" t="s">
        <v>178</v>
      </c>
      <c r="L1049" s="11" t="s">
        <v>55</v>
      </c>
      <c r="M1049" s="13">
        <v>1</v>
      </c>
      <c r="N1049" s="16">
        <v>8000.0</v>
      </c>
      <c r="O1049" s="16"/>
      <c r="P1049" s="18">
        <f>IF(N1049&gt;0, O1049/N1049, 0)</f>
        <v>0</v>
      </c>
      <c r="Q1049" s="16">
        <f>N1049-O1049</f>
        <v>8000</v>
      </c>
      <c r="R1049" s="16">
        <f>M1049*N1049</f>
        <v>8000</v>
      </c>
      <c r="S1049" s="16">
        <f>M1049*O1049</f>
        <v>0</v>
      </c>
      <c r="T1049" s="16">
        <f>M1049*Q1049</f>
        <v>8000</v>
      </c>
      <c r="U1049" s="16"/>
      <c r="V1049" s="16">
        <f>M1049*U1049</f>
        <v>0</v>
      </c>
      <c r="W1049" s="16">
        <f>T1049-V1049</f>
        <v>8000</v>
      </c>
      <c r="X1049" s="18">
        <f>IF(T1049&gt;0, W1049/T1049, 0)</f>
        <v>1</v>
      </c>
      <c r="Y1049" s="9" t="s">
        <v>41</v>
      </c>
      <c r="Z1049" s="11" t="s">
        <v>42</v>
      </c>
      <c r="AA1049" s="11" t="s">
        <v>43</v>
      </c>
      <c r="AB1049" s="11" t="s">
        <v>44</v>
      </c>
      <c r="AC1049" s="9" t="s">
        <v>44</v>
      </c>
    </row>
    <row r="1050" spans="1:29">
      <c r="A1050" s="10">
        <v>1043</v>
      </c>
      <c r="B1050" s="10" t="s">
        <v>1356</v>
      </c>
      <c r="C1050" s="10" t="s">
        <v>1339</v>
      </c>
      <c r="D1050" s="10" t="s">
        <v>655</v>
      </c>
      <c r="E1050" s="10" t="s">
        <v>34</v>
      </c>
      <c r="F1050" s="10" t="s">
        <v>35</v>
      </c>
      <c r="G1050" s="8" t="s">
        <v>52</v>
      </c>
      <c r="H1050" s="8" t="s">
        <v>53</v>
      </c>
      <c r="I1050" s="8" t="s">
        <v>53</v>
      </c>
      <c r="J1050" s="10">
        <v>146</v>
      </c>
      <c r="K1050" s="10" t="s">
        <v>257</v>
      </c>
      <c r="L1050" s="10" t="s">
        <v>55</v>
      </c>
      <c r="M1050" s="12">
        <v>1</v>
      </c>
      <c r="N1050" s="15">
        <v>8000.0</v>
      </c>
      <c r="O1050" s="15"/>
      <c r="P1050" s="17">
        <f>IF(N1050&gt;0, O1050/N1050, 0)</f>
        <v>0</v>
      </c>
      <c r="Q1050" s="15">
        <f>N1050-O1050</f>
        <v>8000</v>
      </c>
      <c r="R1050" s="15">
        <f>M1050*N1050</f>
        <v>8000</v>
      </c>
      <c r="S1050" s="15">
        <f>M1050*O1050</f>
        <v>0</v>
      </c>
      <c r="T1050" s="15">
        <f>M1050*Q1050</f>
        <v>8000</v>
      </c>
      <c r="U1050" s="15"/>
      <c r="V1050" s="15">
        <f>M1050*U1050</f>
        <v>0</v>
      </c>
      <c r="W1050" s="15">
        <f>T1050-V1050</f>
        <v>8000</v>
      </c>
      <c r="X1050" s="17">
        <f>IF(T1050&gt;0, W1050/T1050, 0)</f>
        <v>1</v>
      </c>
      <c r="Y1050" s="8" t="s">
        <v>41</v>
      </c>
      <c r="Z1050" s="10" t="s">
        <v>42</v>
      </c>
      <c r="AA1050" s="10" t="s">
        <v>43</v>
      </c>
      <c r="AB1050" s="10" t="s">
        <v>44</v>
      </c>
      <c r="AC1050" s="8" t="s">
        <v>44</v>
      </c>
    </row>
    <row r="1051" spans="1:29">
      <c r="A1051" s="11">
        <v>1044</v>
      </c>
      <c r="B1051" s="11" t="s">
        <v>1357</v>
      </c>
      <c r="C1051" s="11" t="s">
        <v>1339</v>
      </c>
      <c r="D1051" s="11" t="s">
        <v>655</v>
      </c>
      <c r="E1051" s="11" t="s">
        <v>34</v>
      </c>
      <c r="F1051" s="11" t="s">
        <v>35</v>
      </c>
      <c r="G1051" s="9" t="s">
        <v>52</v>
      </c>
      <c r="H1051" s="9" t="s">
        <v>37</v>
      </c>
      <c r="I1051" s="9" t="s">
        <v>38</v>
      </c>
      <c r="J1051" s="11">
        <v>152</v>
      </c>
      <c r="K1051" s="11" t="s">
        <v>154</v>
      </c>
      <c r="L1051" s="11" t="s">
        <v>55</v>
      </c>
      <c r="M1051" s="13">
        <v>3</v>
      </c>
      <c r="N1051" s="16">
        <v>7000.0</v>
      </c>
      <c r="O1051" s="16"/>
      <c r="P1051" s="18">
        <f>IF(N1051&gt;0, O1051/N1051, 0)</f>
        <v>0</v>
      </c>
      <c r="Q1051" s="16">
        <f>N1051-O1051</f>
        <v>7000</v>
      </c>
      <c r="R1051" s="16">
        <f>M1051*N1051</f>
        <v>21000</v>
      </c>
      <c r="S1051" s="16">
        <f>M1051*O1051</f>
        <v>0</v>
      </c>
      <c r="T1051" s="16">
        <f>M1051*Q1051</f>
        <v>21000</v>
      </c>
      <c r="U1051" s="16"/>
      <c r="V1051" s="16">
        <f>M1051*U1051</f>
        <v>0</v>
      </c>
      <c r="W1051" s="16">
        <f>T1051-V1051</f>
        <v>21000</v>
      </c>
      <c r="X1051" s="18">
        <f>IF(T1051&gt;0, W1051/T1051, 0)</f>
        <v>1</v>
      </c>
      <c r="Y1051" s="9" t="s">
        <v>41</v>
      </c>
      <c r="Z1051" s="11" t="s">
        <v>42</v>
      </c>
      <c r="AA1051" s="11" t="s">
        <v>43</v>
      </c>
      <c r="AB1051" s="11" t="s">
        <v>44</v>
      </c>
      <c r="AC1051" s="9" t="s">
        <v>44</v>
      </c>
    </row>
    <row r="1052" spans="1:29">
      <c r="A1052" s="10">
        <v>1045</v>
      </c>
      <c r="B1052" s="10" t="s">
        <v>1358</v>
      </c>
      <c r="C1052" s="10" t="s">
        <v>1339</v>
      </c>
      <c r="D1052" s="10" t="s">
        <v>655</v>
      </c>
      <c r="E1052" s="10" t="s">
        <v>34</v>
      </c>
      <c r="F1052" s="10" t="s">
        <v>35</v>
      </c>
      <c r="G1052" s="8" t="s">
        <v>52</v>
      </c>
      <c r="H1052" s="8" t="s">
        <v>37</v>
      </c>
      <c r="I1052" s="8" t="s">
        <v>38</v>
      </c>
      <c r="J1052" s="10">
        <v>140</v>
      </c>
      <c r="K1052" s="10" t="s">
        <v>226</v>
      </c>
      <c r="L1052" s="10" t="s">
        <v>55</v>
      </c>
      <c r="M1052" s="12">
        <v>3</v>
      </c>
      <c r="N1052" s="15">
        <v>7000.0</v>
      </c>
      <c r="O1052" s="15"/>
      <c r="P1052" s="17">
        <f>IF(N1052&gt;0, O1052/N1052, 0)</f>
        <v>0</v>
      </c>
      <c r="Q1052" s="15">
        <f>N1052-O1052</f>
        <v>7000</v>
      </c>
      <c r="R1052" s="15">
        <f>M1052*N1052</f>
        <v>21000</v>
      </c>
      <c r="S1052" s="15">
        <f>M1052*O1052</f>
        <v>0</v>
      </c>
      <c r="T1052" s="15">
        <f>M1052*Q1052</f>
        <v>21000</v>
      </c>
      <c r="U1052" s="15"/>
      <c r="V1052" s="15">
        <f>M1052*U1052</f>
        <v>0</v>
      </c>
      <c r="W1052" s="15">
        <f>T1052-V1052</f>
        <v>21000</v>
      </c>
      <c r="X1052" s="17">
        <f>IF(T1052&gt;0, W1052/T1052, 0)</f>
        <v>1</v>
      </c>
      <c r="Y1052" s="8" t="s">
        <v>41</v>
      </c>
      <c r="Z1052" s="10" t="s">
        <v>42</v>
      </c>
      <c r="AA1052" s="10" t="s">
        <v>43</v>
      </c>
      <c r="AB1052" s="10" t="s">
        <v>44</v>
      </c>
      <c r="AC1052" s="8" t="s">
        <v>44</v>
      </c>
    </row>
    <row r="1053" spans="1:29">
      <c r="A1053" s="11">
        <v>1046</v>
      </c>
      <c r="B1053" s="11" t="s">
        <v>1359</v>
      </c>
      <c r="C1053" s="11" t="s">
        <v>1339</v>
      </c>
      <c r="D1053" s="11" t="s">
        <v>655</v>
      </c>
      <c r="E1053" s="11" t="s">
        <v>70</v>
      </c>
      <c r="F1053" s="11" t="s">
        <v>35</v>
      </c>
      <c r="G1053" s="9" t="s">
        <v>52</v>
      </c>
      <c r="H1053" s="9" t="s">
        <v>58</v>
      </c>
      <c r="I1053" s="9" t="s">
        <v>58</v>
      </c>
      <c r="J1053" s="11">
        <v>134</v>
      </c>
      <c r="K1053" s="11" t="s">
        <v>284</v>
      </c>
      <c r="L1053" s="11" t="s">
        <v>40</v>
      </c>
      <c r="M1053" s="13">
        <v>1</v>
      </c>
      <c r="N1053" s="16">
        <v>8000.0</v>
      </c>
      <c r="O1053" s="16"/>
      <c r="P1053" s="18">
        <f>IF(N1053&gt;0, O1053/N1053, 0)</f>
        <v>0</v>
      </c>
      <c r="Q1053" s="16">
        <f>N1053-O1053</f>
        <v>8000</v>
      </c>
      <c r="R1053" s="16">
        <f>M1053*N1053</f>
        <v>8000</v>
      </c>
      <c r="S1053" s="16">
        <f>M1053*O1053</f>
        <v>0</v>
      </c>
      <c r="T1053" s="16">
        <f>M1053*Q1053</f>
        <v>8000</v>
      </c>
      <c r="U1053" s="16"/>
      <c r="V1053" s="16">
        <f>M1053*U1053</f>
        <v>0</v>
      </c>
      <c r="W1053" s="16">
        <f>T1053-V1053</f>
        <v>8000</v>
      </c>
      <c r="X1053" s="18">
        <f>IF(T1053&gt;0, W1053/T1053, 0)</f>
        <v>1</v>
      </c>
      <c r="Y1053" s="9" t="s">
        <v>41</v>
      </c>
      <c r="Z1053" s="11" t="s">
        <v>42</v>
      </c>
      <c r="AA1053" s="11" t="s">
        <v>73</v>
      </c>
      <c r="AB1053" s="11" t="s">
        <v>44</v>
      </c>
      <c r="AC1053" s="9" t="s">
        <v>44</v>
      </c>
    </row>
    <row r="1054" spans="1:29">
      <c r="A1054" s="10">
        <v>1047</v>
      </c>
      <c r="B1054" s="10" t="s">
        <v>1360</v>
      </c>
      <c r="C1054" s="10" t="s">
        <v>1339</v>
      </c>
      <c r="D1054" s="10" t="s">
        <v>655</v>
      </c>
      <c r="E1054" s="10" t="s">
        <v>34</v>
      </c>
      <c r="F1054" s="10" t="s">
        <v>35</v>
      </c>
      <c r="G1054" s="8" t="s">
        <v>52</v>
      </c>
      <c r="H1054" s="8" t="s">
        <v>53</v>
      </c>
      <c r="I1054" s="8" t="s">
        <v>53</v>
      </c>
      <c r="J1054" s="10">
        <v>140</v>
      </c>
      <c r="K1054" s="10" t="s">
        <v>282</v>
      </c>
      <c r="L1054" s="10" t="s">
        <v>55</v>
      </c>
      <c r="M1054" s="12">
        <v>1</v>
      </c>
      <c r="N1054" s="15">
        <v>8000.0</v>
      </c>
      <c r="O1054" s="15"/>
      <c r="P1054" s="17">
        <f>IF(N1054&gt;0, O1054/N1054, 0)</f>
        <v>0</v>
      </c>
      <c r="Q1054" s="15">
        <f>N1054-O1054</f>
        <v>8000</v>
      </c>
      <c r="R1054" s="15">
        <f>M1054*N1054</f>
        <v>8000</v>
      </c>
      <c r="S1054" s="15">
        <f>M1054*O1054</f>
        <v>0</v>
      </c>
      <c r="T1054" s="15">
        <f>M1054*Q1054</f>
        <v>8000</v>
      </c>
      <c r="U1054" s="15"/>
      <c r="V1054" s="15">
        <f>M1054*U1054</f>
        <v>0</v>
      </c>
      <c r="W1054" s="15">
        <f>T1054-V1054</f>
        <v>8000</v>
      </c>
      <c r="X1054" s="17">
        <f>IF(T1054&gt;0, W1054/T1054, 0)</f>
        <v>1</v>
      </c>
      <c r="Y1054" s="8" t="s">
        <v>41</v>
      </c>
      <c r="Z1054" s="10" t="s">
        <v>42</v>
      </c>
      <c r="AA1054" s="10" t="s">
        <v>43</v>
      </c>
      <c r="AB1054" s="10" t="s">
        <v>44</v>
      </c>
      <c r="AC1054" s="8" t="s">
        <v>44</v>
      </c>
    </row>
    <row r="1055" spans="1:29">
      <c r="A1055" s="11">
        <v>1048</v>
      </c>
      <c r="B1055" s="11" t="s">
        <v>1361</v>
      </c>
      <c r="C1055" s="11" t="s">
        <v>1339</v>
      </c>
      <c r="D1055" s="11" t="s">
        <v>655</v>
      </c>
      <c r="E1055" s="11" t="s">
        <v>34</v>
      </c>
      <c r="F1055" s="11" t="s">
        <v>35</v>
      </c>
      <c r="G1055" s="9" t="s">
        <v>52</v>
      </c>
      <c r="H1055" s="9" t="s">
        <v>37</v>
      </c>
      <c r="I1055" s="9" t="s">
        <v>38</v>
      </c>
      <c r="J1055" s="11">
        <v>140</v>
      </c>
      <c r="K1055" s="11" t="s">
        <v>226</v>
      </c>
      <c r="L1055" s="11" t="s">
        <v>55</v>
      </c>
      <c r="M1055" s="13">
        <v>2</v>
      </c>
      <c r="N1055" s="16">
        <v>7000.0</v>
      </c>
      <c r="O1055" s="16"/>
      <c r="P1055" s="18">
        <f>IF(N1055&gt;0, O1055/N1055, 0)</f>
        <v>0</v>
      </c>
      <c r="Q1055" s="16">
        <f>N1055-O1055</f>
        <v>7000</v>
      </c>
      <c r="R1055" s="16">
        <f>M1055*N1055</f>
        <v>14000</v>
      </c>
      <c r="S1055" s="16">
        <f>M1055*O1055</f>
        <v>0</v>
      </c>
      <c r="T1055" s="16">
        <f>M1055*Q1055</f>
        <v>14000</v>
      </c>
      <c r="U1055" s="16"/>
      <c r="V1055" s="16">
        <f>M1055*U1055</f>
        <v>0</v>
      </c>
      <c r="W1055" s="16">
        <f>T1055-V1055</f>
        <v>14000</v>
      </c>
      <c r="X1055" s="18">
        <f>IF(T1055&gt;0, W1055/T1055, 0)</f>
        <v>1</v>
      </c>
      <c r="Y1055" s="9" t="s">
        <v>41</v>
      </c>
      <c r="Z1055" s="11" t="s">
        <v>42</v>
      </c>
      <c r="AA1055" s="11" t="s">
        <v>43</v>
      </c>
      <c r="AB1055" s="11" t="s">
        <v>44</v>
      </c>
      <c r="AC1055" s="9" t="s">
        <v>44</v>
      </c>
    </row>
    <row r="1056" spans="1:29">
      <c r="A1056" s="10">
        <v>1049</v>
      </c>
      <c r="B1056" s="10" t="s">
        <v>1362</v>
      </c>
      <c r="C1056" s="10" t="s">
        <v>1339</v>
      </c>
      <c r="D1056" s="10" t="s">
        <v>655</v>
      </c>
      <c r="E1056" s="10" t="s">
        <v>34</v>
      </c>
      <c r="F1056" s="10" t="s">
        <v>35</v>
      </c>
      <c r="G1056" s="8" t="s">
        <v>52</v>
      </c>
      <c r="H1056" s="8" t="s">
        <v>37</v>
      </c>
      <c r="I1056" s="8" t="s">
        <v>38</v>
      </c>
      <c r="J1056" s="10">
        <v>134</v>
      </c>
      <c r="K1056" s="10" t="s">
        <v>180</v>
      </c>
      <c r="L1056" s="10" t="s">
        <v>55</v>
      </c>
      <c r="M1056" s="12">
        <v>5</v>
      </c>
      <c r="N1056" s="15">
        <v>7000.0</v>
      </c>
      <c r="O1056" s="15"/>
      <c r="P1056" s="17">
        <f>IF(N1056&gt;0, O1056/N1056, 0)</f>
        <v>0</v>
      </c>
      <c r="Q1056" s="15">
        <f>N1056-O1056</f>
        <v>7000</v>
      </c>
      <c r="R1056" s="15">
        <f>M1056*N1056</f>
        <v>35000</v>
      </c>
      <c r="S1056" s="15">
        <f>M1056*O1056</f>
        <v>0</v>
      </c>
      <c r="T1056" s="15">
        <f>M1056*Q1056</f>
        <v>35000</v>
      </c>
      <c r="U1056" s="15"/>
      <c r="V1056" s="15">
        <f>M1056*U1056</f>
        <v>0</v>
      </c>
      <c r="W1056" s="15">
        <f>T1056-V1056</f>
        <v>35000</v>
      </c>
      <c r="X1056" s="17">
        <f>IF(T1056&gt;0, W1056/T1056, 0)</f>
        <v>1</v>
      </c>
      <c r="Y1056" s="8" t="s">
        <v>41</v>
      </c>
      <c r="Z1056" s="10" t="s">
        <v>42</v>
      </c>
      <c r="AA1056" s="10" t="s">
        <v>43</v>
      </c>
      <c r="AB1056" s="10" t="s">
        <v>44</v>
      </c>
      <c r="AC1056" s="8" t="s">
        <v>44</v>
      </c>
    </row>
    <row r="1057" spans="1:29">
      <c r="A1057" s="11">
        <v>1050</v>
      </c>
      <c r="B1057" s="11" t="s">
        <v>1363</v>
      </c>
      <c r="C1057" s="11" t="s">
        <v>1339</v>
      </c>
      <c r="D1057" s="11" t="s">
        <v>655</v>
      </c>
      <c r="E1057" s="11" t="s">
        <v>34</v>
      </c>
      <c r="F1057" s="11" t="s">
        <v>35</v>
      </c>
      <c r="G1057" s="9" t="s">
        <v>52</v>
      </c>
      <c r="H1057" s="9" t="s">
        <v>37</v>
      </c>
      <c r="I1057" s="9" t="s">
        <v>38</v>
      </c>
      <c r="J1057" s="11">
        <v>140</v>
      </c>
      <c r="K1057" s="11" t="s">
        <v>226</v>
      </c>
      <c r="L1057" s="11" t="s">
        <v>55</v>
      </c>
      <c r="M1057" s="13">
        <v>2</v>
      </c>
      <c r="N1057" s="16">
        <v>7000.0</v>
      </c>
      <c r="O1057" s="16"/>
      <c r="P1057" s="18">
        <f>IF(N1057&gt;0, O1057/N1057, 0)</f>
        <v>0</v>
      </c>
      <c r="Q1057" s="16">
        <f>N1057-O1057</f>
        <v>7000</v>
      </c>
      <c r="R1057" s="16">
        <f>M1057*N1057</f>
        <v>14000</v>
      </c>
      <c r="S1057" s="16">
        <f>M1057*O1057</f>
        <v>0</v>
      </c>
      <c r="T1057" s="16">
        <f>M1057*Q1057</f>
        <v>14000</v>
      </c>
      <c r="U1057" s="16"/>
      <c r="V1057" s="16">
        <f>M1057*U1057</f>
        <v>0</v>
      </c>
      <c r="W1057" s="16">
        <f>T1057-V1057</f>
        <v>14000</v>
      </c>
      <c r="X1057" s="18">
        <f>IF(T1057&gt;0, W1057/T1057, 0)</f>
        <v>1</v>
      </c>
      <c r="Y1057" s="9" t="s">
        <v>41</v>
      </c>
      <c r="Z1057" s="11" t="s">
        <v>42</v>
      </c>
      <c r="AA1057" s="11" t="s">
        <v>43</v>
      </c>
      <c r="AB1057" s="11" t="s">
        <v>44</v>
      </c>
      <c r="AC1057" s="9" t="s">
        <v>44</v>
      </c>
    </row>
    <row r="1058" spans="1:29">
      <c r="A1058" s="10">
        <v>1051</v>
      </c>
      <c r="B1058" s="10" t="s">
        <v>1364</v>
      </c>
      <c r="C1058" s="10" t="s">
        <v>1339</v>
      </c>
      <c r="D1058" s="10" t="s">
        <v>655</v>
      </c>
      <c r="E1058" s="10" t="s">
        <v>70</v>
      </c>
      <c r="F1058" s="10" t="s">
        <v>35</v>
      </c>
      <c r="G1058" s="8" t="s">
        <v>52</v>
      </c>
      <c r="H1058" s="8" t="s">
        <v>71</v>
      </c>
      <c r="I1058" s="8" t="s">
        <v>71</v>
      </c>
      <c r="J1058" s="10">
        <v>158</v>
      </c>
      <c r="K1058" s="10" t="s">
        <v>110</v>
      </c>
      <c r="L1058" s="10" t="s">
        <v>40</v>
      </c>
      <c r="M1058" s="12">
        <v>1</v>
      </c>
      <c r="N1058" s="15">
        <v>17000.0</v>
      </c>
      <c r="O1058" s="15"/>
      <c r="P1058" s="17">
        <f>IF(N1058&gt;0, O1058/N1058, 0)</f>
        <v>0</v>
      </c>
      <c r="Q1058" s="15">
        <f>N1058-O1058</f>
        <v>17000</v>
      </c>
      <c r="R1058" s="15">
        <f>M1058*N1058</f>
        <v>17000</v>
      </c>
      <c r="S1058" s="15">
        <f>M1058*O1058</f>
        <v>0</v>
      </c>
      <c r="T1058" s="15">
        <f>M1058*Q1058</f>
        <v>17000</v>
      </c>
      <c r="U1058" s="15"/>
      <c r="V1058" s="15">
        <f>M1058*U1058</f>
        <v>0</v>
      </c>
      <c r="W1058" s="15">
        <f>T1058-V1058</f>
        <v>17000</v>
      </c>
      <c r="X1058" s="17">
        <f>IF(T1058&gt;0, W1058/T1058, 0)</f>
        <v>1</v>
      </c>
      <c r="Y1058" s="8" t="s">
        <v>41</v>
      </c>
      <c r="Z1058" s="10" t="s">
        <v>42</v>
      </c>
      <c r="AA1058" s="10" t="s">
        <v>73</v>
      </c>
      <c r="AB1058" s="10" t="s">
        <v>44</v>
      </c>
      <c r="AC1058" s="8" t="s">
        <v>44</v>
      </c>
    </row>
    <row r="1059" spans="1:29">
      <c r="A1059" s="11">
        <v>1052</v>
      </c>
      <c r="B1059" s="11" t="s">
        <v>1365</v>
      </c>
      <c r="C1059" s="11" t="s">
        <v>1339</v>
      </c>
      <c r="D1059" s="11" t="s">
        <v>655</v>
      </c>
      <c r="E1059" s="11" t="s">
        <v>34</v>
      </c>
      <c r="F1059" s="11" t="s">
        <v>35</v>
      </c>
      <c r="G1059" s="9" t="s">
        <v>52</v>
      </c>
      <c r="H1059" s="9" t="s">
        <v>58</v>
      </c>
      <c r="I1059" s="9" t="s">
        <v>58</v>
      </c>
      <c r="J1059" s="11">
        <v>152</v>
      </c>
      <c r="K1059" s="11" t="s">
        <v>314</v>
      </c>
      <c r="L1059" s="11" t="s">
        <v>40</v>
      </c>
      <c r="M1059" s="13">
        <v>1</v>
      </c>
      <c r="N1059" s="16">
        <v>7000.0</v>
      </c>
      <c r="O1059" s="16"/>
      <c r="P1059" s="18">
        <f>IF(N1059&gt;0, O1059/N1059, 0)</f>
        <v>0</v>
      </c>
      <c r="Q1059" s="16">
        <f>N1059-O1059</f>
        <v>7000</v>
      </c>
      <c r="R1059" s="16">
        <f>M1059*N1059</f>
        <v>7000</v>
      </c>
      <c r="S1059" s="16">
        <f>M1059*O1059</f>
        <v>0</v>
      </c>
      <c r="T1059" s="16">
        <f>M1059*Q1059</f>
        <v>7000</v>
      </c>
      <c r="U1059" s="16"/>
      <c r="V1059" s="16">
        <f>M1059*U1059</f>
        <v>0</v>
      </c>
      <c r="W1059" s="16">
        <f>T1059-V1059</f>
        <v>7000</v>
      </c>
      <c r="X1059" s="18">
        <f>IF(T1059&gt;0, W1059/T1059, 0)</f>
        <v>1</v>
      </c>
      <c r="Y1059" s="9" t="s">
        <v>41</v>
      </c>
      <c r="Z1059" s="11" t="s">
        <v>42</v>
      </c>
      <c r="AA1059" s="11" t="s">
        <v>43</v>
      </c>
      <c r="AB1059" s="11" t="s">
        <v>44</v>
      </c>
      <c r="AC1059" s="9" t="s">
        <v>44</v>
      </c>
    </row>
    <row r="1060" spans="1:29">
      <c r="A1060" s="10">
        <v>1053</v>
      </c>
      <c r="B1060" s="10" t="s">
        <v>1366</v>
      </c>
      <c r="C1060" s="10" t="s">
        <v>1339</v>
      </c>
      <c r="D1060" s="10" t="s">
        <v>655</v>
      </c>
      <c r="E1060" s="10" t="s">
        <v>34</v>
      </c>
      <c r="F1060" s="10" t="s">
        <v>35</v>
      </c>
      <c r="G1060" s="8" t="s">
        <v>52</v>
      </c>
      <c r="H1060" s="8" t="s">
        <v>53</v>
      </c>
      <c r="I1060" s="8" t="s">
        <v>53</v>
      </c>
      <c r="J1060" s="10">
        <v>152</v>
      </c>
      <c r="K1060" s="10" t="s">
        <v>405</v>
      </c>
      <c r="L1060" s="10" t="s">
        <v>55</v>
      </c>
      <c r="M1060" s="12">
        <v>1</v>
      </c>
      <c r="N1060" s="15">
        <v>8000.0</v>
      </c>
      <c r="O1060" s="15"/>
      <c r="P1060" s="17">
        <f>IF(N1060&gt;0, O1060/N1060, 0)</f>
        <v>0</v>
      </c>
      <c r="Q1060" s="15">
        <f>N1060-O1060</f>
        <v>8000</v>
      </c>
      <c r="R1060" s="15">
        <f>M1060*N1060</f>
        <v>8000</v>
      </c>
      <c r="S1060" s="15">
        <f>M1060*O1060</f>
        <v>0</v>
      </c>
      <c r="T1060" s="15">
        <f>M1060*Q1060</f>
        <v>8000</v>
      </c>
      <c r="U1060" s="15"/>
      <c r="V1060" s="15">
        <f>M1060*U1060</f>
        <v>0</v>
      </c>
      <c r="W1060" s="15">
        <f>T1060-V1060</f>
        <v>8000</v>
      </c>
      <c r="X1060" s="17">
        <f>IF(T1060&gt;0, W1060/T1060, 0)</f>
        <v>1</v>
      </c>
      <c r="Y1060" s="8" t="s">
        <v>41</v>
      </c>
      <c r="Z1060" s="10" t="s">
        <v>42</v>
      </c>
      <c r="AA1060" s="10" t="s">
        <v>43</v>
      </c>
      <c r="AB1060" s="10" t="s">
        <v>44</v>
      </c>
      <c r="AC1060" s="8" t="s">
        <v>44</v>
      </c>
    </row>
    <row r="1061" spans="1:29">
      <c r="A1061" s="11">
        <v>1054</v>
      </c>
      <c r="B1061" s="11" t="s">
        <v>1367</v>
      </c>
      <c r="C1061" s="11" t="s">
        <v>1339</v>
      </c>
      <c r="D1061" s="11" t="s">
        <v>655</v>
      </c>
      <c r="E1061" s="11" t="s">
        <v>34</v>
      </c>
      <c r="F1061" s="11" t="s">
        <v>35</v>
      </c>
      <c r="G1061" s="9" t="s">
        <v>52</v>
      </c>
      <c r="H1061" s="9" t="s">
        <v>65</v>
      </c>
      <c r="I1061" s="9" t="s">
        <v>151</v>
      </c>
      <c r="J1061" s="11">
        <v>152</v>
      </c>
      <c r="K1061" s="11" t="s">
        <v>254</v>
      </c>
      <c r="L1061" s="11" t="s">
        <v>40</v>
      </c>
      <c r="M1061" s="13">
        <v>1</v>
      </c>
      <c r="N1061" s="16">
        <v>9000.0</v>
      </c>
      <c r="O1061" s="16"/>
      <c r="P1061" s="18">
        <f>IF(N1061&gt;0, O1061/N1061, 0)</f>
        <v>0</v>
      </c>
      <c r="Q1061" s="16">
        <f>N1061-O1061</f>
        <v>9000</v>
      </c>
      <c r="R1061" s="16">
        <f>M1061*N1061</f>
        <v>9000</v>
      </c>
      <c r="S1061" s="16">
        <f>M1061*O1061</f>
        <v>0</v>
      </c>
      <c r="T1061" s="16">
        <f>M1061*Q1061</f>
        <v>9000</v>
      </c>
      <c r="U1061" s="16"/>
      <c r="V1061" s="16">
        <f>M1061*U1061</f>
        <v>0</v>
      </c>
      <c r="W1061" s="16">
        <f>T1061-V1061</f>
        <v>9000</v>
      </c>
      <c r="X1061" s="18">
        <f>IF(T1061&gt;0, W1061/T1061, 0)</f>
        <v>1</v>
      </c>
      <c r="Y1061" s="9" t="s">
        <v>41</v>
      </c>
      <c r="Z1061" s="11" t="s">
        <v>42</v>
      </c>
      <c r="AA1061" s="11" t="s">
        <v>43</v>
      </c>
      <c r="AB1061" s="11" t="s">
        <v>44</v>
      </c>
      <c r="AC1061" s="9" t="s">
        <v>44</v>
      </c>
    </row>
    <row r="1062" spans="1:29">
      <c r="A1062" s="10">
        <v>1055</v>
      </c>
      <c r="B1062" s="10" t="s">
        <v>1368</v>
      </c>
      <c r="C1062" s="10" t="s">
        <v>1339</v>
      </c>
      <c r="D1062" s="10" t="s">
        <v>655</v>
      </c>
      <c r="E1062" s="10" t="s">
        <v>34</v>
      </c>
      <c r="F1062" s="10" t="s">
        <v>35</v>
      </c>
      <c r="G1062" s="8" t="s">
        <v>52</v>
      </c>
      <c r="H1062" s="8" t="s">
        <v>37</v>
      </c>
      <c r="I1062" s="8" t="s">
        <v>38</v>
      </c>
      <c r="J1062" s="10">
        <v>158</v>
      </c>
      <c r="K1062" s="10" t="s">
        <v>132</v>
      </c>
      <c r="L1062" s="10" t="s">
        <v>55</v>
      </c>
      <c r="M1062" s="12">
        <v>1</v>
      </c>
      <c r="N1062" s="15">
        <v>7000.0</v>
      </c>
      <c r="O1062" s="15"/>
      <c r="P1062" s="17">
        <f>IF(N1062&gt;0, O1062/N1062, 0)</f>
        <v>0</v>
      </c>
      <c r="Q1062" s="15">
        <f>N1062-O1062</f>
        <v>7000</v>
      </c>
      <c r="R1062" s="15">
        <f>M1062*N1062</f>
        <v>7000</v>
      </c>
      <c r="S1062" s="15">
        <f>M1062*O1062</f>
        <v>0</v>
      </c>
      <c r="T1062" s="15">
        <f>M1062*Q1062</f>
        <v>7000</v>
      </c>
      <c r="U1062" s="15"/>
      <c r="V1062" s="15">
        <f>M1062*U1062</f>
        <v>0</v>
      </c>
      <c r="W1062" s="15">
        <f>T1062-V1062</f>
        <v>7000</v>
      </c>
      <c r="X1062" s="17">
        <f>IF(T1062&gt;0, W1062/T1062, 0)</f>
        <v>1</v>
      </c>
      <c r="Y1062" s="8" t="s">
        <v>41</v>
      </c>
      <c r="Z1062" s="10" t="s">
        <v>42</v>
      </c>
      <c r="AA1062" s="10" t="s">
        <v>43</v>
      </c>
      <c r="AB1062" s="10" t="s">
        <v>44</v>
      </c>
      <c r="AC1062" s="8" t="s">
        <v>44</v>
      </c>
    </row>
    <row r="1063" spans="1:29">
      <c r="A1063" s="11">
        <v>1056</v>
      </c>
      <c r="B1063" s="11" t="s">
        <v>1369</v>
      </c>
      <c r="C1063" s="11" t="s">
        <v>1339</v>
      </c>
      <c r="D1063" s="11" t="s">
        <v>655</v>
      </c>
      <c r="E1063" s="11" t="s">
        <v>34</v>
      </c>
      <c r="F1063" s="11" t="s">
        <v>35</v>
      </c>
      <c r="G1063" s="9" t="s">
        <v>52</v>
      </c>
      <c r="H1063" s="9" t="s">
        <v>53</v>
      </c>
      <c r="I1063" s="9" t="s">
        <v>53</v>
      </c>
      <c r="J1063" s="11">
        <v>152</v>
      </c>
      <c r="K1063" s="11" t="s">
        <v>405</v>
      </c>
      <c r="L1063" s="11" t="s">
        <v>55</v>
      </c>
      <c r="M1063" s="13">
        <v>1</v>
      </c>
      <c r="N1063" s="16">
        <v>8000.0</v>
      </c>
      <c r="O1063" s="16"/>
      <c r="P1063" s="18">
        <f>IF(N1063&gt;0, O1063/N1063, 0)</f>
        <v>0</v>
      </c>
      <c r="Q1063" s="16">
        <f>N1063-O1063</f>
        <v>8000</v>
      </c>
      <c r="R1063" s="16">
        <f>M1063*N1063</f>
        <v>8000</v>
      </c>
      <c r="S1063" s="16">
        <f>M1063*O1063</f>
        <v>0</v>
      </c>
      <c r="T1063" s="16">
        <f>M1063*Q1063</f>
        <v>8000</v>
      </c>
      <c r="U1063" s="16"/>
      <c r="V1063" s="16">
        <f>M1063*U1063</f>
        <v>0</v>
      </c>
      <c r="W1063" s="16">
        <f>T1063-V1063</f>
        <v>8000</v>
      </c>
      <c r="X1063" s="18">
        <f>IF(T1063&gt;0, W1063/T1063, 0)</f>
        <v>1</v>
      </c>
      <c r="Y1063" s="9" t="s">
        <v>41</v>
      </c>
      <c r="Z1063" s="11" t="s">
        <v>42</v>
      </c>
      <c r="AA1063" s="11" t="s">
        <v>43</v>
      </c>
      <c r="AB1063" s="11" t="s">
        <v>44</v>
      </c>
      <c r="AC1063" s="9" t="s">
        <v>44</v>
      </c>
    </row>
    <row r="1064" spans="1:29">
      <c r="A1064" s="10">
        <v>1057</v>
      </c>
      <c r="B1064" s="10" t="s">
        <v>1370</v>
      </c>
      <c r="C1064" s="10" t="s">
        <v>1371</v>
      </c>
      <c r="D1064" s="10" t="s">
        <v>655</v>
      </c>
      <c r="E1064" s="10" t="s">
        <v>34</v>
      </c>
      <c r="F1064" s="10" t="s">
        <v>35</v>
      </c>
      <c r="G1064" s="8" t="s">
        <v>52</v>
      </c>
      <c r="H1064" s="8" t="s">
        <v>71</v>
      </c>
      <c r="I1064" s="8" t="s">
        <v>71</v>
      </c>
      <c r="J1064" s="10">
        <v>152</v>
      </c>
      <c r="K1064" s="10" t="s">
        <v>353</v>
      </c>
      <c r="L1064" s="10" t="s">
        <v>40</v>
      </c>
      <c r="M1064" s="12">
        <v>1</v>
      </c>
      <c r="N1064" s="15">
        <v>16000.0</v>
      </c>
      <c r="O1064" s="15"/>
      <c r="P1064" s="17">
        <f>IF(N1064&gt;0, O1064/N1064, 0)</f>
        <v>0</v>
      </c>
      <c r="Q1064" s="15">
        <f>N1064-O1064</f>
        <v>16000</v>
      </c>
      <c r="R1064" s="15">
        <f>M1064*N1064</f>
        <v>16000</v>
      </c>
      <c r="S1064" s="15">
        <f>M1064*O1064</f>
        <v>0</v>
      </c>
      <c r="T1064" s="15">
        <f>M1064*Q1064</f>
        <v>16000</v>
      </c>
      <c r="U1064" s="15"/>
      <c r="V1064" s="15">
        <f>M1064*U1064</f>
        <v>0</v>
      </c>
      <c r="W1064" s="15">
        <f>T1064-V1064</f>
        <v>16000</v>
      </c>
      <c r="X1064" s="17">
        <f>IF(T1064&gt;0, W1064/T1064, 0)</f>
        <v>1</v>
      </c>
      <c r="Y1064" s="8" t="s">
        <v>41</v>
      </c>
      <c r="Z1064" s="10" t="s">
        <v>42</v>
      </c>
      <c r="AA1064" s="10" t="s">
        <v>43</v>
      </c>
      <c r="AB1064" s="10" t="s">
        <v>44</v>
      </c>
      <c r="AC1064" s="8" t="s">
        <v>44</v>
      </c>
    </row>
    <row r="1065" spans="1:29">
      <c r="A1065" s="11">
        <v>1058</v>
      </c>
      <c r="B1065" s="11" t="s">
        <v>1372</v>
      </c>
      <c r="C1065" s="11" t="s">
        <v>1371</v>
      </c>
      <c r="D1065" s="11" t="s">
        <v>655</v>
      </c>
      <c r="E1065" s="11" t="s">
        <v>34</v>
      </c>
      <c r="F1065" s="11" t="s">
        <v>35</v>
      </c>
      <c r="G1065" s="9" t="s">
        <v>36</v>
      </c>
      <c r="H1065" s="9" t="s">
        <v>65</v>
      </c>
      <c r="I1065" s="9" t="s">
        <v>151</v>
      </c>
      <c r="J1065" s="11">
        <v>182</v>
      </c>
      <c r="K1065" s="11" t="s">
        <v>742</v>
      </c>
      <c r="L1065" s="11" t="s">
        <v>40</v>
      </c>
      <c r="M1065" s="13">
        <v>1</v>
      </c>
      <c r="N1065" s="16">
        <v>9500.0</v>
      </c>
      <c r="O1065" s="16"/>
      <c r="P1065" s="18">
        <f>IF(N1065&gt;0, O1065/N1065, 0)</f>
        <v>0</v>
      </c>
      <c r="Q1065" s="16">
        <f>N1065-O1065</f>
        <v>9500</v>
      </c>
      <c r="R1065" s="16">
        <f>M1065*N1065</f>
        <v>9500</v>
      </c>
      <c r="S1065" s="16">
        <f>M1065*O1065</f>
        <v>0</v>
      </c>
      <c r="T1065" s="16">
        <f>M1065*Q1065</f>
        <v>9500</v>
      </c>
      <c r="U1065" s="16"/>
      <c r="V1065" s="16">
        <f>M1065*U1065</f>
        <v>0</v>
      </c>
      <c r="W1065" s="16">
        <f>T1065-V1065</f>
        <v>9500</v>
      </c>
      <c r="X1065" s="18">
        <f>IF(T1065&gt;0, W1065/T1065, 0)</f>
        <v>1</v>
      </c>
      <c r="Y1065" s="9" t="s">
        <v>41</v>
      </c>
      <c r="Z1065" s="11" t="s">
        <v>42</v>
      </c>
      <c r="AA1065" s="11" t="s">
        <v>43</v>
      </c>
      <c r="AB1065" s="11" t="s">
        <v>44</v>
      </c>
      <c r="AC1065" s="9" t="s">
        <v>44</v>
      </c>
    </row>
    <row r="1066" spans="1:29">
      <c r="A1066" s="10">
        <v>1059</v>
      </c>
      <c r="B1066" s="10" t="s">
        <v>1373</v>
      </c>
      <c r="C1066" s="10" t="s">
        <v>1371</v>
      </c>
      <c r="D1066" s="10" t="s">
        <v>655</v>
      </c>
      <c r="E1066" s="10" t="s">
        <v>34</v>
      </c>
      <c r="F1066" s="10" t="s">
        <v>35</v>
      </c>
      <c r="G1066" s="8" t="s">
        <v>36</v>
      </c>
      <c r="H1066" s="8" t="s">
        <v>47</v>
      </c>
      <c r="I1066" s="8" t="s">
        <v>48</v>
      </c>
      <c r="J1066" s="10">
        <v>182</v>
      </c>
      <c r="K1066" s="10" t="s">
        <v>811</v>
      </c>
      <c r="L1066" s="10" t="s">
        <v>40</v>
      </c>
      <c r="M1066" s="12">
        <v>1</v>
      </c>
      <c r="N1066" s="15">
        <v>18000.0</v>
      </c>
      <c r="O1066" s="15"/>
      <c r="P1066" s="17">
        <f>IF(N1066&gt;0, O1066/N1066, 0)</f>
        <v>0</v>
      </c>
      <c r="Q1066" s="15">
        <f>N1066-O1066</f>
        <v>18000</v>
      </c>
      <c r="R1066" s="15">
        <f>M1066*N1066</f>
        <v>18000</v>
      </c>
      <c r="S1066" s="15">
        <f>M1066*O1066</f>
        <v>0</v>
      </c>
      <c r="T1066" s="15">
        <f>M1066*Q1066</f>
        <v>18000</v>
      </c>
      <c r="U1066" s="15"/>
      <c r="V1066" s="15">
        <f>M1066*U1066</f>
        <v>0</v>
      </c>
      <c r="W1066" s="15">
        <f>T1066-V1066</f>
        <v>18000</v>
      </c>
      <c r="X1066" s="17">
        <f>IF(T1066&gt;0, W1066/T1066, 0)</f>
        <v>1</v>
      </c>
      <c r="Y1066" s="8" t="s">
        <v>41</v>
      </c>
      <c r="Z1066" s="10" t="s">
        <v>42</v>
      </c>
      <c r="AA1066" s="10" t="s">
        <v>43</v>
      </c>
      <c r="AB1066" s="10" t="s">
        <v>44</v>
      </c>
      <c r="AC1066" s="8" t="s">
        <v>44</v>
      </c>
    </row>
    <row r="1067" spans="1:29">
      <c r="A1067" s="11">
        <v>1060</v>
      </c>
      <c r="B1067" s="11" t="s">
        <v>1374</v>
      </c>
      <c r="C1067" s="11" t="s">
        <v>1371</v>
      </c>
      <c r="D1067" s="11" t="s">
        <v>655</v>
      </c>
      <c r="E1067" s="11" t="s">
        <v>34</v>
      </c>
      <c r="F1067" s="11" t="s">
        <v>35</v>
      </c>
      <c r="G1067" s="9" t="s">
        <v>36</v>
      </c>
      <c r="H1067" s="9" t="s">
        <v>37</v>
      </c>
      <c r="I1067" s="9" t="s">
        <v>75</v>
      </c>
      <c r="J1067" s="11">
        <v>188</v>
      </c>
      <c r="K1067" s="11" t="s">
        <v>906</v>
      </c>
      <c r="L1067" s="11" t="s">
        <v>40</v>
      </c>
      <c r="M1067" s="13">
        <v>1</v>
      </c>
      <c r="N1067" s="16">
        <v>9000.0</v>
      </c>
      <c r="O1067" s="16"/>
      <c r="P1067" s="18">
        <f>IF(N1067&gt;0, O1067/N1067, 0)</f>
        <v>0</v>
      </c>
      <c r="Q1067" s="16">
        <f>N1067-O1067</f>
        <v>9000</v>
      </c>
      <c r="R1067" s="16">
        <f>M1067*N1067</f>
        <v>9000</v>
      </c>
      <c r="S1067" s="16">
        <f>M1067*O1067</f>
        <v>0</v>
      </c>
      <c r="T1067" s="16">
        <f>M1067*Q1067</f>
        <v>9000</v>
      </c>
      <c r="U1067" s="16"/>
      <c r="V1067" s="16">
        <f>M1067*U1067</f>
        <v>0</v>
      </c>
      <c r="W1067" s="16">
        <f>T1067-V1067</f>
        <v>9000</v>
      </c>
      <c r="X1067" s="18">
        <f>IF(T1067&gt;0, W1067/T1067, 0)</f>
        <v>1</v>
      </c>
      <c r="Y1067" s="9" t="s">
        <v>41</v>
      </c>
      <c r="Z1067" s="11" t="s">
        <v>42</v>
      </c>
      <c r="AA1067" s="11" t="s">
        <v>43</v>
      </c>
      <c r="AB1067" s="11" t="s">
        <v>44</v>
      </c>
      <c r="AC1067" s="9" t="s">
        <v>44</v>
      </c>
    </row>
    <row r="1068" spans="1:29">
      <c r="A1068" s="10">
        <v>1061</v>
      </c>
      <c r="B1068" s="10" t="s">
        <v>1375</v>
      </c>
      <c r="C1068" s="10" t="s">
        <v>1371</v>
      </c>
      <c r="D1068" s="10" t="s">
        <v>655</v>
      </c>
      <c r="E1068" s="10" t="s">
        <v>34</v>
      </c>
      <c r="F1068" s="10" t="s">
        <v>35</v>
      </c>
      <c r="G1068" s="8" t="s">
        <v>36</v>
      </c>
      <c r="H1068" s="8" t="s">
        <v>37</v>
      </c>
      <c r="I1068" s="8" t="s">
        <v>75</v>
      </c>
      <c r="J1068" s="10">
        <v>182</v>
      </c>
      <c r="K1068" s="10" t="s">
        <v>357</v>
      </c>
      <c r="L1068" s="10" t="s">
        <v>40</v>
      </c>
      <c r="M1068" s="12">
        <v>1</v>
      </c>
      <c r="N1068" s="15">
        <v>9000.0</v>
      </c>
      <c r="O1068" s="15"/>
      <c r="P1068" s="17">
        <f>IF(N1068&gt;0, O1068/N1068, 0)</f>
        <v>0</v>
      </c>
      <c r="Q1068" s="15">
        <f>N1068-O1068</f>
        <v>9000</v>
      </c>
      <c r="R1068" s="15">
        <f>M1068*N1068</f>
        <v>9000</v>
      </c>
      <c r="S1068" s="15">
        <f>M1068*O1068</f>
        <v>0</v>
      </c>
      <c r="T1068" s="15">
        <f>M1068*Q1068</f>
        <v>9000</v>
      </c>
      <c r="U1068" s="15"/>
      <c r="V1068" s="15">
        <f>M1068*U1068</f>
        <v>0</v>
      </c>
      <c r="W1068" s="15">
        <f>T1068-V1068</f>
        <v>9000</v>
      </c>
      <c r="X1068" s="17">
        <f>IF(T1068&gt;0, W1068/T1068, 0)</f>
        <v>1</v>
      </c>
      <c r="Y1068" s="8" t="s">
        <v>41</v>
      </c>
      <c r="Z1068" s="10" t="s">
        <v>42</v>
      </c>
      <c r="AA1068" s="10" t="s">
        <v>43</v>
      </c>
      <c r="AB1068" s="10" t="s">
        <v>44</v>
      </c>
      <c r="AC1068" s="8" t="s">
        <v>44</v>
      </c>
    </row>
    <row r="1069" spans="1:29">
      <c r="A1069" s="11">
        <v>1062</v>
      </c>
      <c r="B1069" s="11" t="s">
        <v>1376</v>
      </c>
      <c r="C1069" s="11" t="s">
        <v>1371</v>
      </c>
      <c r="D1069" s="11" t="s">
        <v>655</v>
      </c>
      <c r="E1069" s="11" t="s">
        <v>70</v>
      </c>
      <c r="F1069" s="11" t="s">
        <v>35</v>
      </c>
      <c r="G1069" s="9" t="s">
        <v>52</v>
      </c>
      <c r="H1069" s="9" t="s">
        <v>58</v>
      </c>
      <c r="I1069" s="9" t="s">
        <v>58</v>
      </c>
      <c r="J1069" s="11">
        <v>134</v>
      </c>
      <c r="K1069" s="11" t="s">
        <v>284</v>
      </c>
      <c r="L1069" s="11" t="s">
        <v>40</v>
      </c>
      <c r="M1069" s="13">
        <v>1</v>
      </c>
      <c r="N1069" s="16">
        <v>8000.0</v>
      </c>
      <c r="O1069" s="16"/>
      <c r="P1069" s="18">
        <f>IF(N1069&gt;0, O1069/N1069, 0)</f>
        <v>0</v>
      </c>
      <c r="Q1069" s="16">
        <f>N1069-O1069</f>
        <v>8000</v>
      </c>
      <c r="R1069" s="16">
        <f>M1069*N1069</f>
        <v>8000</v>
      </c>
      <c r="S1069" s="16">
        <f>M1069*O1069</f>
        <v>0</v>
      </c>
      <c r="T1069" s="16">
        <f>M1069*Q1069</f>
        <v>8000</v>
      </c>
      <c r="U1069" s="16"/>
      <c r="V1069" s="16">
        <f>M1069*U1069</f>
        <v>0</v>
      </c>
      <c r="W1069" s="16">
        <f>T1069-V1069</f>
        <v>8000</v>
      </c>
      <c r="X1069" s="18">
        <f>IF(T1069&gt;0, W1069/T1069, 0)</f>
        <v>1</v>
      </c>
      <c r="Y1069" s="9" t="s">
        <v>41</v>
      </c>
      <c r="Z1069" s="11" t="s">
        <v>42</v>
      </c>
      <c r="AA1069" s="11" t="s">
        <v>73</v>
      </c>
      <c r="AB1069" s="11" t="s">
        <v>44</v>
      </c>
      <c r="AC1069" s="9" t="s">
        <v>44</v>
      </c>
    </row>
    <row r="1070" spans="1:29">
      <c r="A1070" s="10">
        <v>1063</v>
      </c>
      <c r="B1070" s="10" t="s">
        <v>1377</v>
      </c>
      <c r="C1070" s="10" t="s">
        <v>1371</v>
      </c>
      <c r="D1070" s="10" t="s">
        <v>655</v>
      </c>
      <c r="E1070" s="10" t="s">
        <v>34</v>
      </c>
      <c r="F1070" s="10" t="s">
        <v>35</v>
      </c>
      <c r="G1070" s="8" t="s">
        <v>52</v>
      </c>
      <c r="H1070" s="8" t="s">
        <v>37</v>
      </c>
      <c r="I1070" s="8" t="s">
        <v>75</v>
      </c>
      <c r="J1070" s="10">
        <v>134</v>
      </c>
      <c r="K1070" s="10" t="s">
        <v>149</v>
      </c>
      <c r="L1070" s="10" t="s">
        <v>55</v>
      </c>
      <c r="M1070" s="12">
        <v>2</v>
      </c>
      <c r="N1070" s="15">
        <v>8000.0</v>
      </c>
      <c r="O1070" s="15"/>
      <c r="P1070" s="17">
        <f>IF(N1070&gt;0, O1070/N1070, 0)</f>
        <v>0</v>
      </c>
      <c r="Q1070" s="15">
        <f>N1070-O1070</f>
        <v>8000</v>
      </c>
      <c r="R1070" s="15">
        <f>M1070*N1070</f>
        <v>16000</v>
      </c>
      <c r="S1070" s="15">
        <f>M1070*O1070</f>
        <v>0</v>
      </c>
      <c r="T1070" s="15">
        <f>M1070*Q1070</f>
        <v>16000</v>
      </c>
      <c r="U1070" s="15"/>
      <c r="V1070" s="15">
        <f>M1070*U1070</f>
        <v>0</v>
      </c>
      <c r="W1070" s="15">
        <f>T1070-V1070</f>
        <v>16000</v>
      </c>
      <c r="X1070" s="17">
        <f>IF(T1070&gt;0, W1070/T1070, 0)</f>
        <v>1</v>
      </c>
      <c r="Y1070" s="8" t="s">
        <v>41</v>
      </c>
      <c r="Z1070" s="10" t="s">
        <v>42</v>
      </c>
      <c r="AA1070" s="10" t="s">
        <v>43</v>
      </c>
      <c r="AB1070" s="10" t="s">
        <v>44</v>
      </c>
      <c r="AC1070" s="8" t="s">
        <v>44</v>
      </c>
    </row>
    <row r="1071" spans="1:29">
      <c r="A1071" s="11">
        <v>1064</v>
      </c>
      <c r="B1071" s="11" t="s">
        <v>1378</v>
      </c>
      <c r="C1071" s="11" t="s">
        <v>1371</v>
      </c>
      <c r="D1071" s="11" t="s">
        <v>655</v>
      </c>
      <c r="E1071" s="11" t="s">
        <v>34</v>
      </c>
      <c r="F1071" s="11" t="s">
        <v>35</v>
      </c>
      <c r="G1071" s="9" t="s">
        <v>52</v>
      </c>
      <c r="H1071" s="9" t="s">
        <v>53</v>
      </c>
      <c r="I1071" s="9" t="s">
        <v>53</v>
      </c>
      <c r="J1071" s="11">
        <v>134</v>
      </c>
      <c r="K1071" s="11" t="s">
        <v>178</v>
      </c>
      <c r="L1071" s="11" t="s">
        <v>55</v>
      </c>
      <c r="M1071" s="13">
        <v>1</v>
      </c>
      <c r="N1071" s="16">
        <v>8000.0</v>
      </c>
      <c r="O1071" s="16"/>
      <c r="P1071" s="18">
        <f>IF(N1071&gt;0, O1071/N1071, 0)</f>
        <v>0</v>
      </c>
      <c r="Q1071" s="16">
        <f>N1071-O1071</f>
        <v>8000</v>
      </c>
      <c r="R1071" s="16">
        <f>M1071*N1071</f>
        <v>8000</v>
      </c>
      <c r="S1071" s="16">
        <f>M1071*O1071</f>
        <v>0</v>
      </c>
      <c r="T1071" s="16">
        <f>M1071*Q1071</f>
        <v>8000</v>
      </c>
      <c r="U1071" s="16"/>
      <c r="V1071" s="16">
        <f>M1071*U1071</f>
        <v>0</v>
      </c>
      <c r="W1071" s="16">
        <f>T1071-V1071</f>
        <v>8000</v>
      </c>
      <c r="X1071" s="18">
        <f>IF(T1071&gt;0, W1071/T1071, 0)</f>
        <v>1</v>
      </c>
      <c r="Y1071" s="9" t="s">
        <v>41</v>
      </c>
      <c r="Z1071" s="11" t="s">
        <v>42</v>
      </c>
      <c r="AA1071" s="11" t="s">
        <v>43</v>
      </c>
      <c r="AB1071" s="11" t="s">
        <v>44</v>
      </c>
      <c r="AC1071" s="9" t="s">
        <v>44</v>
      </c>
    </row>
    <row r="1072" spans="1:29">
      <c r="A1072" s="10">
        <v>1065</v>
      </c>
      <c r="B1072" s="10" t="s">
        <v>1379</v>
      </c>
      <c r="C1072" s="10" t="s">
        <v>1371</v>
      </c>
      <c r="D1072" s="10" t="s">
        <v>655</v>
      </c>
      <c r="E1072" s="10" t="s">
        <v>34</v>
      </c>
      <c r="F1072" s="10" t="s">
        <v>35</v>
      </c>
      <c r="G1072" s="8" t="s">
        <v>52</v>
      </c>
      <c r="H1072" s="8" t="s">
        <v>37</v>
      </c>
      <c r="I1072" s="8" t="s">
        <v>38</v>
      </c>
      <c r="J1072" s="10">
        <v>134</v>
      </c>
      <c r="K1072" s="10" t="s">
        <v>180</v>
      </c>
      <c r="L1072" s="10" t="s">
        <v>55</v>
      </c>
      <c r="M1072" s="12">
        <v>5</v>
      </c>
      <c r="N1072" s="15">
        <v>7000.0</v>
      </c>
      <c r="O1072" s="15"/>
      <c r="P1072" s="17">
        <f>IF(N1072&gt;0, O1072/N1072, 0)</f>
        <v>0</v>
      </c>
      <c r="Q1072" s="15">
        <f>N1072-O1072</f>
        <v>7000</v>
      </c>
      <c r="R1072" s="15">
        <f>M1072*N1072</f>
        <v>35000</v>
      </c>
      <c r="S1072" s="15">
        <f>M1072*O1072</f>
        <v>0</v>
      </c>
      <c r="T1072" s="15">
        <f>M1072*Q1072</f>
        <v>35000</v>
      </c>
      <c r="U1072" s="15"/>
      <c r="V1072" s="15">
        <f>M1072*U1072</f>
        <v>0</v>
      </c>
      <c r="W1072" s="15">
        <f>T1072-V1072</f>
        <v>35000</v>
      </c>
      <c r="X1072" s="17">
        <f>IF(T1072&gt;0, W1072/T1072, 0)</f>
        <v>1</v>
      </c>
      <c r="Y1072" s="8" t="s">
        <v>41</v>
      </c>
      <c r="Z1072" s="10" t="s">
        <v>42</v>
      </c>
      <c r="AA1072" s="10" t="s">
        <v>43</v>
      </c>
      <c r="AB1072" s="10" t="s">
        <v>44</v>
      </c>
      <c r="AC1072" s="8" t="s">
        <v>44</v>
      </c>
    </row>
    <row r="1073" spans="1:29">
      <c r="A1073" s="11">
        <v>1066</v>
      </c>
      <c r="B1073" s="11" t="s">
        <v>1380</v>
      </c>
      <c r="C1073" s="11" t="s">
        <v>1371</v>
      </c>
      <c r="D1073" s="11" t="s">
        <v>655</v>
      </c>
      <c r="E1073" s="11" t="s">
        <v>34</v>
      </c>
      <c r="F1073" s="11" t="s">
        <v>35</v>
      </c>
      <c r="G1073" s="9" t="s">
        <v>52</v>
      </c>
      <c r="H1073" s="9" t="s">
        <v>71</v>
      </c>
      <c r="I1073" s="9" t="s">
        <v>71</v>
      </c>
      <c r="J1073" s="11">
        <v>152</v>
      </c>
      <c r="K1073" s="11" t="s">
        <v>353</v>
      </c>
      <c r="L1073" s="11" t="s">
        <v>40</v>
      </c>
      <c r="M1073" s="13">
        <v>1</v>
      </c>
      <c r="N1073" s="16">
        <v>16000.0</v>
      </c>
      <c r="O1073" s="16"/>
      <c r="P1073" s="18">
        <f>IF(N1073&gt;0, O1073/N1073, 0)</f>
        <v>0</v>
      </c>
      <c r="Q1073" s="16">
        <f>N1073-O1073</f>
        <v>16000</v>
      </c>
      <c r="R1073" s="16">
        <f>M1073*N1073</f>
        <v>16000</v>
      </c>
      <c r="S1073" s="16">
        <f>M1073*O1073</f>
        <v>0</v>
      </c>
      <c r="T1073" s="16">
        <f>M1073*Q1073</f>
        <v>16000</v>
      </c>
      <c r="U1073" s="16"/>
      <c r="V1073" s="16">
        <f>M1073*U1073</f>
        <v>0</v>
      </c>
      <c r="W1073" s="16">
        <f>T1073-V1073</f>
        <v>16000</v>
      </c>
      <c r="X1073" s="18">
        <f>IF(T1073&gt;0, W1073/T1073, 0)</f>
        <v>1</v>
      </c>
      <c r="Y1073" s="9" t="s">
        <v>41</v>
      </c>
      <c r="Z1073" s="11" t="s">
        <v>42</v>
      </c>
      <c r="AA1073" s="11" t="s">
        <v>43</v>
      </c>
      <c r="AB1073" s="11" t="s">
        <v>44</v>
      </c>
      <c r="AC1073" s="9" t="s">
        <v>44</v>
      </c>
    </row>
    <row r="1074" spans="1:29">
      <c r="A1074" s="10">
        <v>1067</v>
      </c>
      <c r="B1074" s="10" t="s">
        <v>1381</v>
      </c>
      <c r="C1074" s="10" t="s">
        <v>1371</v>
      </c>
      <c r="D1074" s="10" t="s">
        <v>655</v>
      </c>
      <c r="E1074" s="10" t="s">
        <v>34</v>
      </c>
      <c r="F1074" s="10" t="s">
        <v>35</v>
      </c>
      <c r="G1074" s="8" t="s">
        <v>52</v>
      </c>
      <c r="H1074" s="8" t="s">
        <v>65</v>
      </c>
      <c r="I1074" s="8" t="s">
        <v>151</v>
      </c>
      <c r="J1074" s="10">
        <v>152</v>
      </c>
      <c r="K1074" s="10" t="s">
        <v>254</v>
      </c>
      <c r="L1074" s="10" t="s">
        <v>40</v>
      </c>
      <c r="M1074" s="12">
        <v>1</v>
      </c>
      <c r="N1074" s="15">
        <v>9000.0</v>
      </c>
      <c r="O1074" s="15"/>
      <c r="P1074" s="17">
        <f>IF(N1074&gt;0, O1074/N1074, 0)</f>
        <v>0</v>
      </c>
      <c r="Q1074" s="15">
        <f>N1074-O1074</f>
        <v>9000</v>
      </c>
      <c r="R1074" s="15">
        <f>M1074*N1074</f>
        <v>9000</v>
      </c>
      <c r="S1074" s="15">
        <f>M1074*O1074</f>
        <v>0</v>
      </c>
      <c r="T1074" s="15">
        <f>M1074*Q1074</f>
        <v>9000</v>
      </c>
      <c r="U1074" s="15"/>
      <c r="V1074" s="15">
        <f>M1074*U1074</f>
        <v>0</v>
      </c>
      <c r="W1074" s="15">
        <f>T1074-V1074</f>
        <v>9000</v>
      </c>
      <c r="X1074" s="17">
        <f>IF(T1074&gt;0, W1074/T1074, 0)</f>
        <v>1</v>
      </c>
      <c r="Y1074" s="8" t="s">
        <v>41</v>
      </c>
      <c r="Z1074" s="10" t="s">
        <v>42</v>
      </c>
      <c r="AA1074" s="10" t="s">
        <v>43</v>
      </c>
      <c r="AB1074" s="10" t="s">
        <v>44</v>
      </c>
      <c r="AC1074" s="8" t="s">
        <v>44</v>
      </c>
    </row>
    <row r="1075" spans="1:29">
      <c r="A1075" s="11">
        <v>1068</v>
      </c>
      <c r="B1075" s="11" t="s">
        <v>1382</v>
      </c>
      <c r="C1075" s="11" t="s">
        <v>1371</v>
      </c>
      <c r="D1075" s="11" t="s">
        <v>655</v>
      </c>
      <c r="E1075" s="11" t="s">
        <v>34</v>
      </c>
      <c r="F1075" s="11" t="s">
        <v>35</v>
      </c>
      <c r="G1075" s="9" t="s">
        <v>52</v>
      </c>
      <c r="H1075" s="9" t="s">
        <v>37</v>
      </c>
      <c r="I1075" s="9" t="s">
        <v>38</v>
      </c>
      <c r="J1075" s="11">
        <v>128</v>
      </c>
      <c r="K1075" s="11" t="s">
        <v>159</v>
      </c>
      <c r="L1075" s="11" t="s">
        <v>55</v>
      </c>
      <c r="M1075" s="13">
        <v>2</v>
      </c>
      <c r="N1075" s="16">
        <v>7000.0</v>
      </c>
      <c r="O1075" s="16"/>
      <c r="P1075" s="18">
        <f>IF(N1075&gt;0, O1075/N1075, 0)</f>
        <v>0</v>
      </c>
      <c r="Q1075" s="16">
        <f>N1075-O1075</f>
        <v>7000</v>
      </c>
      <c r="R1075" s="16">
        <f>M1075*N1075</f>
        <v>14000</v>
      </c>
      <c r="S1075" s="16">
        <f>M1075*O1075</f>
        <v>0</v>
      </c>
      <c r="T1075" s="16">
        <f>M1075*Q1075</f>
        <v>14000</v>
      </c>
      <c r="U1075" s="16"/>
      <c r="V1075" s="16">
        <f>M1075*U1075</f>
        <v>0</v>
      </c>
      <c r="W1075" s="16">
        <f>T1075-V1075</f>
        <v>14000</v>
      </c>
      <c r="X1075" s="18">
        <f>IF(T1075&gt;0, W1075/T1075, 0)</f>
        <v>1</v>
      </c>
      <c r="Y1075" s="9" t="s">
        <v>41</v>
      </c>
      <c r="Z1075" s="11" t="s">
        <v>42</v>
      </c>
      <c r="AA1075" s="11" t="s">
        <v>43</v>
      </c>
      <c r="AB1075" s="11" t="s">
        <v>44</v>
      </c>
      <c r="AC1075" s="9" t="s">
        <v>44</v>
      </c>
    </row>
    <row r="1076" spans="1:29">
      <c r="A1076" s="10">
        <v>1069</v>
      </c>
      <c r="B1076" s="10" t="s">
        <v>1383</v>
      </c>
      <c r="C1076" s="10" t="s">
        <v>1371</v>
      </c>
      <c r="D1076" s="10" t="s">
        <v>655</v>
      </c>
      <c r="E1076" s="10" t="s">
        <v>34</v>
      </c>
      <c r="F1076" s="10" t="s">
        <v>35</v>
      </c>
      <c r="G1076" s="8" t="s">
        <v>52</v>
      </c>
      <c r="H1076" s="8" t="s">
        <v>71</v>
      </c>
      <c r="I1076" s="8" t="s">
        <v>71</v>
      </c>
      <c r="J1076" s="10">
        <v>146</v>
      </c>
      <c r="K1076" s="10" t="s">
        <v>385</v>
      </c>
      <c r="L1076" s="10" t="s">
        <v>40</v>
      </c>
      <c r="M1076" s="12">
        <v>1</v>
      </c>
      <c r="N1076" s="15">
        <v>16000.0</v>
      </c>
      <c r="O1076" s="15"/>
      <c r="P1076" s="17">
        <f>IF(N1076&gt;0, O1076/N1076, 0)</f>
        <v>0</v>
      </c>
      <c r="Q1076" s="15">
        <f>N1076-O1076</f>
        <v>16000</v>
      </c>
      <c r="R1076" s="15">
        <f>M1076*N1076</f>
        <v>16000</v>
      </c>
      <c r="S1076" s="15">
        <f>M1076*O1076</f>
        <v>0</v>
      </c>
      <c r="T1076" s="15">
        <f>M1076*Q1076</f>
        <v>16000</v>
      </c>
      <c r="U1076" s="15"/>
      <c r="V1076" s="15">
        <f>M1076*U1076</f>
        <v>0</v>
      </c>
      <c r="W1076" s="15">
        <f>T1076-V1076</f>
        <v>16000</v>
      </c>
      <c r="X1076" s="17">
        <f>IF(T1076&gt;0, W1076/T1076, 0)</f>
        <v>1</v>
      </c>
      <c r="Y1076" s="8" t="s">
        <v>41</v>
      </c>
      <c r="Z1076" s="10" t="s">
        <v>42</v>
      </c>
      <c r="AA1076" s="10" t="s">
        <v>43</v>
      </c>
      <c r="AB1076" s="10" t="s">
        <v>44</v>
      </c>
      <c r="AC1076" s="8" t="s">
        <v>44</v>
      </c>
    </row>
    <row r="1077" spans="1:29">
      <c r="A1077" s="11">
        <v>1070</v>
      </c>
      <c r="B1077" s="11" t="s">
        <v>1384</v>
      </c>
      <c r="C1077" s="11" t="s">
        <v>1371</v>
      </c>
      <c r="D1077" s="11" t="s">
        <v>655</v>
      </c>
      <c r="E1077" s="11" t="s">
        <v>34</v>
      </c>
      <c r="F1077" s="11" t="s">
        <v>35</v>
      </c>
      <c r="G1077" s="9" t="s">
        <v>52</v>
      </c>
      <c r="H1077" s="9" t="s">
        <v>37</v>
      </c>
      <c r="I1077" s="9" t="s">
        <v>38</v>
      </c>
      <c r="J1077" s="11">
        <v>146</v>
      </c>
      <c r="K1077" s="11" t="s">
        <v>260</v>
      </c>
      <c r="L1077" s="11" t="s">
        <v>55</v>
      </c>
      <c r="M1077" s="13">
        <v>2</v>
      </c>
      <c r="N1077" s="16">
        <v>7000.0</v>
      </c>
      <c r="O1077" s="16"/>
      <c r="P1077" s="18">
        <f>IF(N1077&gt;0, O1077/N1077, 0)</f>
        <v>0</v>
      </c>
      <c r="Q1077" s="16">
        <f>N1077-O1077</f>
        <v>7000</v>
      </c>
      <c r="R1077" s="16">
        <f>M1077*N1077</f>
        <v>14000</v>
      </c>
      <c r="S1077" s="16">
        <f>M1077*O1077</f>
        <v>0</v>
      </c>
      <c r="T1077" s="16">
        <f>M1077*Q1077</f>
        <v>14000</v>
      </c>
      <c r="U1077" s="16"/>
      <c r="V1077" s="16">
        <f>M1077*U1077</f>
        <v>0</v>
      </c>
      <c r="W1077" s="16">
        <f>T1077-V1077</f>
        <v>14000</v>
      </c>
      <c r="X1077" s="18">
        <f>IF(T1077&gt;0, W1077/T1077, 0)</f>
        <v>1</v>
      </c>
      <c r="Y1077" s="9" t="s">
        <v>41</v>
      </c>
      <c r="Z1077" s="11" t="s">
        <v>42</v>
      </c>
      <c r="AA1077" s="11" t="s">
        <v>43</v>
      </c>
      <c r="AB1077" s="11" t="s">
        <v>44</v>
      </c>
      <c r="AC1077" s="9" t="s">
        <v>44</v>
      </c>
    </row>
    <row r="1078" spans="1:29">
      <c r="A1078" s="10">
        <v>1071</v>
      </c>
      <c r="B1078" s="10" t="s">
        <v>1385</v>
      </c>
      <c r="C1078" s="10" t="s">
        <v>1371</v>
      </c>
      <c r="D1078" s="10" t="s">
        <v>655</v>
      </c>
      <c r="E1078" s="10" t="s">
        <v>34</v>
      </c>
      <c r="F1078" s="10" t="s">
        <v>35</v>
      </c>
      <c r="G1078" s="8" t="s">
        <v>52</v>
      </c>
      <c r="H1078" s="8" t="s">
        <v>58</v>
      </c>
      <c r="I1078" s="8" t="s">
        <v>58</v>
      </c>
      <c r="J1078" s="10">
        <v>140</v>
      </c>
      <c r="K1078" s="10" t="s">
        <v>600</v>
      </c>
      <c r="L1078" s="10" t="s">
        <v>40</v>
      </c>
      <c r="M1078" s="12">
        <v>1</v>
      </c>
      <c r="N1078" s="15">
        <v>7000.0</v>
      </c>
      <c r="O1078" s="15"/>
      <c r="P1078" s="17">
        <f>IF(N1078&gt;0, O1078/N1078, 0)</f>
        <v>0</v>
      </c>
      <c r="Q1078" s="15">
        <f>N1078-O1078</f>
        <v>7000</v>
      </c>
      <c r="R1078" s="15">
        <f>M1078*N1078</f>
        <v>7000</v>
      </c>
      <c r="S1078" s="15">
        <f>M1078*O1078</f>
        <v>0</v>
      </c>
      <c r="T1078" s="15">
        <f>M1078*Q1078</f>
        <v>7000</v>
      </c>
      <c r="U1078" s="15"/>
      <c r="V1078" s="15">
        <f>M1078*U1078</f>
        <v>0</v>
      </c>
      <c r="W1078" s="15">
        <f>T1078-V1078</f>
        <v>7000</v>
      </c>
      <c r="X1078" s="17">
        <f>IF(T1078&gt;0, W1078/T1078, 0)</f>
        <v>1</v>
      </c>
      <c r="Y1078" s="8" t="s">
        <v>41</v>
      </c>
      <c r="Z1078" s="10" t="s">
        <v>42</v>
      </c>
      <c r="AA1078" s="10" t="s">
        <v>43</v>
      </c>
      <c r="AB1078" s="10" t="s">
        <v>44</v>
      </c>
      <c r="AC1078" s="8" t="s">
        <v>44</v>
      </c>
    </row>
    <row r="1079" spans="1:29">
      <c r="A1079" s="11">
        <v>1072</v>
      </c>
      <c r="B1079" s="11" t="s">
        <v>1386</v>
      </c>
      <c r="C1079" s="11" t="s">
        <v>1371</v>
      </c>
      <c r="D1079" s="11" t="s">
        <v>655</v>
      </c>
      <c r="E1079" s="11" t="s">
        <v>34</v>
      </c>
      <c r="F1079" s="11" t="s">
        <v>35</v>
      </c>
      <c r="G1079" s="9" t="s">
        <v>52</v>
      </c>
      <c r="H1079" s="9" t="s">
        <v>53</v>
      </c>
      <c r="I1079" s="9" t="s">
        <v>53</v>
      </c>
      <c r="J1079" s="11">
        <v>146</v>
      </c>
      <c r="K1079" s="11" t="s">
        <v>257</v>
      </c>
      <c r="L1079" s="11" t="s">
        <v>55</v>
      </c>
      <c r="M1079" s="13">
        <v>1</v>
      </c>
      <c r="N1079" s="16">
        <v>8000.0</v>
      </c>
      <c r="O1079" s="16"/>
      <c r="P1079" s="18">
        <f>IF(N1079&gt;0, O1079/N1079, 0)</f>
        <v>0</v>
      </c>
      <c r="Q1079" s="16">
        <f>N1079-O1079</f>
        <v>8000</v>
      </c>
      <c r="R1079" s="16">
        <f>M1079*N1079</f>
        <v>8000</v>
      </c>
      <c r="S1079" s="16">
        <f>M1079*O1079</f>
        <v>0</v>
      </c>
      <c r="T1079" s="16">
        <f>M1079*Q1079</f>
        <v>8000</v>
      </c>
      <c r="U1079" s="16"/>
      <c r="V1079" s="16">
        <f>M1079*U1079</f>
        <v>0</v>
      </c>
      <c r="W1079" s="16">
        <f>T1079-V1079</f>
        <v>8000</v>
      </c>
      <c r="X1079" s="18">
        <f>IF(T1079&gt;0, W1079/T1079, 0)</f>
        <v>1</v>
      </c>
      <c r="Y1079" s="9" t="s">
        <v>41</v>
      </c>
      <c r="Z1079" s="11" t="s">
        <v>42</v>
      </c>
      <c r="AA1079" s="11" t="s">
        <v>43</v>
      </c>
      <c r="AB1079" s="11" t="s">
        <v>44</v>
      </c>
      <c r="AC1079" s="9" t="s">
        <v>44</v>
      </c>
    </row>
    <row r="1080" spans="1:29">
      <c r="A1080" s="10">
        <v>1073</v>
      </c>
      <c r="B1080" s="10" t="s">
        <v>1387</v>
      </c>
      <c r="C1080" s="10" t="s">
        <v>1371</v>
      </c>
      <c r="D1080" s="10" t="s">
        <v>655</v>
      </c>
      <c r="E1080" s="10" t="s">
        <v>34</v>
      </c>
      <c r="F1080" s="10" t="s">
        <v>35</v>
      </c>
      <c r="G1080" s="8" t="s">
        <v>52</v>
      </c>
      <c r="H1080" s="8" t="s">
        <v>65</v>
      </c>
      <c r="I1080" s="8" t="s">
        <v>151</v>
      </c>
      <c r="J1080" s="10">
        <v>116</v>
      </c>
      <c r="K1080" s="10" t="s">
        <v>1258</v>
      </c>
      <c r="L1080" s="10" t="s">
        <v>40</v>
      </c>
      <c r="M1080" s="12">
        <v>1</v>
      </c>
      <c r="N1080" s="15">
        <v>9000.0</v>
      </c>
      <c r="O1080" s="15"/>
      <c r="P1080" s="17">
        <f>IF(N1080&gt;0, O1080/N1080, 0)</f>
        <v>0</v>
      </c>
      <c r="Q1080" s="15">
        <f>N1080-O1080</f>
        <v>9000</v>
      </c>
      <c r="R1080" s="15">
        <f>M1080*N1080</f>
        <v>9000</v>
      </c>
      <c r="S1080" s="15">
        <f>M1080*O1080</f>
        <v>0</v>
      </c>
      <c r="T1080" s="15">
        <f>M1080*Q1080</f>
        <v>9000</v>
      </c>
      <c r="U1080" s="15"/>
      <c r="V1080" s="15">
        <f>M1080*U1080</f>
        <v>0</v>
      </c>
      <c r="W1080" s="15">
        <f>T1080-V1080</f>
        <v>9000</v>
      </c>
      <c r="X1080" s="17">
        <f>IF(T1080&gt;0, W1080/T1080, 0)</f>
        <v>1</v>
      </c>
      <c r="Y1080" s="8" t="s">
        <v>41</v>
      </c>
      <c r="Z1080" s="10" t="s">
        <v>42</v>
      </c>
      <c r="AA1080" s="10" t="s">
        <v>43</v>
      </c>
      <c r="AB1080" s="10" t="s">
        <v>44</v>
      </c>
      <c r="AC1080" s="8" t="s">
        <v>44</v>
      </c>
    </row>
    <row r="1081" spans="1:29">
      <c r="A1081" s="11">
        <v>1074</v>
      </c>
      <c r="B1081" s="11" t="s">
        <v>1388</v>
      </c>
      <c r="C1081" s="11" t="s">
        <v>1371</v>
      </c>
      <c r="D1081" s="11" t="s">
        <v>655</v>
      </c>
      <c r="E1081" s="11" t="s">
        <v>34</v>
      </c>
      <c r="F1081" s="11" t="s">
        <v>35</v>
      </c>
      <c r="G1081" s="9" t="s">
        <v>52</v>
      </c>
      <c r="H1081" s="9" t="s">
        <v>37</v>
      </c>
      <c r="I1081" s="9" t="s">
        <v>38</v>
      </c>
      <c r="J1081" s="11">
        <v>122</v>
      </c>
      <c r="K1081" s="11" t="s">
        <v>107</v>
      </c>
      <c r="L1081" s="11" t="s">
        <v>55</v>
      </c>
      <c r="M1081" s="13">
        <v>1</v>
      </c>
      <c r="N1081" s="16">
        <v>7000.0</v>
      </c>
      <c r="O1081" s="16"/>
      <c r="P1081" s="18">
        <f>IF(N1081&gt;0, O1081/N1081, 0)</f>
        <v>0</v>
      </c>
      <c r="Q1081" s="16">
        <f>N1081-O1081</f>
        <v>7000</v>
      </c>
      <c r="R1081" s="16">
        <f>M1081*N1081</f>
        <v>7000</v>
      </c>
      <c r="S1081" s="16">
        <f>M1081*O1081</f>
        <v>0</v>
      </c>
      <c r="T1081" s="16">
        <f>M1081*Q1081</f>
        <v>7000</v>
      </c>
      <c r="U1081" s="16"/>
      <c r="V1081" s="16">
        <f>M1081*U1081</f>
        <v>0</v>
      </c>
      <c r="W1081" s="16">
        <f>T1081-V1081</f>
        <v>7000</v>
      </c>
      <c r="X1081" s="18">
        <f>IF(T1081&gt;0, W1081/T1081, 0)</f>
        <v>1</v>
      </c>
      <c r="Y1081" s="9" t="s">
        <v>41</v>
      </c>
      <c r="Z1081" s="11" t="s">
        <v>42</v>
      </c>
      <c r="AA1081" s="11" t="s">
        <v>43</v>
      </c>
      <c r="AB1081" s="11" t="s">
        <v>44</v>
      </c>
      <c r="AC1081" s="9" t="s">
        <v>44</v>
      </c>
    </row>
    <row r="1082" spans="1:29">
      <c r="A1082" s="10">
        <v>1075</v>
      </c>
      <c r="B1082" s="10" t="s">
        <v>1389</v>
      </c>
      <c r="C1082" s="10" t="s">
        <v>1371</v>
      </c>
      <c r="D1082" s="10" t="s">
        <v>655</v>
      </c>
      <c r="E1082" s="10" t="s">
        <v>34</v>
      </c>
      <c r="F1082" s="10" t="s">
        <v>35</v>
      </c>
      <c r="G1082" s="8" t="s">
        <v>52</v>
      </c>
      <c r="H1082" s="8" t="s">
        <v>71</v>
      </c>
      <c r="I1082" s="8" t="s">
        <v>71</v>
      </c>
      <c r="J1082" s="10">
        <v>128</v>
      </c>
      <c r="K1082" s="10" t="s">
        <v>112</v>
      </c>
      <c r="L1082" s="10" t="s">
        <v>40</v>
      </c>
      <c r="M1082" s="12">
        <v>1</v>
      </c>
      <c r="N1082" s="15">
        <v>16000.0</v>
      </c>
      <c r="O1082" s="15"/>
      <c r="P1082" s="17">
        <f>IF(N1082&gt;0, O1082/N1082, 0)</f>
        <v>0</v>
      </c>
      <c r="Q1082" s="15">
        <f>N1082-O1082</f>
        <v>16000</v>
      </c>
      <c r="R1082" s="15">
        <f>M1082*N1082</f>
        <v>16000</v>
      </c>
      <c r="S1082" s="15">
        <f>M1082*O1082</f>
        <v>0</v>
      </c>
      <c r="T1082" s="15">
        <f>M1082*Q1082</f>
        <v>16000</v>
      </c>
      <c r="U1082" s="15"/>
      <c r="V1082" s="15">
        <f>M1082*U1082</f>
        <v>0</v>
      </c>
      <c r="W1082" s="15">
        <f>T1082-V1082</f>
        <v>16000</v>
      </c>
      <c r="X1082" s="17">
        <f>IF(T1082&gt;0, W1082/T1082, 0)</f>
        <v>1</v>
      </c>
      <c r="Y1082" s="8" t="s">
        <v>41</v>
      </c>
      <c r="Z1082" s="10" t="s">
        <v>42</v>
      </c>
      <c r="AA1082" s="10" t="s">
        <v>43</v>
      </c>
      <c r="AB1082" s="10" t="s">
        <v>44</v>
      </c>
      <c r="AC1082" s="8" t="s">
        <v>44</v>
      </c>
    </row>
    <row r="1083" spans="1:29">
      <c r="A1083" s="11">
        <v>1076</v>
      </c>
      <c r="B1083" s="11" t="s">
        <v>1390</v>
      </c>
      <c r="C1083" s="11" t="s">
        <v>1371</v>
      </c>
      <c r="D1083" s="11" t="s">
        <v>655</v>
      </c>
      <c r="E1083" s="11" t="s">
        <v>34</v>
      </c>
      <c r="F1083" s="11" t="s">
        <v>35</v>
      </c>
      <c r="G1083" s="9" t="s">
        <v>52</v>
      </c>
      <c r="H1083" s="9" t="s">
        <v>53</v>
      </c>
      <c r="I1083" s="9" t="s">
        <v>53</v>
      </c>
      <c r="J1083" s="11">
        <v>122</v>
      </c>
      <c r="K1083" s="11" t="s">
        <v>84</v>
      </c>
      <c r="L1083" s="11" t="s">
        <v>55</v>
      </c>
      <c r="M1083" s="13">
        <v>1</v>
      </c>
      <c r="N1083" s="16">
        <v>8000.0</v>
      </c>
      <c r="O1083" s="16"/>
      <c r="P1083" s="18">
        <f>IF(N1083&gt;0, O1083/N1083, 0)</f>
        <v>0</v>
      </c>
      <c r="Q1083" s="16">
        <f>N1083-O1083</f>
        <v>8000</v>
      </c>
      <c r="R1083" s="16">
        <f>M1083*N1083</f>
        <v>8000</v>
      </c>
      <c r="S1083" s="16">
        <f>M1083*O1083</f>
        <v>0</v>
      </c>
      <c r="T1083" s="16">
        <f>M1083*Q1083</f>
        <v>8000</v>
      </c>
      <c r="U1083" s="16"/>
      <c r="V1083" s="16">
        <f>M1083*U1083</f>
        <v>0</v>
      </c>
      <c r="W1083" s="16">
        <f>T1083-V1083</f>
        <v>8000</v>
      </c>
      <c r="X1083" s="18">
        <f>IF(T1083&gt;0, W1083/T1083, 0)</f>
        <v>1</v>
      </c>
      <c r="Y1083" s="9" t="s">
        <v>41</v>
      </c>
      <c r="Z1083" s="11" t="s">
        <v>42</v>
      </c>
      <c r="AA1083" s="11" t="s">
        <v>43</v>
      </c>
      <c r="AB1083" s="11" t="s">
        <v>44</v>
      </c>
      <c r="AC1083" s="9" t="s">
        <v>44</v>
      </c>
    </row>
    <row r="1084" spans="1:29">
      <c r="A1084" s="10">
        <v>1077</v>
      </c>
      <c r="B1084" s="10" t="s">
        <v>1391</v>
      </c>
      <c r="C1084" s="10" t="s">
        <v>1371</v>
      </c>
      <c r="D1084" s="10" t="s">
        <v>655</v>
      </c>
      <c r="E1084" s="10" t="s">
        <v>34</v>
      </c>
      <c r="F1084" s="10" t="s">
        <v>35</v>
      </c>
      <c r="G1084" s="8" t="s">
        <v>36</v>
      </c>
      <c r="H1084" s="8" t="s">
        <v>53</v>
      </c>
      <c r="I1084" s="8" t="s">
        <v>53</v>
      </c>
      <c r="J1084" s="10">
        <v>164</v>
      </c>
      <c r="K1084" s="10" t="s">
        <v>63</v>
      </c>
      <c r="L1084" s="10" t="s">
        <v>40</v>
      </c>
      <c r="M1084" s="12">
        <v>1</v>
      </c>
      <c r="N1084" s="15">
        <v>8500.0</v>
      </c>
      <c r="O1084" s="15"/>
      <c r="P1084" s="17">
        <f>IF(N1084&gt;0, O1084/N1084, 0)</f>
        <v>0</v>
      </c>
      <c r="Q1084" s="15">
        <f>N1084-O1084</f>
        <v>8500</v>
      </c>
      <c r="R1084" s="15">
        <f>M1084*N1084</f>
        <v>8500</v>
      </c>
      <c r="S1084" s="15">
        <f>M1084*O1084</f>
        <v>0</v>
      </c>
      <c r="T1084" s="15">
        <f>M1084*Q1084</f>
        <v>8500</v>
      </c>
      <c r="U1084" s="15"/>
      <c r="V1084" s="15">
        <f>M1084*U1084</f>
        <v>0</v>
      </c>
      <c r="W1084" s="15">
        <f>T1084-V1084</f>
        <v>8500</v>
      </c>
      <c r="X1084" s="17">
        <f>IF(T1084&gt;0, W1084/T1084, 0)</f>
        <v>1</v>
      </c>
      <c r="Y1084" s="8" t="s">
        <v>41</v>
      </c>
      <c r="Z1084" s="10" t="s">
        <v>42</v>
      </c>
      <c r="AA1084" s="10" t="s">
        <v>43</v>
      </c>
      <c r="AB1084" s="10" t="s">
        <v>44</v>
      </c>
      <c r="AC1084" s="8" t="s">
        <v>44</v>
      </c>
    </row>
    <row r="1085" spans="1:29">
      <c r="A1085" s="11">
        <v>1078</v>
      </c>
      <c r="B1085" s="11" t="s">
        <v>1392</v>
      </c>
      <c r="C1085" s="11" t="s">
        <v>1371</v>
      </c>
      <c r="D1085" s="11" t="s">
        <v>655</v>
      </c>
      <c r="E1085" s="11" t="s">
        <v>34</v>
      </c>
      <c r="F1085" s="11" t="s">
        <v>35</v>
      </c>
      <c r="G1085" s="9" t="s">
        <v>36</v>
      </c>
      <c r="H1085" s="9" t="s">
        <v>37</v>
      </c>
      <c r="I1085" s="9" t="s">
        <v>38</v>
      </c>
      <c r="J1085" s="11">
        <v>158</v>
      </c>
      <c r="K1085" s="11" t="s">
        <v>39</v>
      </c>
      <c r="L1085" s="11" t="s">
        <v>40</v>
      </c>
      <c r="M1085" s="13">
        <v>1</v>
      </c>
      <c r="N1085" s="16">
        <v>8000.0</v>
      </c>
      <c r="O1085" s="16"/>
      <c r="P1085" s="18">
        <f>IF(N1085&gt;0, O1085/N1085, 0)</f>
        <v>0</v>
      </c>
      <c r="Q1085" s="16">
        <f>N1085-O1085</f>
        <v>8000</v>
      </c>
      <c r="R1085" s="16">
        <f>M1085*N1085</f>
        <v>8000</v>
      </c>
      <c r="S1085" s="16">
        <f>M1085*O1085</f>
        <v>0</v>
      </c>
      <c r="T1085" s="16">
        <f>M1085*Q1085</f>
        <v>8000</v>
      </c>
      <c r="U1085" s="16"/>
      <c r="V1085" s="16">
        <f>M1085*U1085</f>
        <v>0</v>
      </c>
      <c r="W1085" s="16">
        <f>T1085-V1085</f>
        <v>8000</v>
      </c>
      <c r="X1085" s="18">
        <f>IF(T1085&gt;0, W1085/T1085, 0)</f>
        <v>1</v>
      </c>
      <c r="Y1085" s="9" t="s">
        <v>41</v>
      </c>
      <c r="Z1085" s="11" t="s">
        <v>42</v>
      </c>
      <c r="AA1085" s="11" t="s">
        <v>43</v>
      </c>
      <c r="AB1085" s="11" t="s">
        <v>44</v>
      </c>
      <c r="AC1085" s="9" t="s">
        <v>44</v>
      </c>
    </row>
    <row r="1086" spans="1:29">
      <c r="A1086" s="10">
        <v>1079</v>
      </c>
      <c r="B1086" s="10" t="s">
        <v>1393</v>
      </c>
      <c r="C1086" s="10" t="s">
        <v>1371</v>
      </c>
      <c r="D1086" s="10" t="s">
        <v>655</v>
      </c>
      <c r="E1086" s="10" t="s">
        <v>34</v>
      </c>
      <c r="F1086" s="10" t="s">
        <v>35</v>
      </c>
      <c r="G1086" s="8" t="s">
        <v>36</v>
      </c>
      <c r="H1086" s="8" t="s">
        <v>65</v>
      </c>
      <c r="I1086" s="8" t="s">
        <v>151</v>
      </c>
      <c r="J1086" s="10">
        <v>176</v>
      </c>
      <c r="K1086" s="10" t="s">
        <v>236</v>
      </c>
      <c r="L1086" s="10" t="s">
        <v>40</v>
      </c>
      <c r="M1086" s="12">
        <v>1</v>
      </c>
      <c r="N1086" s="15">
        <v>9500.0</v>
      </c>
      <c r="O1086" s="15"/>
      <c r="P1086" s="17">
        <f>IF(N1086&gt;0, O1086/N1086, 0)</f>
        <v>0</v>
      </c>
      <c r="Q1086" s="15">
        <f>N1086-O1086</f>
        <v>9500</v>
      </c>
      <c r="R1086" s="15">
        <f>M1086*N1086</f>
        <v>9500</v>
      </c>
      <c r="S1086" s="15">
        <f>M1086*O1086</f>
        <v>0</v>
      </c>
      <c r="T1086" s="15">
        <f>M1086*Q1086</f>
        <v>9500</v>
      </c>
      <c r="U1086" s="15"/>
      <c r="V1086" s="15">
        <f>M1086*U1086</f>
        <v>0</v>
      </c>
      <c r="W1086" s="15">
        <f>T1086-V1086</f>
        <v>9500</v>
      </c>
      <c r="X1086" s="17">
        <f>IF(T1086&gt;0, W1086/T1086, 0)</f>
        <v>1</v>
      </c>
      <c r="Y1086" s="8" t="s">
        <v>41</v>
      </c>
      <c r="Z1086" s="10" t="s">
        <v>42</v>
      </c>
      <c r="AA1086" s="10" t="s">
        <v>43</v>
      </c>
      <c r="AB1086" s="10" t="s">
        <v>44</v>
      </c>
      <c r="AC1086" s="8" t="s">
        <v>44</v>
      </c>
    </row>
    <row r="1087" spans="1:29">
      <c r="A1087" s="11">
        <v>1080</v>
      </c>
      <c r="B1087" s="11" t="s">
        <v>1394</v>
      </c>
      <c r="C1087" s="11" t="s">
        <v>1371</v>
      </c>
      <c r="D1087" s="11" t="s">
        <v>655</v>
      </c>
      <c r="E1087" s="11" t="s">
        <v>34</v>
      </c>
      <c r="F1087" s="11" t="s">
        <v>35</v>
      </c>
      <c r="G1087" s="9" t="s">
        <v>36</v>
      </c>
      <c r="H1087" s="9" t="s">
        <v>47</v>
      </c>
      <c r="I1087" s="9" t="s">
        <v>48</v>
      </c>
      <c r="J1087" s="11">
        <v>182</v>
      </c>
      <c r="K1087" s="11" t="s">
        <v>811</v>
      </c>
      <c r="L1087" s="11" t="s">
        <v>40</v>
      </c>
      <c r="M1087" s="13">
        <v>1</v>
      </c>
      <c r="N1087" s="16">
        <v>18000.0</v>
      </c>
      <c r="O1087" s="16"/>
      <c r="P1087" s="18">
        <f>IF(N1087&gt;0, O1087/N1087, 0)</f>
        <v>0</v>
      </c>
      <c r="Q1087" s="16">
        <f>N1087-O1087</f>
        <v>18000</v>
      </c>
      <c r="R1087" s="16">
        <f>M1087*N1087</f>
        <v>18000</v>
      </c>
      <c r="S1087" s="16">
        <f>M1087*O1087</f>
        <v>0</v>
      </c>
      <c r="T1087" s="16">
        <f>M1087*Q1087</f>
        <v>18000</v>
      </c>
      <c r="U1087" s="16"/>
      <c r="V1087" s="16">
        <f>M1087*U1087</f>
        <v>0</v>
      </c>
      <c r="W1087" s="16">
        <f>T1087-V1087</f>
        <v>18000</v>
      </c>
      <c r="X1087" s="18">
        <f>IF(T1087&gt;0, W1087/T1087, 0)</f>
        <v>1</v>
      </c>
      <c r="Y1087" s="9" t="s">
        <v>41</v>
      </c>
      <c r="Z1087" s="11" t="s">
        <v>42</v>
      </c>
      <c r="AA1087" s="11" t="s">
        <v>43</v>
      </c>
      <c r="AB1087" s="11" t="s">
        <v>44</v>
      </c>
      <c r="AC1087" s="9" t="s">
        <v>44</v>
      </c>
    </row>
    <row r="1088" spans="1:29">
      <c r="A1088" s="10">
        <v>1081</v>
      </c>
      <c r="B1088" s="10" t="s">
        <v>1395</v>
      </c>
      <c r="C1088" s="10" t="s">
        <v>1371</v>
      </c>
      <c r="D1088" s="10" t="s">
        <v>655</v>
      </c>
      <c r="E1088" s="10" t="s">
        <v>34</v>
      </c>
      <c r="F1088" s="10" t="s">
        <v>35</v>
      </c>
      <c r="G1088" s="8" t="s">
        <v>36</v>
      </c>
      <c r="H1088" s="8" t="s">
        <v>71</v>
      </c>
      <c r="I1088" s="8" t="s">
        <v>71</v>
      </c>
      <c r="J1088" s="10">
        <v>176</v>
      </c>
      <c r="K1088" s="10" t="s">
        <v>206</v>
      </c>
      <c r="L1088" s="10" t="s">
        <v>40</v>
      </c>
      <c r="M1088" s="12">
        <v>1</v>
      </c>
      <c r="N1088" s="15">
        <v>16500.0</v>
      </c>
      <c r="O1088" s="15"/>
      <c r="P1088" s="17">
        <f>IF(N1088&gt;0, O1088/N1088, 0)</f>
        <v>0</v>
      </c>
      <c r="Q1088" s="15">
        <f>N1088-O1088</f>
        <v>16500</v>
      </c>
      <c r="R1088" s="15">
        <f>M1088*N1088</f>
        <v>16500</v>
      </c>
      <c r="S1088" s="15">
        <f>M1088*O1088</f>
        <v>0</v>
      </c>
      <c r="T1088" s="15">
        <f>M1088*Q1088</f>
        <v>16500</v>
      </c>
      <c r="U1088" s="15"/>
      <c r="V1088" s="15">
        <f>M1088*U1088</f>
        <v>0</v>
      </c>
      <c r="W1088" s="15">
        <f>T1088-V1088</f>
        <v>16500</v>
      </c>
      <c r="X1088" s="17">
        <f>IF(T1088&gt;0, W1088/T1088, 0)</f>
        <v>1</v>
      </c>
      <c r="Y1088" s="8" t="s">
        <v>41</v>
      </c>
      <c r="Z1088" s="10" t="s">
        <v>42</v>
      </c>
      <c r="AA1088" s="10" t="s">
        <v>43</v>
      </c>
      <c r="AB1088" s="10" t="s">
        <v>44</v>
      </c>
      <c r="AC1088" s="8" t="s">
        <v>44</v>
      </c>
    </row>
    <row r="1089" spans="1:29">
      <c r="A1089" s="11">
        <v>1082</v>
      </c>
      <c r="B1089" s="11" t="s">
        <v>1396</v>
      </c>
      <c r="C1089" s="11" t="s">
        <v>1371</v>
      </c>
      <c r="D1089" s="11" t="s">
        <v>655</v>
      </c>
      <c r="E1089" s="11" t="s">
        <v>34</v>
      </c>
      <c r="F1089" s="11" t="s">
        <v>35</v>
      </c>
      <c r="G1089" s="9" t="s">
        <v>36</v>
      </c>
      <c r="H1089" s="9" t="s">
        <v>58</v>
      </c>
      <c r="I1089" s="9" t="s">
        <v>58</v>
      </c>
      <c r="J1089" s="11">
        <v>170</v>
      </c>
      <c r="K1089" s="11" t="s">
        <v>215</v>
      </c>
      <c r="L1089" s="11" t="s">
        <v>40</v>
      </c>
      <c r="M1089" s="13">
        <v>1</v>
      </c>
      <c r="N1089" s="16">
        <v>7500.0</v>
      </c>
      <c r="O1089" s="16"/>
      <c r="P1089" s="18">
        <f>IF(N1089&gt;0, O1089/N1089, 0)</f>
        <v>0</v>
      </c>
      <c r="Q1089" s="16">
        <f>N1089-O1089</f>
        <v>7500</v>
      </c>
      <c r="R1089" s="16">
        <f>M1089*N1089</f>
        <v>7500</v>
      </c>
      <c r="S1089" s="16">
        <f>M1089*O1089</f>
        <v>0</v>
      </c>
      <c r="T1089" s="16">
        <f>M1089*Q1089</f>
        <v>7500</v>
      </c>
      <c r="U1089" s="16"/>
      <c r="V1089" s="16">
        <f>M1089*U1089</f>
        <v>0</v>
      </c>
      <c r="W1089" s="16">
        <f>T1089-V1089</f>
        <v>7500</v>
      </c>
      <c r="X1089" s="18">
        <f>IF(T1089&gt;0, W1089/T1089, 0)</f>
        <v>1</v>
      </c>
      <c r="Y1089" s="9" t="s">
        <v>41</v>
      </c>
      <c r="Z1089" s="11" t="s">
        <v>42</v>
      </c>
      <c r="AA1089" s="11" t="s">
        <v>43</v>
      </c>
      <c r="AB1089" s="11" t="s">
        <v>44</v>
      </c>
      <c r="AC1089" s="9" t="s">
        <v>44</v>
      </c>
    </row>
    <row r="1090" spans="1:29">
      <c r="A1090" s="10">
        <v>1083</v>
      </c>
      <c r="B1090" s="10" t="s">
        <v>1397</v>
      </c>
      <c r="C1090" s="10" t="s">
        <v>1371</v>
      </c>
      <c r="D1090" s="10" t="s">
        <v>655</v>
      </c>
      <c r="E1090" s="10" t="s">
        <v>34</v>
      </c>
      <c r="F1090" s="10" t="s">
        <v>35</v>
      </c>
      <c r="G1090" s="8" t="s">
        <v>36</v>
      </c>
      <c r="H1090" s="8" t="s">
        <v>53</v>
      </c>
      <c r="I1090" s="8" t="s">
        <v>53</v>
      </c>
      <c r="J1090" s="10">
        <v>170</v>
      </c>
      <c r="K1090" s="10" t="s">
        <v>1142</v>
      </c>
      <c r="L1090" s="10" t="s">
        <v>40</v>
      </c>
      <c r="M1090" s="12">
        <v>1</v>
      </c>
      <c r="N1090" s="15">
        <v>8000.0</v>
      </c>
      <c r="O1090" s="15"/>
      <c r="P1090" s="17">
        <f>IF(N1090&gt;0, O1090/N1090, 0)</f>
        <v>0</v>
      </c>
      <c r="Q1090" s="15">
        <f>N1090-O1090</f>
        <v>8000</v>
      </c>
      <c r="R1090" s="15">
        <f>M1090*N1090</f>
        <v>8000</v>
      </c>
      <c r="S1090" s="15">
        <f>M1090*O1090</f>
        <v>0</v>
      </c>
      <c r="T1090" s="15">
        <f>M1090*Q1090</f>
        <v>8000</v>
      </c>
      <c r="U1090" s="15"/>
      <c r="V1090" s="15">
        <f>M1090*U1090</f>
        <v>0</v>
      </c>
      <c r="W1090" s="15">
        <f>T1090-V1090</f>
        <v>8000</v>
      </c>
      <c r="X1090" s="17">
        <f>IF(T1090&gt;0, W1090/T1090, 0)</f>
        <v>1</v>
      </c>
      <c r="Y1090" s="8" t="s">
        <v>41</v>
      </c>
      <c r="Z1090" s="10" t="s">
        <v>42</v>
      </c>
      <c r="AA1090" s="10" t="s">
        <v>43</v>
      </c>
      <c r="AB1090" s="10" t="s">
        <v>44</v>
      </c>
      <c r="AC1090" s="8" t="s">
        <v>44</v>
      </c>
    </row>
    <row r="1091" spans="1:29">
      <c r="A1091" s="11">
        <v>1084</v>
      </c>
      <c r="B1091" s="11" t="s">
        <v>1398</v>
      </c>
      <c r="C1091" s="11" t="s">
        <v>1371</v>
      </c>
      <c r="D1091" s="11" t="s">
        <v>655</v>
      </c>
      <c r="E1091" s="11" t="s">
        <v>34</v>
      </c>
      <c r="F1091" s="11" t="s">
        <v>35</v>
      </c>
      <c r="G1091" s="9" t="s">
        <v>36</v>
      </c>
      <c r="H1091" s="9" t="s">
        <v>37</v>
      </c>
      <c r="I1091" s="9" t="s">
        <v>38</v>
      </c>
      <c r="J1091" s="11">
        <v>170</v>
      </c>
      <c r="K1091" s="11" t="s">
        <v>145</v>
      </c>
      <c r="L1091" s="11" t="s">
        <v>40</v>
      </c>
      <c r="M1091" s="13">
        <v>1</v>
      </c>
      <c r="N1091" s="16">
        <v>8000.0</v>
      </c>
      <c r="O1091" s="16"/>
      <c r="P1091" s="18">
        <f>IF(N1091&gt;0, O1091/N1091, 0)</f>
        <v>0</v>
      </c>
      <c r="Q1091" s="16">
        <f>N1091-O1091</f>
        <v>8000</v>
      </c>
      <c r="R1091" s="16">
        <f>M1091*N1091</f>
        <v>8000</v>
      </c>
      <c r="S1091" s="16">
        <f>M1091*O1091</f>
        <v>0</v>
      </c>
      <c r="T1091" s="16">
        <f>M1091*Q1091</f>
        <v>8000</v>
      </c>
      <c r="U1091" s="16"/>
      <c r="V1091" s="16">
        <f>M1091*U1091</f>
        <v>0</v>
      </c>
      <c r="W1091" s="16">
        <f>T1091-V1091</f>
        <v>8000</v>
      </c>
      <c r="X1091" s="18">
        <f>IF(T1091&gt;0, W1091/T1091, 0)</f>
        <v>1</v>
      </c>
      <c r="Y1091" s="9" t="s">
        <v>41</v>
      </c>
      <c r="Z1091" s="11" t="s">
        <v>42</v>
      </c>
      <c r="AA1091" s="11" t="s">
        <v>43</v>
      </c>
      <c r="AB1091" s="11" t="s">
        <v>44</v>
      </c>
      <c r="AC1091" s="9" t="s">
        <v>44</v>
      </c>
    </row>
    <row r="1092" spans="1:29">
      <c r="A1092" s="10">
        <v>1085</v>
      </c>
      <c r="B1092" s="10" t="s">
        <v>1399</v>
      </c>
      <c r="C1092" s="10" t="s">
        <v>1371</v>
      </c>
      <c r="D1092" s="10" t="s">
        <v>655</v>
      </c>
      <c r="E1092" s="10" t="s">
        <v>34</v>
      </c>
      <c r="F1092" s="10" t="s">
        <v>35</v>
      </c>
      <c r="G1092" s="8" t="s">
        <v>36</v>
      </c>
      <c r="H1092" s="8" t="s">
        <v>37</v>
      </c>
      <c r="I1092" s="8" t="s">
        <v>38</v>
      </c>
      <c r="J1092" s="10">
        <v>176</v>
      </c>
      <c r="K1092" s="10" t="s">
        <v>355</v>
      </c>
      <c r="L1092" s="10" t="s">
        <v>40</v>
      </c>
      <c r="M1092" s="12">
        <v>1</v>
      </c>
      <c r="N1092" s="15">
        <v>8000.0</v>
      </c>
      <c r="O1092" s="15"/>
      <c r="P1092" s="17">
        <f>IF(N1092&gt;0, O1092/N1092, 0)</f>
        <v>0</v>
      </c>
      <c r="Q1092" s="15">
        <f>N1092-O1092</f>
        <v>8000</v>
      </c>
      <c r="R1092" s="15">
        <f>M1092*N1092</f>
        <v>8000</v>
      </c>
      <c r="S1092" s="15">
        <f>M1092*O1092</f>
        <v>0</v>
      </c>
      <c r="T1092" s="15">
        <f>M1092*Q1092</f>
        <v>8000</v>
      </c>
      <c r="U1092" s="15"/>
      <c r="V1092" s="15">
        <f>M1092*U1092</f>
        <v>0</v>
      </c>
      <c r="W1092" s="15">
        <f>T1092-V1092</f>
        <v>8000</v>
      </c>
      <c r="X1092" s="17">
        <f>IF(T1092&gt;0, W1092/T1092, 0)</f>
        <v>1</v>
      </c>
      <c r="Y1092" s="8" t="s">
        <v>41</v>
      </c>
      <c r="Z1092" s="10" t="s">
        <v>42</v>
      </c>
      <c r="AA1092" s="10" t="s">
        <v>43</v>
      </c>
      <c r="AB1092" s="10" t="s">
        <v>44</v>
      </c>
      <c r="AC1092" s="8" t="s">
        <v>44</v>
      </c>
    </row>
    <row r="1093" spans="1:29">
      <c r="A1093" s="11">
        <v>1086</v>
      </c>
      <c r="B1093" s="11" t="s">
        <v>1400</v>
      </c>
      <c r="C1093" s="11" t="s">
        <v>1371</v>
      </c>
      <c r="D1093" s="11" t="s">
        <v>655</v>
      </c>
      <c r="E1093" s="11" t="s">
        <v>70</v>
      </c>
      <c r="F1093" s="11" t="s">
        <v>35</v>
      </c>
      <c r="G1093" s="9" t="s">
        <v>36</v>
      </c>
      <c r="H1093" s="9" t="s">
        <v>58</v>
      </c>
      <c r="I1093" s="9" t="s">
        <v>58</v>
      </c>
      <c r="J1093" s="11">
        <v>158</v>
      </c>
      <c r="K1093" s="11" t="s">
        <v>130</v>
      </c>
      <c r="L1093" s="11" t="s">
        <v>40</v>
      </c>
      <c r="M1093" s="13">
        <v>1</v>
      </c>
      <c r="N1093" s="16">
        <v>9000.0</v>
      </c>
      <c r="O1093" s="16"/>
      <c r="P1093" s="18">
        <f>IF(N1093&gt;0, O1093/N1093, 0)</f>
        <v>0</v>
      </c>
      <c r="Q1093" s="16">
        <f>N1093-O1093</f>
        <v>9000</v>
      </c>
      <c r="R1093" s="16">
        <f>M1093*N1093</f>
        <v>9000</v>
      </c>
      <c r="S1093" s="16">
        <f>M1093*O1093</f>
        <v>0</v>
      </c>
      <c r="T1093" s="16">
        <f>M1093*Q1093</f>
        <v>9000</v>
      </c>
      <c r="U1093" s="16"/>
      <c r="V1093" s="16">
        <f>M1093*U1093</f>
        <v>0</v>
      </c>
      <c r="W1093" s="16">
        <f>T1093-V1093</f>
        <v>9000</v>
      </c>
      <c r="X1093" s="18">
        <f>IF(T1093&gt;0, W1093/T1093, 0)</f>
        <v>1</v>
      </c>
      <c r="Y1093" s="9" t="s">
        <v>41</v>
      </c>
      <c r="Z1093" s="11" t="s">
        <v>42</v>
      </c>
      <c r="AA1093" s="11" t="s">
        <v>73</v>
      </c>
      <c r="AB1093" s="11" t="s">
        <v>44</v>
      </c>
      <c r="AC1093" s="9" t="s">
        <v>44</v>
      </c>
    </row>
    <row r="1094" spans="1:29">
      <c r="A1094" s="10">
        <v>1087</v>
      </c>
      <c r="B1094" s="10" t="s">
        <v>1401</v>
      </c>
      <c r="C1094" s="10" t="s">
        <v>1371</v>
      </c>
      <c r="D1094" s="10" t="s">
        <v>655</v>
      </c>
      <c r="E1094" s="10" t="s">
        <v>70</v>
      </c>
      <c r="F1094" s="10" t="s">
        <v>35</v>
      </c>
      <c r="G1094" s="8" t="s">
        <v>36</v>
      </c>
      <c r="H1094" s="8" t="s">
        <v>71</v>
      </c>
      <c r="I1094" s="8" t="s">
        <v>71</v>
      </c>
      <c r="J1094" s="10">
        <v>158</v>
      </c>
      <c r="K1094" s="10" t="s">
        <v>263</v>
      </c>
      <c r="L1094" s="10" t="s">
        <v>40</v>
      </c>
      <c r="M1094" s="12">
        <v>1</v>
      </c>
      <c r="N1094" s="15">
        <v>18000.0</v>
      </c>
      <c r="O1094" s="15"/>
      <c r="P1094" s="17">
        <f>IF(N1094&gt;0, O1094/N1094, 0)</f>
        <v>0</v>
      </c>
      <c r="Q1094" s="15">
        <f>N1094-O1094</f>
        <v>18000</v>
      </c>
      <c r="R1094" s="15">
        <f>M1094*N1094</f>
        <v>18000</v>
      </c>
      <c r="S1094" s="15">
        <f>M1094*O1094</f>
        <v>0</v>
      </c>
      <c r="T1094" s="15">
        <f>M1094*Q1094</f>
        <v>18000</v>
      </c>
      <c r="U1094" s="15"/>
      <c r="V1094" s="15">
        <f>M1094*U1094</f>
        <v>0</v>
      </c>
      <c r="W1094" s="15">
        <f>T1094-V1094</f>
        <v>18000</v>
      </c>
      <c r="X1094" s="17">
        <f>IF(T1094&gt;0, W1094/T1094, 0)</f>
        <v>1</v>
      </c>
      <c r="Y1094" s="8" t="s">
        <v>41</v>
      </c>
      <c r="Z1094" s="10" t="s">
        <v>42</v>
      </c>
      <c r="AA1094" s="10" t="s">
        <v>73</v>
      </c>
      <c r="AB1094" s="10" t="s">
        <v>44</v>
      </c>
      <c r="AC1094" s="8" t="s">
        <v>44</v>
      </c>
    </row>
    <row r="1095" spans="1:29">
      <c r="A1095" s="11">
        <v>1088</v>
      </c>
      <c r="B1095" s="11" t="s">
        <v>1402</v>
      </c>
      <c r="C1095" s="11" t="s">
        <v>1371</v>
      </c>
      <c r="D1095" s="11" t="s">
        <v>655</v>
      </c>
      <c r="E1095" s="11" t="s">
        <v>34</v>
      </c>
      <c r="F1095" s="11" t="s">
        <v>35</v>
      </c>
      <c r="G1095" s="9" t="s">
        <v>36</v>
      </c>
      <c r="H1095" s="9" t="s">
        <v>53</v>
      </c>
      <c r="I1095" s="9" t="s">
        <v>53</v>
      </c>
      <c r="J1095" s="11">
        <v>158</v>
      </c>
      <c r="K1095" s="11" t="s">
        <v>124</v>
      </c>
      <c r="L1095" s="11" t="s">
        <v>40</v>
      </c>
      <c r="M1095" s="13">
        <v>1</v>
      </c>
      <c r="N1095" s="16">
        <v>8500.0</v>
      </c>
      <c r="O1095" s="16"/>
      <c r="P1095" s="18">
        <f>IF(N1095&gt;0, O1095/N1095, 0)</f>
        <v>0</v>
      </c>
      <c r="Q1095" s="16">
        <f>N1095-O1095</f>
        <v>8500</v>
      </c>
      <c r="R1095" s="16">
        <f>M1095*N1095</f>
        <v>8500</v>
      </c>
      <c r="S1095" s="16">
        <f>M1095*O1095</f>
        <v>0</v>
      </c>
      <c r="T1095" s="16">
        <f>M1095*Q1095</f>
        <v>8500</v>
      </c>
      <c r="U1095" s="16"/>
      <c r="V1095" s="16">
        <f>M1095*U1095</f>
        <v>0</v>
      </c>
      <c r="W1095" s="16">
        <f>T1095-V1095</f>
        <v>8500</v>
      </c>
      <c r="X1095" s="18">
        <f>IF(T1095&gt;0, W1095/T1095, 0)</f>
        <v>1</v>
      </c>
      <c r="Y1095" s="9" t="s">
        <v>41</v>
      </c>
      <c r="Z1095" s="11" t="s">
        <v>42</v>
      </c>
      <c r="AA1095" s="11" t="s">
        <v>43</v>
      </c>
      <c r="AB1095" s="11" t="s">
        <v>44</v>
      </c>
      <c r="AC1095" s="9" t="s">
        <v>44</v>
      </c>
    </row>
    <row r="1096" spans="1:29">
      <c r="A1096" s="10">
        <v>1089</v>
      </c>
      <c r="B1096" s="10" t="s">
        <v>1403</v>
      </c>
      <c r="C1096" s="10" t="s">
        <v>1371</v>
      </c>
      <c r="D1096" s="10" t="s">
        <v>655</v>
      </c>
      <c r="E1096" s="10" t="s">
        <v>34</v>
      </c>
      <c r="F1096" s="10" t="s">
        <v>35</v>
      </c>
      <c r="G1096" s="8" t="s">
        <v>36</v>
      </c>
      <c r="H1096" s="8" t="s">
        <v>65</v>
      </c>
      <c r="I1096" s="8" t="s">
        <v>151</v>
      </c>
      <c r="J1096" s="10">
        <v>164</v>
      </c>
      <c r="K1096" s="10" t="s">
        <v>368</v>
      </c>
      <c r="L1096" s="10" t="s">
        <v>40</v>
      </c>
      <c r="M1096" s="12">
        <v>1</v>
      </c>
      <c r="N1096" s="15">
        <v>9500.0</v>
      </c>
      <c r="O1096" s="15"/>
      <c r="P1096" s="17">
        <f>IF(N1096&gt;0, O1096/N1096, 0)</f>
        <v>0</v>
      </c>
      <c r="Q1096" s="15">
        <f>N1096-O1096</f>
        <v>9500</v>
      </c>
      <c r="R1096" s="15">
        <f>M1096*N1096</f>
        <v>9500</v>
      </c>
      <c r="S1096" s="15">
        <f>M1096*O1096</f>
        <v>0</v>
      </c>
      <c r="T1096" s="15">
        <f>M1096*Q1096</f>
        <v>9500</v>
      </c>
      <c r="U1096" s="15"/>
      <c r="V1096" s="15">
        <f>M1096*U1096</f>
        <v>0</v>
      </c>
      <c r="W1096" s="15">
        <f>T1096-V1096</f>
        <v>9500</v>
      </c>
      <c r="X1096" s="17">
        <f>IF(T1096&gt;0, W1096/T1096, 0)</f>
        <v>1</v>
      </c>
      <c r="Y1096" s="8" t="s">
        <v>41</v>
      </c>
      <c r="Z1096" s="10" t="s">
        <v>42</v>
      </c>
      <c r="AA1096" s="10" t="s">
        <v>43</v>
      </c>
      <c r="AB1096" s="10" t="s">
        <v>44</v>
      </c>
      <c r="AC1096" s="8" t="s">
        <v>44</v>
      </c>
    </row>
    <row r="1097" spans="1:29">
      <c r="A1097" s="11">
        <v>1090</v>
      </c>
      <c r="B1097" s="11" t="s">
        <v>1404</v>
      </c>
      <c r="C1097" s="11" t="s">
        <v>1371</v>
      </c>
      <c r="D1097" s="11" t="s">
        <v>655</v>
      </c>
      <c r="E1097" s="11" t="s">
        <v>34</v>
      </c>
      <c r="F1097" s="11" t="s">
        <v>35</v>
      </c>
      <c r="G1097" s="9" t="s">
        <v>36</v>
      </c>
      <c r="H1097" s="9" t="s">
        <v>37</v>
      </c>
      <c r="I1097" s="9" t="s">
        <v>75</v>
      </c>
      <c r="J1097" s="11">
        <v>164</v>
      </c>
      <c r="K1097" s="11" t="s">
        <v>76</v>
      </c>
      <c r="L1097" s="11" t="s">
        <v>40</v>
      </c>
      <c r="M1097" s="13">
        <v>1</v>
      </c>
      <c r="N1097" s="16">
        <v>9000.0</v>
      </c>
      <c r="O1097" s="16"/>
      <c r="P1097" s="18">
        <f>IF(N1097&gt;0, O1097/N1097, 0)</f>
        <v>0</v>
      </c>
      <c r="Q1097" s="16">
        <f>N1097-O1097</f>
        <v>9000</v>
      </c>
      <c r="R1097" s="16">
        <f>M1097*N1097</f>
        <v>9000</v>
      </c>
      <c r="S1097" s="16">
        <f>M1097*O1097</f>
        <v>0</v>
      </c>
      <c r="T1097" s="16">
        <f>M1097*Q1097</f>
        <v>9000</v>
      </c>
      <c r="U1097" s="16"/>
      <c r="V1097" s="16">
        <f>M1097*U1097</f>
        <v>0</v>
      </c>
      <c r="W1097" s="16">
        <f>T1097-V1097</f>
        <v>9000</v>
      </c>
      <c r="X1097" s="18">
        <f>IF(T1097&gt;0, W1097/T1097, 0)</f>
        <v>1</v>
      </c>
      <c r="Y1097" s="9" t="s">
        <v>41</v>
      </c>
      <c r="Z1097" s="11" t="s">
        <v>42</v>
      </c>
      <c r="AA1097" s="11" t="s">
        <v>43</v>
      </c>
      <c r="AB1097" s="11" t="s">
        <v>44</v>
      </c>
      <c r="AC1097" s="9" t="s">
        <v>44</v>
      </c>
    </row>
    <row r="1098" spans="1:29">
      <c r="A1098" s="10">
        <v>1091</v>
      </c>
      <c r="B1098" s="10" t="s">
        <v>1405</v>
      </c>
      <c r="C1098" s="10" t="s">
        <v>1371</v>
      </c>
      <c r="D1098" s="10" t="s">
        <v>655</v>
      </c>
      <c r="E1098" s="10" t="s">
        <v>34</v>
      </c>
      <c r="F1098" s="10" t="s">
        <v>35</v>
      </c>
      <c r="G1098" s="8" t="s">
        <v>36</v>
      </c>
      <c r="H1098" s="8" t="s">
        <v>37</v>
      </c>
      <c r="I1098" s="8" t="s">
        <v>38</v>
      </c>
      <c r="J1098" s="10">
        <v>158</v>
      </c>
      <c r="K1098" s="10" t="s">
        <v>39</v>
      </c>
      <c r="L1098" s="10" t="s">
        <v>40</v>
      </c>
      <c r="M1098" s="12">
        <v>2</v>
      </c>
      <c r="N1098" s="15">
        <v>8000.0</v>
      </c>
      <c r="O1098" s="15"/>
      <c r="P1098" s="17">
        <f>IF(N1098&gt;0, O1098/N1098, 0)</f>
        <v>0</v>
      </c>
      <c r="Q1098" s="15">
        <f>N1098-O1098</f>
        <v>8000</v>
      </c>
      <c r="R1098" s="15">
        <f>M1098*N1098</f>
        <v>16000</v>
      </c>
      <c r="S1098" s="15">
        <f>M1098*O1098</f>
        <v>0</v>
      </c>
      <c r="T1098" s="15">
        <f>M1098*Q1098</f>
        <v>16000</v>
      </c>
      <c r="U1098" s="15"/>
      <c r="V1098" s="15">
        <f>M1098*U1098</f>
        <v>0</v>
      </c>
      <c r="W1098" s="15">
        <f>T1098-V1098</f>
        <v>16000</v>
      </c>
      <c r="X1098" s="17">
        <f>IF(T1098&gt;0, W1098/T1098, 0)</f>
        <v>1</v>
      </c>
      <c r="Y1098" s="8" t="s">
        <v>41</v>
      </c>
      <c r="Z1098" s="10" t="s">
        <v>42</v>
      </c>
      <c r="AA1098" s="10" t="s">
        <v>43</v>
      </c>
      <c r="AB1098" s="10" t="s">
        <v>44</v>
      </c>
      <c r="AC1098" s="8" t="s">
        <v>44</v>
      </c>
    </row>
    <row r="1099" spans="1:29">
      <c r="A1099" s="11">
        <v>1092</v>
      </c>
      <c r="B1099" s="11" t="s">
        <v>1406</v>
      </c>
      <c r="C1099" s="11" t="s">
        <v>1371</v>
      </c>
      <c r="D1099" s="11" t="s">
        <v>655</v>
      </c>
      <c r="E1099" s="11" t="s">
        <v>34</v>
      </c>
      <c r="F1099" s="11" t="s">
        <v>35</v>
      </c>
      <c r="G1099" s="9" t="s">
        <v>36</v>
      </c>
      <c r="H1099" s="9" t="s">
        <v>37</v>
      </c>
      <c r="I1099" s="9" t="s">
        <v>38</v>
      </c>
      <c r="J1099" s="11">
        <v>170</v>
      </c>
      <c r="K1099" s="11" t="s">
        <v>145</v>
      </c>
      <c r="L1099" s="11" t="s">
        <v>40</v>
      </c>
      <c r="M1099" s="13">
        <v>3</v>
      </c>
      <c r="N1099" s="16">
        <v>8000.0</v>
      </c>
      <c r="O1099" s="16"/>
      <c r="P1099" s="18">
        <f>IF(N1099&gt;0, O1099/N1099, 0)</f>
        <v>0</v>
      </c>
      <c r="Q1099" s="16">
        <f>N1099-O1099</f>
        <v>8000</v>
      </c>
      <c r="R1099" s="16">
        <f>M1099*N1099</f>
        <v>24000</v>
      </c>
      <c r="S1099" s="16">
        <f>M1099*O1099</f>
        <v>0</v>
      </c>
      <c r="T1099" s="16">
        <f>M1099*Q1099</f>
        <v>24000</v>
      </c>
      <c r="U1099" s="16"/>
      <c r="V1099" s="16">
        <f>M1099*U1099</f>
        <v>0</v>
      </c>
      <c r="W1099" s="16">
        <f>T1099-V1099</f>
        <v>24000</v>
      </c>
      <c r="X1099" s="18">
        <f>IF(T1099&gt;0, W1099/T1099, 0)</f>
        <v>1</v>
      </c>
      <c r="Y1099" s="9" t="s">
        <v>41</v>
      </c>
      <c r="Z1099" s="11" t="s">
        <v>42</v>
      </c>
      <c r="AA1099" s="11" t="s">
        <v>43</v>
      </c>
      <c r="AB1099" s="11" t="s">
        <v>44</v>
      </c>
      <c r="AC1099" s="9" t="s">
        <v>44</v>
      </c>
    </row>
    <row r="1100" spans="1:29">
      <c r="A1100" s="10">
        <v>1093</v>
      </c>
      <c r="B1100" s="10" t="s">
        <v>1407</v>
      </c>
      <c r="C1100" s="10" t="s">
        <v>1371</v>
      </c>
      <c r="D1100" s="10" t="s">
        <v>655</v>
      </c>
      <c r="E1100" s="10" t="s">
        <v>34</v>
      </c>
      <c r="F1100" s="10" t="s">
        <v>35</v>
      </c>
      <c r="G1100" s="8" t="s">
        <v>36</v>
      </c>
      <c r="H1100" s="8" t="s">
        <v>53</v>
      </c>
      <c r="I1100" s="8" t="s">
        <v>53</v>
      </c>
      <c r="J1100" s="10">
        <v>170</v>
      </c>
      <c r="K1100" s="10" t="s">
        <v>1142</v>
      </c>
      <c r="L1100" s="10" t="s">
        <v>40</v>
      </c>
      <c r="M1100" s="12">
        <v>2</v>
      </c>
      <c r="N1100" s="15">
        <v>8500.0</v>
      </c>
      <c r="O1100" s="15"/>
      <c r="P1100" s="17">
        <f>IF(N1100&gt;0, O1100/N1100, 0)</f>
        <v>0</v>
      </c>
      <c r="Q1100" s="15">
        <f>N1100-O1100</f>
        <v>8500</v>
      </c>
      <c r="R1100" s="15">
        <f>M1100*N1100</f>
        <v>17000</v>
      </c>
      <c r="S1100" s="15">
        <f>M1100*O1100</f>
        <v>0</v>
      </c>
      <c r="T1100" s="15">
        <f>M1100*Q1100</f>
        <v>17000</v>
      </c>
      <c r="U1100" s="15"/>
      <c r="V1100" s="15">
        <f>M1100*U1100</f>
        <v>0</v>
      </c>
      <c r="W1100" s="15">
        <f>T1100-V1100</f>
        <v>17000</v>
      </c>
      <c r="X1100" s="17">
        <f>IF(T1100&gt;0, W1100/T1100, 0)</f>
        <v>1</v>
      </c>
      <c r="Y1100" s="8" t="s">
        <v>41</v>
      </c>
      <c r="Z1100" s="10" t="s">
        <v>42</v>
      </c>
      <c r="AA1100" s="10" t="s">
        <v>43</v>
      </c>
      <c r="AB1100" s="10" t="s">
        <v>44</v>
      </c>
      <c r="AC1100" s="8" t="s">
        <v>44</v>
      </c>
    </row>
    <row r="1101" spans="1:29">
      <c r="A1101" s="11">
        <v>1094</v>
      </c>
      <c r="B1101" s="11" t="s">
        <v>1408</v>
      </c>
      <c r="C1101" s="11" t="s">
        <v>1371</v>
      </c>
      <c r="D1101" s="11" t="s">
        <v>655</v>
      </c>
      <c r="E1101" s="11" t="s">
        <v>34</v>
      </c>
      <c r="F1101" s="11" t="s">
        <v>35</v>
      </c>
      <c r="G1101" s="9" t="s">
        <v>36</v>
      </c>
      <c r="H1101" s="9" t="s">
        <v>47</v>
      </c>
      <c r="I1101" s="9" t="s">
        <v>48</v>
      </c>
      <c r="J1101" s="11">
        <v>170</v>
      </c>
      <c r="K1101" s="11" t="s">
        <v>184</v>
      </c>
      <c r="L1101" s="11" t="s">
        <v>40</v>
      </c>
      <c r="M1101" s="13">
        <v>1</v>
      </c>
      <c r="N1101" s="16">
        <v>18000.0</v>
      </c>
      <c r="O1101" s="16"/>
      <c r="P1101" s="18">
        <f>IF(N1101&gt;0, O1101/N1101, 0)</f>
        <v>0</v>
      </c>
      <c r="Q1101" s="16">
        <f>N1101-O1101</f>
        <v>18000</v>
      </c>
      <c r="R1101" s="16">
        <f>M1101*N1101</f>
        <v>18000</v>
      </c>
      <c r="S1101" s="16">
        <f>M1101*O1101</f>
        <v>0</v>
      </c>
      <c r="T1101" s="16">
        <f>M1101*Q1101</f>
        <v>18000</v>
      </c>
      <c r="U1101" s="16"/>
      <c r="V1101" s="16">
        <f>M1101*U1101</f>
        <v>0</v>
      </c>
      <c r="W1101" s="16">
        <f>T1101-V1101</f>
        <v>18000</v>
      </c>
      <c r="X1101" s="18">
        <f>IF(T1101&gt;0, W1101/T1101, 0)</f>
        <v>1</v>
      </c>
      <c r="Y1101" s="9" t="s">
        <v>41</v>
      </c>
      <c r="Z1101" s="11" t="s">
        <v>42</v>
      </c>
      <c r="AA1101" s="11" t="s">
        <v>43</v>
      </c>
      <c r="AB1101" s="11" t="s">
        <v>44</v>
      </c>
      <c r="AC1101" s="9" t="s">
        <v>44</v>
      </c>
    </row>
    <row r="1102" spans="1:29">
      <c r="A1102" s="10">
        <v>1095</v>
      </c>
      <c r="B1102" s="10" t="s">
        <v>1409</v>
      </c>
      <c r="C1102" s="10" t="s">
        <v>1371</v>
      </c>
      <c r="D1102" s="10" t="s">
        <v>655</v>
      </c>
      <c r="E1102" s="10" t="s">
        <v>34</v>
      </c>
      <c r="F1102" s="10" t="s">
        <v>35</v>
      </c>
      <c r="G1102" s="8" t="s">
        <v>36</v>
      </c>
      <c r="H1102" s="8" t="s">
        <v>58</v>
      </c>
      <c r="I1102" s="8" t="s">
        <v>58</v>
      </c>
      <c r="J1102" s="10">
        <v>164</v>
      </c>
      <c r="K1102" s="10" t="s">
        <v>59</v>
      </c>
      <c r="L1102" s="10" t="s">
        <v>40</v>
      </c>
      <c r="M1102" s="12">
        <v>1</v>
      </c>
      <c r="N1102" s="15">
        <v>7500.0</v>
      </c>
      <c r="O1102" s="15"/>
      <c r="P1102" s="17">
        <f>IF(N1102&gt;0, O1102/N1102, 0)</f>
        <v>0</v>
      </c>
      <c r="Q1102" s="15">
        <f>N1102-O1102</f>
        <v>7500</v>
      </c>
      <c r="R1102" s="15">
        <f>M1102*N1102</f>
        <v>7500</v>
      </c>
      <c r="S1102" s="15">
        <f>M1102*O1102</f>
        <v>0</v>
      </c>
      <c r="T1102" s="15">
        <f>M1102*Q1102</f>
        <v>7500</v>
      </c>
      <c r="U1102" s="15"/>
      <c r="V1102" s="15">
        <f>M1102*U1102</f>
        <v>0</v>
      </c>
      <c r="W1102" s="15">
        <f>T1102-V1102</f>
        <v>7500</v>
      </c>
      <c r="X1102" s="17">
        <f>IF(T1102&gt;0, W1102/T1102, 0)</f>
        <v>1</v>
      </c>
      <c r="Y1102" s="8" t="s">
        <v>41</v>
      </c>
      <c r="Z1102" s="10" t="s">
        <v>42</v>
      </c>
      <c r="AA1102" s="10" t="s">
        <v>43</v>
      </c>
      <c r="AB1102" s="10" t="s">
        <v>44</v>
      </c>
      <c r="AC1102" s="8" t="s">
        <v>44</v>
      </c>
    </row>
    <row r="1103" spans="1:29">
      <c r="A1103" s="11">
        <v>1096</v>
      </c>
      <c r="B1103" s="11" t="s">
        <v>1410</v>
      </c>
      <c r="C1103" s="11" t="s">
        <v>1371</v>
      </c>
      <c r="D1103" s="11" t="s">
        <v>655</v>
      </c>
      <c r="E1103" s="11" t="s">
        <v>34</v>
      </c>
      <c r="F1103" s="11" t="s">
        <v>35</v>
      </c>
      <c r="G1103" s="9" t="s">
        <v>36</v>
      </c>
      <c r="H1103" s="9" t="s">
        <v>53</v>
      </c>
      <c r="I1103" s="9" t="s">
        <v>53</v>
      </c>
      <c r="J1103" s="11">
        <v>158</v>
      </c>
      <c r="K1103" s="11" t="s">
        <v>124</v>
      </c>
      <c r="L1103" s="11" t="s">
        <v>40</v>
      </c>
      <c r="M1103" s="13">
        <v>1</v>
      </c>
      <c r="N1103" s="16">
        <v>8500.0</v>
      </c>
      <c r="O1103" s="16"/>
      <c r="P1103" s="18">
        <f>IF(N1103&gt;0, O1103/N1103, 0)</f>
        <v>0</v>
      </c>
      <c r="Q1103" s="16">
        <f>N1103-O1103</f>
        <v>8500</v>
      </c>
      <c r="R1103" s="16">
        <f>M1103*N1103</f>
        <v>8500</v>
      </c>
      <c r="S1103" s="16">
        <f>M1103*O1103</f>
        <v>0</v>
      </c>
      <c r="T1103" s="16">
        <f>M1103*Q1103</f>
        <v>8500</v>
      </c>
      <c r="U1103" s="16"/>
      <c r="V1103" s="16">
        <f>M1103*U1103</f>
        <v>0</v>
      </c>
      <c r="W1103" s="16">
        <f>T1103-V1103</f>
        <v>8500</v>
      </c>
      <c r="X1103" s="18">
        <f>IF(T1103&gt;0, W1103/T1103, 0)</f>
        <v>1</v>
      </c>
      <c r="Y1103" s="9" t="s">
        <v>41</v>
      </c>
      <c r="Z1103" s="11" t="s">
        <v>42</v>
      </c>
      <c r="AA1103" s="11" t="s">
        <v>43</v>
      </c>
      <c r="AB1103" s="11" t="s">
        <v>44</v>
      </c>
      <c r="AC1103" s="9" t="s">
        <v>44</v>
      </c>
    </row>
    <row r="1104" spans="1:29">
      <c r="A1104" s="10">
        <v>1097</v>
      </c>
      <c r="B1104" s="10" t="s">
        <v>1411</v>
      </c>
      <c r="C1104" s="10" t="s">
        <v>1371</v>
      </c>
      <c r="D1104" s="10" t="s">
        <v>655</v>
      </c>
      <c r="E1104" s="10" t="s">
        <v>34</v>
      </c>
      <c r="F1104" s="10" t="s">
        <v>35</v>
      </c>
      <c r="G1104" s="8" t="s">
        <v>36</v>
      </c>
      <c r="H1104" s="8" t="s">
        <v>47</v>
      </c>
      <c r="I1104" s="8" t="s">
        <v>48</v>
      </c>
      <c r="J1104" s="10">
        <v>158</v>
      </c>
      <c r="K1104" s="10" t="s">
        <v>49</v>
      </c>
      <c r="L1104" s="10" t="s">
        <v>40</v>
      </c>
      <c r="M1104" s="12">
        <v>1</v>
      </c>
      <c r="N1104" s="15">
        <v>18000.0</v>
      </c>
      <c r="O1104" s="15"/>
      <c r="P1104" s="17">
        <f>IF(N1104&gt;0, O1104/N1104, 0)</f>
        <v>0</v>
      </c>
      <c r="Q1104" s="15">
        <f>N1104-O1104</f>
        <v>18000</v>
      </c>
      <c r="R1104" s="15">
        <f>M1104*N1104</f>
        <v>18000</v>
      </c>
      <c r="S1104" s="15">
        <f>M1104*O1104</f>
        <v>0</v>
      </c>
      <c r="T1104" s="15">
        <f>M1104*Q1104</f>
        <v>18000</v>
      </c>
      <c r="U1104" s="15"/>
      <c r="V1104" s="15">
        <f>M1104*U1104</f>
        <v>0</v>
      </c>
      <c r="W1104" s="15">
        <f>T1104-V1104</f>
        <v>18000</v>
      </c>
      <c r="X1104" s="17">
        <f>IF(T1104&gt;0, W1104/T1104, 0)</f>
        <v>1</v>
      </c>
      <c r="Y1104" s="8" t="s">
        <v>41</v>
      </c>
      <c r="Z1104" s="10" t="s">
        <v>42</v>
      </c>
      <c r="AA1104" s="10" t="s">
        <v>43</v>
      </c>
      <c r="AB1104" s="10" t="s">
        <v>44</v>
      </c>
      <c r="AC1104" s="8" t="s">
        <v>44</v>
      </c>
    </row>
    <row r="1105" spans="1:29">
      <c r="A1105" s="11">
        <v>1098</v>
      </c>
      <c r="B1105" s="11" t="s">
        <v>1412</v>
      </c>
      <c r="C1105" s="11" t="s">
        <v>1371</v>
      </c>
      <c r="D1105" s="11" t="s">
        <v>655</v>
      </c>
      <c r="E1105" s="11" t="s">
        <v>34</v>
      </c>
      <c r="F1105" s="11" t="s">
        <v>35</v>
      </c>
      <c r="G1105" s="9" t="s">
        <v>36</v>
      </c>
      <c r="H1105" s="9" t="s">
        <v>58</v>
      </c>
      <c r="I1105" s="9" t="s">
        <v>58</v>
      </c>
      <c r="J1105" s="11">
        <v>158</v>
      </c>
      <c r="K1105" s="11" t="s">
        <v>130</v>
      </c>
      <c r="L1105" s="11" t="s">
        <v>40</v>
      </c>
      <c r="M1105" s="13">
        <v>1</v>
      </c>
      <c r="N1105" s="16">
        <v>7500.0</v>
      </c>
      <c r="O1105" s="16"/>
      <c r="P1105" s="18">
        <f>IF(N1105&gt;0, O1105/N1105, 0)</f>
        <v>0</v>
      </c>
      <c r="Q1105" s="16">
        <f>N1105-O1105</f>
        <v>7500</v>
      </c>
      <c r="R1105" s="16">
        <f>M1105*N1105</f>
        <v>7500</v>
      </c>
      <c r="S1105" s="16">
        <f>M1105*O1105</f>
        <v>0</v>
      </c>
      <c r="T1105" s="16">
        <f>M1105*Q1105</f>
        <v>7500</v>
      </c>
      <c r="U1105" s="16"/>
      <c r="V1105" s="16">
        <f>M1105*U1105</f>
        <v>0</v>
      </c>
      <c r="W1105" s="16">
        <f>T1105-V1105</f>
        <v>7500</v>
      </c>
      <c r="X1105" s="18">
        <f>IF(T1105&gt;0, W1105/T1105, 0)</f>
        <v>1</v>
      </c>
      <c r="Y1105" s="9" t="s">
        <v>41</v>
      </c>
      <c r="Z1105" s="11" t="s">
        <v>42</v>
      </c>
      <c r="AA1105" s="11" t="s">
        <v>43</v>
      </c>
      <c r="AB1105" s="11" t="s">
        <v>44</v>
      </c>
      <c r="AC1105" s="9" t="s">
        <v>44</v>
      </c>
    </row>
    <row r="1106" spans="1:29">
      <c r="A1106" s="10">
        <v>1099</v>
      </c>
      <c r="B1106" s="10" t="s">
        <v>1413</v>
      </c>
      <c r="C1106" s="10" t="s">
        <v>1371</v>
      </c>
      <c r="D1106" s="10" t="s">
        <v>655</v>
      </c>
      <c r="E1106" s="10" t="s">
        <v>34</v>
      </c>
      <c r="F1106" s="10" t="s">
        <v>35</v>
      </c>
      <c r="G1106" s="8" t="s">
        <v>36</v>
      </c>
      <c r="H1106" s="8" t="s">
        <v>65</v>
      </c>
      <c r="I1106" s="8" t="s">
        <v>151</v>
      </c>
      <c r="J1106" s="10">
        <v>152</v>
      </c>
      <c r="K1106" s="10" t="s">
        <v>198</v>
      </c>
      <c r="L1106" s="10" t="s">
        <v>40</v>
      </c>
      <c r="M1106" s="12">
        <v>1</v>
      </c>
      <c r="N1106" s="15">
        <v>9500.0</v>
      </c>
      <c r="O1106" s="15"/>
      <c r="P1106" s="17">
        <f>IF(N1106&gt;0, O1106/N1106, 0)</f>
        <v>0</v>
      </c>
      <c r="Q1106" s="15">
        <f>N1106-O1106</f>
        <v>9500</v>
      </c>
      <c r="R1106" s="15">
        <f>M1106*N1106</f>
        <v>9500</v>
      </c>
      <c r="S1106" s="15">
        <f>M1106*O1106</f>
        <v>0</v>
      </c>
      <c r="T1106" s="15">
        <f>M1106*Q1106</f>
        <v>9500</v>
      </c>
      <c r="U1106" s="15"/>
      <c r="V1106" s="15">
        <f>M1106*U1106</f>
        <v>0</v>
      </c>
      <c r="W1106" s="15">
        <f>T1106-V1106</f>
        <v>9500</v>
      </c>
      <c r="X1106" s="17">
        <f>IF(T1106&gt;0, W1106/T1106, 0)</f>
        <v>1</v>
      </c>
      <c r="Y1106" s="8" t="s">
        <v>41</v>
      </c>
      <c r="Z1106" s="10" t="s">
        <v>42</v>
      </c>
      <c r="AA1106" s="10" t="s">
        <v>43</v>
      </c>
      <c r="AB1106" s="10" t="s">
        <v>44</v>
      </c>
      <c r="AC1106" s="8" t="s">
        <v>44</v>
      </c>
    </row>
    <row r="1107" spans="1:29">
      <c r="A1107" s="11">
        <v>1100</v>
      </c>
      <c r="B1107" s="11" t="s">
        <v>1414</v>
      </c>
      <c r="C1107" s="11" t="s">
        <v>1371</v>
      </c>
      <c r="D1107" s="11" t="s">
        <v>655</v>
      </c>
      <c r="E1107" s="11" t="s">
        <v>34</v>
      </c>
      <c r="F1107" s="11" t="s">
        <v>35</v>
      </c>
      <c r="G1107" s="9" t="s">
        <v>36</v>
      </c>
      <c r="H1107" s="9" t="s">
        <v>37</v>
      </c>
      <c r="I1107" s="9" t="s">
        <v>75</v>
      </c>
      <c r="J1107" s="11">
        <v>158</v>
      </c>
      <c r="K1107" s="11" t="s">
        <v>294</v>
      </c>
      <c r="L1107" s="11" t="s">
        <v>40</v>
      </c>
      <c r="M1107" s="13">
        <v>1</v>
      </c>
      <c r="N1107" s="16">
        <v>9000.0</v>
      </c>
      <c r="O1107" s="16"/>
      <c r="P1107" s="18">
        <f>IF(N1107&gt;0, O1107/N1107, 0)</f>
        <v>0</v>
      </c>
      <c r="Q1107" s="16">
        <f>N1107-O1107</f>
        <v>9000</v>
      </c>
      <c r="R1107" s="16">
        <f>M1107*N1107</f>
        <v>9000</v>
      </c>
      <c r="S1107" s="16">
        <f>M1107*O1107</f>
        <v>0</v>
      </c>
      <c r="T1107" s="16">
        <f>M1107*Q1107</f>
        <v>9000</v>
      </c>
      <c r="U1107" s="16"/>
      <c r="V1107" s="16">
        <f>M1107*U1107</f>
        <v>0</v>
      </c>
      <c r="W1107" s="16">
        <f>T1107-V1107</f>
        <v>9000</v>
      </c>
      <c r="X1107" s="18">
        <f>IF(T1107&gt;0, W1107/T1107, 0)</f>
        <v>1</v>
      </c>
      <c r="Y1107" s="9" t="s">
        <v>41</v>
      </c>
      <c r="Z1107" s="11" t="s">
        <v>42</v>
      </c>
      <c r="AA1107" s="11" t="s">
        <v>43</v>
      </c>
      <c r="AB1107" s="11" t="s">
        <v>44</v>
      </c>
      <c r="AC1107" s="9" t="s">
        <v>44</v>
      </c>
    </row>
    <row r="1108" spans="1:29">
      <c r="A1108" s="10">
        <v>1101</v>
      </c>
      <c r="B1108" s="10" t="s">
        <v>1415</v>
      </c>
      <c r="C1108" s="10" t="s">
        <v>1371</v>
      </c>
      <c r="D1108" s="10" t="s">
        <v>655</v>
      </c>
      <c r="E1108" s="10" t="s">
        <v>34</v>
      </c>
      <c r="F1108" s="10" t="s">
        <v>35</v>
      </c>
      <c r="G1108" s="8" t="s">
        <v>36</v>
      </c>
      <c r="H1108" s="8" t="s">
        <v>37</v>
      </c>
      <c r="I1108" s="8" t="s">
        <v>38</v>
      </c>
      <c r="J1108" s="10">
        <v>158</v>
      </c>
      <c r="K1108" s="10" t="s">
        <v>39</v>
      </c>
      <c r="L1108" s="10" t="s">
        <v>40</v>
      </c>
      <c r="M1108" s="12">
        <v>2</v>
      </c>
      <c r="N1108" s="15">
        <v>8000.0</v>
      </c>
      <c r="O1108" s="15"/>
      <c r="P1108" s="17">
        <f>IF(N1108&gt;0, O1108/N1108, 0)</f>
        <v>0</v>
      </c>
      <c r="Q1108" s="15">
        <f>N1108-O1108</f>
        <v>8000</v>
      </c>
      <c r="R1108" s="15">
        <f>M1108*N1108</f>
        <v>16000</v>
      </c>
      <c r="S1108" s="15">
        <f>M1108*O1108</f>
        <v>0</v>
      </c>
      <c r="T1108" s="15">
        <f>M1108*Q1108</f>
        <v>16000</v>
      </c>
      <c r="U1108" s="15"/>
      <c r="V1108" s="15">
        <f>M1108*U1108</f>
        <v>0</v>
      </c>
      <c r="W1108" s="15">
        <f>T1108-V1108</f>
        <v>16000</v>
      </c>
      <c r="X1108" s="17">
        <f>IF(T1108&gt;0, W1108/T1108, 0)</f>
        <v>1</v>
      </c>
      <c r="Y1108" s="8" t="s">
        <v>41</v>
      </c>
      <c r="Z1108" s="10" t="s">
        <v>42</v>
      </c>
      <c r="AA1108" s="10" t="s">
        <v>43</v>
      </c>
      <c r="AB1108" s="10" t="s">
        <v>44</v>
      </c>
      <c r="AC1108" s="8" t="s">
        <v>44</v>
      </c>
    </row>
    <row r="1109" spans="1:29">
      <c r="A1109" s="11">
        <v>1102</v>
      </c>
      <c r="B1109" s="11" t="s">
        <v>1416</v>
      </c>
      <c r="C1109" s="11" t="s">
        <v>1371</v>
      </c>
      <c r="D1109" s="11" t="s">
        <v>655</v>
      </c>
      <c r="E1109" s="11" t="s">
        <v>34</v>
      </c>
      <c r="F1109" s="11" t="s">
        <v>35</v>
      </c>
      <c r="G1109" s="9" t="s">
        <v>52</v>
      </c>
      <c r="H1109" s="9" t="s">
        <v>71</v>
      </c>
      <c r="I1109" s="9" t="s">
        <v>71</v>
      </c>
      <c r="J1109" s="11">
        <v>158</v>
      </c>
      <c r="K1109" s="11" t="s">
        <v>110</v>
      </c>
      <c r="L1109" s="11" t="s">
        <v>40</v>
      </c>
      <c r="M1109" s="13">
        <v>1</v>
      </c>
      <c r="N1109" s="16">
        <v>17000.0</v>
      </c>
      <c r="O1109" s="16"/>
      <c r="P1109" s="18">
        <f>IF(N1109&gt;0, O1109/N1109, 0)</f>
        <v>0</v>
      </c>
      <c r="Q1109" s="16">
        <f>N1109-O1109</f>
        <v>17000</v>
      </c>
      <c r="R1109" s="16">
        <f>M1109*N1109</f>
        <v>17000</v>
      </c>
      <c r="S1109" s="16">
        <f>M1109*O1109</f>
        <v>0</v>
      </c>
      <c r="T1109" s="16">
        <f>M1109*Q1109</f>
        <v>17000</v>
      </c>
      <c r="U1109" s="16"/>
      <c r="V1109" s="16">
        <f>M1109*U1109</f>
        <v>0</v>
      </c>
      <c r="W1109" s="16">
        <f>T1109-V1109</f>
        <v>17000</v>
      </c>
      <c r="X1109" s="18">
        <f>IF(T1109&gt;0, W1109/T1109, 0)</f>
        <v>1</v>
      </c>
      <c r="Y1109" s="9" t="s">
        <v>41</v>
      </c>
      <c r="Z1109" s="11" t="s">
        <v>42</v>
      </c>
      <c r="AA1109" s="11" t="s">
        <v>43</v>
      </c>
      <c r="AB1109" s="11" t="s">
        <v>44</v>
      </c>
      <c r="AC1109" s="9" t="s">
        <v>44</v>
      </c>
    </row>
    <row r="1110" spans="1:29">
      <c r="A1110" s="10">
        <v>1103</v>
      </c>
      <c r="B1110" s="10" t="s">
        <v>1417</v>
      </c>
      <c r="C1110" s="10" t="s">
        <v>1371</v>
      </c>
      <c r="D1110" s="10" t="s">
        <v>655</v>
      </c>
      <c r="E1110" s="10" t="s">
        <v>34</v>
      </c>
      <c r="F1110" s="10" t="s">
        <v>35</v>
      </c>
      <c r="G1110" s="8" t="s">
        <v>52</v>
      </c>
      <c r="H1110" s="8" t="s">
        <v>53</v>
      </c>
      <c r="I1110" s="8" t="s">
        <v>53</v>
      </c>
      <c r="J1110" s="10">
        <v>158</v>
      </c>
      <c r="K1110" s="10" t="s">
        <v>127</v>
      </c>
      <c r="L1110" s="10" t="s">
        <v>55</v>
      </c>
      <c r="M1110" s="12">
        <v>1</v>
      </c>
      <c r="N1110" s="15">
        <v>8000.0</v>
      </c>
      <c r="O1110" s="15"/>
      <c r="P1110" s="17">
        <f>IF(N1110&gt;0, O1110/N1110, 0)</f>
        <v>0</v>
      </c>
      <c r="Q1110" s="15">
        <f>N1110-O1110</f>
        <v>8000</v>
      </c>
      <c r="R1110" s="15">
        <f>M1110*N1110</f>
        <v>8000</v>
      </c>
      <c r="S1110" s="15">
        <f>M1110*O1110</f>
        <v>0</v>
      </c>
      <c r="T1110" s="15">
        <f>M1110*Q1110</f>
        <v>8000</v>
      </c>
      <c r="U1110" s="15"/>
      <c r="V1110" s="15">
        <f>M1110*U1110</f>
        <v>0</v>
      </c>
      <c r="W1110" s="15">
        <f>T1110-V1110</f>
        <v>8000</v>
      </c>
      <c r="X1110" s="17">
        <f>IF(T1110&gt;0, W1110/T1110, 0)</f>
        <v>1</v>
      </c>
      <c r="Y1110" s="8" t="s">
        <v>41</v>
      </c>
      <c r="Z1110" s="10" t="s">
        <v>42</v>
      </c>
      <c r="AA1110" s="10" t="s">
        <v>43</v>
      </c>
      <c r="AB1110" s="10" t="s">
        <v>44</v>
      </c>
      <c r="AC1110" s="8" t="s">
        <v>44</v>
      </c>
    </row>
    <row r="1111" spans="1:29">
      <c r="A1111" s="11">
        <v>1104</v>
      </c>
      <c r="B1111" s="11" t="s">
        <v>1418</v>
      </c>
      <c r="C1111" s="11" t="s">
        <v>1371</v>
      </c>
      <c r="D1111" s="11" t="s">
        <v>655</v>
      </c>
      <c r="E1111" s="11" t="s">
        <v>34</v>
      </c>
      <c r="F1111" s="11" t="s">
        <v>35</v>
      </c>
      <c r="G1111" s="9" t="s">
        <v>52</v>
      </c>
      <c r="H1111" s="9" t="s">
        <v>58</v>
      </c>
      <c r="I1111" s="9" t="s">
        <v>58</v>
      </c>
      <c r="J1111" s="11">
        <v>152</v>
      </c>
      <c r="K1111" s="11" t="s">
        <v>314</v>
      </c>
      <c r="L1111" s="11" t="s">
        <v>40</v>
      </c>
      <c r="M1111" s="13">
        <v>1</v>
      </c>
      <c r="N1111" s="16">
        <v>7000.0</v>
      </c>
      <c r="O1111" s="16"/>
      <c r="P1111" s="18">
        <f>IF(N1111&gt;0, O1111/N1111, 0)</f>
        <v>0</v>
      </c>
      <c r="Q1111" s="16">
        <f>N1111-O1111</f>
        <v>7000</v>
      </c>
      <c r="R1111" s="16">
        <f>M1111*N1111</f>
        <v>7000</v>
      </c>
      <c r="S1111" s="16">
        <f>M1111*O1111</f>
        <v>0</v>
      </c>
      <c r="T1111" s="16">
        <f>M1111*Q1111</f>
        <v>7000</v>
      </c>
      <c r="U1111" s="16"/>
      <c r="V1111" s="16">
        <f>M1111*U1111</f>
        <v>0</v>
      </c>
      <c r="W1111" s="16">
        <f>T1111-V1111</f>
        <v>7000</v>
      </c>
      <c r="X1111" s="18">
        <f>IF(T1111&gt;0, W1111/T1111, 0)</f>
        <v>1</v>
      </c>
      <c r="Y1111" s="9" t="s">
        <v>41</v>
      </c>
      <c r="Z1111" s="11" t="s">
        <v>42</v>
      </c>
      <c r="AA1111" s="11" t="s">
        <v>43</v>
      </c>
      <c r="AB1111" s="11" t="s">
        <v>44</v>
      </c>
      <c r="AC1111" s="9" t="s">
        <v>44</v>
      </c>
    </row>
    <row r="1112" spans="1:29">
      <c r="A1112" s="10">
        <v>1105</v>
      </c>
      <c r="B1112" s="10" t="s">
        <v>1419</v>
      </c>
      <c r="C1112" s="10" t="s">
        <v>1371</v>
      </c>
      <c r="D1112" s="10" t="s">
        <v>655</v>
      </c>
      <c r="E1112" s="10" t="s">
        <v>34</v>
      </c>
      <c r="F1112" s="10" t="s">
        <v>35</v>
      </c>
      <c r="G1112" s="8" t="s">
        <v>52</v>
      </c>
      <c r="H1112" s="8" t="s">
        <v>37</v>
      </c>
      <c r="I1112" s="8" t="s">
        <v>38</v>
      </c>
      <c r="J1112" s="10">
        <v>158</v>
      </c>
      <c r="K1112" s="10" t="s">
        <v>132</v>
      </c>
      <c r="L1112" s="10" t="s">
        <v>55</v>
      </c>
      <c r="M1112" s="12">
        <v>1</v>
      </c>
      <c r="N1112" s="15">
        <v>7000.0</v>
      </c>
      <c r="O1112" s="15"/>
      <c r="P1112" s="17">
        <f>IF(N1112&gt;0, O1112/N1112, 0)</f>
        <v>0</v>
      </c>
      <c r="Q1112" s="15">
        <f>N1112-O1112</f>
        <v>7000</v>
      </c>
      <c r="R1112" s="15">
        <f>M1112*N1112</f>
        <v>7000</v>
      </c>
      <c r="S1112" s="15">
        <f>M1112*O1112</f>
        <v>0</v>
      </c>
      <c r="T1112" s="15">
        <f>M1112*Q1112</f>
        <v>7000</v>
      </c>
      <c r="U1112" s="15"/>
      <c r="V1112" s="15">
        <f>M1112*U1112</f>
        <v>0</v>
      </c>
      <c r="W1112" s="15">
        <f>T1112-V1112</f>
        <v>7000</v>
      </c>
      <c r="X1112" s="17">
        <f>IF(T1112&gt;0, W1112/T1112, 0)</f>
        <v>1</v>
      </c>
      <c r="Y1112" s="8" t="s">
        <v>41</v>
      </c>
      <c r="Z1112" s="10" t="s">
        <v>42</v>
      </c>
      <c r="AA1112" s="10" t="s">
        <v>43</v>
      </c>
      <c r="AB1112" s="10" t="s">
        <v>44</v>
      </c>
      <c r="AC1112" s="8" t="s">
        <v>44</v>
      </c>
    </row>
    <row r="1113" spans="1:29">
      <c r="A1113" s="11">
        <v>1106</v>
      </c>
      <c r="B1113" s="11" t="s">
        <v>1420</v>
      </c>
      <c r="C1113" s="11" t="s">
        <v>1371</v>
      </c>
      <c r="D1113" s="11" t="s">
        <v>655</v>
      </c>
      <c r="E1113" s="11" t="s">
        <v>34</v>
      </c>
      <c r="F1113" s="11" t="s">
        <v>35</v>
      </c>
      <c r="G1113" s="9" t="s">
        <v>52</v>
      </c>
      <c r="H1113" s="9" t="s">
        <v>58</v>
      </c>
      <c r="I1113" s="9" t="s">
        <v>58</v>
      </c>
      <c r="J1113" s="11">
        <v>158</v>
      </c>
      <c r="K1113" s="11" t="s">
        <v>795</v>
      </c>
      <c r="L1113" s="11" t="s">
        <v>40</v>
      </c>
      <c r="M1113" s="13">
        <v>1</v>
      </c>
      <c r="N1113" s="16">
        <v>9000.0</v>
      </c>
      <c r="O1113" s="16"/>
      <c r="P1113" s="18">
        <f>IF(N1113&gt;0, O1113/N1113, 0)</f>
        <v>0</v>
      </c>
      <c r="Q1113" s="16">
        <f>N1113-O1113</f>
        <v>9000</v>
      </c>
      <c r="R1113" s="16">
        <f>M1113*N1113</f>
        <v>9000</v>
      </c>
      <c r="S1113" s="16">
        <f>M1113*O1113</f>
        <v>0</v>
      </c>
      <c r="T1113" s="16">
        <f>M1113*Q1113</f>
        <v>9000</v>
      </c>
      <c r="U1113" s="16"/>
      <c r="V1113" s="16">
        <f>M1113*U1113</f>
        <v>0</v>
      </c>
      <c r="W1113" s="16">
        <f>T1113-V1113</f>
        <v>9000</v>
      </c>
      <c r="X1113" s="18">
        <f>IF(T1113&gt;0, W1113/T1113, 0)</f>
        <v>1</v>
      </c>
      <c r="Y1113" s="9" t="s">
        <v>41</v>
      </c>
      <c r="Z1113" s="11" t="s">
        <v>42</v>
      </c>
      <c r="AA1113" s="11" t="s">
        <v>43</v>
      </c>
      <c r="AB1113" s="11" t="s">
        <v>44</v>
      </c>
      <c r="AC1113" s="9" t="s">
        <v>44</v>
      </c>
    </row>
    <row r="1114" spans="1:29">
      <c r="A1114" s="10">
        <v>1107</v>
      </c>
      <c r="B1114" s="10" t="s">
        <v>1421</v>
      </c>
      <c r="C1114" s="10" t="s">
        <v>1371</v>
      </c>
      <c r="D1114" s="10" t="s">
        <v>655</v>
      </c>
      <c r="E1114" s="10" t="s">
        <v>34</v>
      </c>
      <c r="F1114" s="10" t="s">
        <v>35</v>
      </c>
      <c r="G1114" s="8" t="s">
        <v>52</v>
      </c>
      <c r="H1114" s="8" t="s">
        <v>37</v>
      </c>
      <c r="I1114" s="8" t="s">
        <v>38</v>
      </c>
      <c r="J1114" s="10">
        <v>158</v>
      </c>
      <c r="K1114" s="10" t="s">
        <v>132</v>
      </c>
      <c r="L1114" s="10" t="s">
        <v>55</v>
      </c>
      <c r="M1114" s="12">
        <v>1</v>
      </c>
      <c r="N1114" s="15">
        <v>7000.0</v>
      </c>
      <c r="O1114" s="15"/>
      <c r="P1114" s="17">
        <f>IF(N1114&gt;0, O1114/N1114, 0)</f>
        <v>0</v>
      </c>
      <c r="Q1114" s="15">
        <f>N1114-O1114</f>
        <v>7000</v>
      </c>
      <c r="R1114" s="15">
        <f>M1114*N1114</f>
        <v>7000</v>
      </c>
      <c r="S1114" s="15">
        <f>M1114*O1114</f>
        <v>0</v>
      </c>
      <c r="T1114" s="15">
        <f>M1114*Q1114</f>
        <v>7000</v>
      </c>
      <c r="U1114" s="15"/>
      <c r="V1114" s="15">
        <f>M1114*U1114</f>
        <v>0</v>
      </c>
      <c r="W1114" s="15">
        <f>T1114-V1114</f>
        <v>7000</v>
      </c>
      <c r="X1114" s="17">
        <f>IF(T1114&gt;0, W1114/T1114, 0)</f>
        <v>1</v>
      </c>
      <c r="Y1114" s="8" t="s">
        <v>41</v>
      </c>
      <c r="Z1114" s="10" t="s">
        <v>42</v>
      </c>
      <c r="AA1114" s="10" t="s">
        <v>43</v>
      </c>
      <c r="AB1114" s="10" t="s">
        <v>44</v>
      </c>
      <c r="AC1114" s="8" t="s">
        <v>44</v>
      </c>
    </row>
    <row r="1115" spans="1:29">
      <c r="A1115" s="11">
        <v>1108</v>
      </c>
      <c r="B1115" s="11" t="s">
        <v>1422</v>
      </c>
      <c r="C1115" s="11" t="s">
        <v>1371</v>
      </c>
      <c r="D1115" s="11" t="s">
        <v>655</v>
      </c>
      <c r="E1115" s="11" t="s">
        <v>34</v>
      </c>
      <c r="F1115" s="11" t="s">
        <v>35</v>
      </c>
      <c r="G1115" s="9" t="s">
        <v>52</v>
      </c>
      <c r="H1115" s="9" t="s">
        <v>65</v>
      </c>
      <c r="I1115" s="9" t="s">
        <v>151</v>
      </c>
      <c r="J1115" s="11">
        <v>158</v>
      </c>
      <c r="K1115" s="11" t="s">
        <v>437</v>
      </c>
      <c r="L1115" s="11" t="s">
        <v>40</v>
      </c>
      <c r="M1115" s="13">
        <v>1</v>
      </c>
      <c r="N1115" s="16">
        <v>9000.0</v>
      </c>
      <c r="O1115" s="16"/>
      <c r="P1115" s="18">
        <f>IF(N1115&gt;0, O1115/N1115, 0)</f>
        <v>0</v>
      </c>
      <c r="Q1115" s="16">
        <f>N1115-O1115</f>
        <v>9000</v>
      </c>
      <c r="R1115" s="16">
        <f>M1115*N1115</f>
        <v>9000</v>
      </c>
      <c r="S1115" s="16">
        <f>M1115*O1115</f>
        <v>0</v>
      </c>
      <c r="T1115" s="16">
        <f>M1115*Q1115</f>
        <v>9000</v>
      </c>
      <c r="U1115" s="16"/>
      <c r="V1115" s="16">
        <f>M1115*U1115</f>
        <v>0</v>
      </c>
      <c r="W1115" s="16">
        <f>T1115-V1115</f>
        <v>9000</v>
      </c>
      <c r="X1115" s="18">
        <f>IF(T1115&gt;0, W1115/T1115, 0)</f>
        <v>1</v>
      </c>
      <c r="Y1115" s="9" t="s">
        <v>41</v>
      </c>
      <c r="Z1115" s="11" t="s">
        <v>42</v>
      </c>
      <c r="AA1115" s="11" t="s">
        <v>43</v>
      </c>
      <c r="AB1115" s="11" t="s">
        <v>44</v>
      </c>
      <c r="AC1115" s="9" t="s">
        <v>44</v>
      </c>
    </row>
    <row r="1116" spans="1:29">
      <c r="A1116" s="10">
        <v>1109</v>
      </c>
      <c r="B1116" s="10" t="s">
        <v>1423</v>
      </c>
      <c r="C1116" s="10" t="s">
        <v>1371</v>
      </c>
      <c r="D1116" s="10" t="s">
        <v>655</v>
      </c>
      <c r="E1116" s="10" t="s">
        <v>34</v>
      </c>
      <c r="F1116" s="10" t="s">
        <v>35</v>
      </c>
      <c r="G1116" s="8" t="s">
        <v>52</v>
      </c>
      <c r="H1116" s="8" t="s">
        <v>71</v>
      </c>
      <c r="I1116" s="8" t="s">
        <v>71</v>
      </c>
      <c r="J1116" s="10">
        <v>140</v>
      </c>
      <c r="K1116" s="10" t="s">
        <v>228</v>
      </c>
      <c r="L1116" s="10" t="s">
        <v>40</v>
      </c>
      <c r="M1116" s="12">
        <v>1</v>
      </c>
      <c r="N1116" s="15">
        <v>16000.0</v>
      </c>
      <c r="O1116" s="15"/>
      <c r="P1116" s="17">
        <f>IF(N1116&gt;0, O1116/N1116, 0)</f>
        <v>0</v>
      </c>
      <c r="Q1116" s="15">
        <f>N1116-O1116</f>
        <v>16000</v>
      </c>
      <c r="R1116" s="15">
        <f>M1116*N1116</f>
        <v>16000</v>
      </c>
      <c r="S1116" s="15">
        <f>M1116*O1116</f>
        <v>0</v>
      </c>
      <c r="T1116" s="15">
        <f>M1116*Q1116</f>
        <v>16000</v>
      </c>
      <c r="U1116" s="15"/>
      <c r="V1116" s="15">
        <f>M1116*U1116</f>
        <v>0</v>
      </c>
      <c r="W1116" s="15">
        <f>T1116-V1116</f>
        <v>16000</v>
      </c>
      <c r="X1116" s="17">
        <f>IF(T1116&gt;0, W1116/T1116, 0)</f>
        <v>1</v>
      </c>
      <c r="Y1116" s="8" t="s">
        <v>41</v>
      </c>
      <c r="Z1116" s="10" t="s">
        <v>42</v>
      </c>
      <c r="AA1116" s="10" t="s">
        <v>43</v>
      </c>
      <c r="AB1116" s="10" t="s">
        <v>44</v>
      </c>
      <c r="AC1116" s="8" t="s">
        <v>44</v>
      </c>
    </row>
    <row r="1117" spans="1:29">
      <c r="A1117" s="11">
        <v>1110</v>
      </c>
      <c r="B1117" s="11" t="s">
        <v>1424</v>
      </c>
      <c r="C1117" s="11" t="s">
        <v>1371</v>
      </c>
      <c r="D1117" s="11" t="s">
        <v>655</v>
      </c>
      <c r="E1117" s="11" t="s">
        <v>34</v>
      </c>
      <c r="F1117" s="11" t="s">
        <v>35</v>
      </c>
      <c r="G1117" s="9" t="s">
        <v>52</v>
      </c>
      <c r="H1117" s="9" t="s">
        <v>37</v>
      </c>
      <c r="I1117" s="9" t="s">
        <v>38</v>
      </c>
      <c r="J1117" s="11">
        <v>134</v>
      </c>
      <c r="K1117" s="11" t="s">
        <v>180</v>
      </c>
      <c r="L1117" s="11" t="s">
        <v>55</v>
      </c>
      <c r="M1117" s="13">
        <v>1</v>
      </c>
      <c r="N1117" s="16">
        <v>7000.0</v>
      </c>
      <c r="O1117" s="16"/>
      <c r="P1117" s="18">
        <f>IF(N1117&gt;0, O1117/N1117, 0)</f>
        <v>0</v>
      </c>
      <c r="Q1117" s="16">
        <f>N1117-O1117</f>
        <v>7000</v>
      </c>
      <c r="R1117" s="16">
        <f>M1117*N1117</f>
        <v>7000</v>
      </c>
      <c r="S1117" s="16">
        <f>M1117*O1117</f>
        <v>0</v>
      </c>
      <c r="T1117" s="16">
        <f>M1117*Q1117</f>
        <v>7000</v>
      </c>
      <c r="U1117" s="16"/>
      <c r="V1117" s="16">
        <f>M1117*U1117</f>
        <v>0</v>
      </c>
      <c r="W1117" s="16">
        <f>T1117-V1117</f>
        <v>7000</v>
      </c>
      <c r="X1117" s="18">
        <f>IF(T1117&gt;0, W1117/T1117, 0)</f>
        <v>1</v>
      </c>
      <c r="Y1117" s="9" t="s">
        <v>41</v>
      </c>
      <c r="Z1117" s="11" t="s">
        <v>42</v>
      </c>
      <c r="AA1117" s="11" t="s">
        <v>43</v>
      </c>
      <c r="AB1117" s="11" t="s">
        <v>44</v>
      </c>
      <c r="AC1117" s="9" t="s">
        <v>44</v>
      </c>
    </row>
    <row r="1118" spans="1:29">
      <c r="A1118" s="10">
        <v>1111</v>
      </c>
      <c r="B1118" s="10" t="s">
        <v>1425</v>
      </c>
      <c r="C1118" s="10" t="s">
        <v>1371</v>
      </c>
      <c r="D1118" s="10" t="s">
        <v>655</v>
      </c>
      <c r="E1118" s="10" t="s">
        <v>34</v>
      </c>
      <c r="F1118" s="10" t="s">
        <v>35</v>
      </c>
      <c r="G1118" s="8" t="s">
        <v>52</v>
      </c>
      <c r="H1118" s="8" t="s">
        <v>53</v>
      </c>
      <c r="I1118" s="8" t="s">
        <v>53</v>
      </c>
      <c r="J1118" s="10">
        <v>134</v>
      </c>
      <c r="K1118" s="10" t="s">
        <v>178</v>
      </c>
      <c r="L1118" s="10" t="s">
        <v>55</v>
      </c>
      <c r="M1118" s="12">
        <v>1</v>
      </c>
      <c r="N1118" s="15">
        <v>8000.0</v>
      </c>
      <c r="O1118" s="15"/>
      <c r="P1118" s="17">
        <f>IF(N1118&gt;0, O1118/N1118, 0)</f>
        <v>0</v>
      </c>
      <c r="Q1118" s="15">
        <f>N1118-O1118</f>
        <v>8000</v>
      </c>
      <c r="R1118" s="15">
        <f>M1118*N1118</f>
        <v>8000</v>
      </c>
      <c r="S1118" s="15">
        <f>M1118*O1118</f>
        <v>0</v>
      </c>
      <c r="T1118" s="15">
        <f>M1118*Q1118</f>
        <v>8000</v>
      </c>
      <c r="U1118" s="15"/>
      <c r="V1118" s="15">
        <f>M1118*U1118</f>
        <v>0</v>
      </c>
      <c r="W1118" s="15">
        <f>T1118-V1118</f>
        <v>8000</v>
      </c>
      <c r="X1118" s="17">
        <f>IF(T1118&gt;0, W1118/T1118, 0)</f>
        <v>1</v>
      </c>
      <c r="Y1118" s="8" t="s">
        <v>41</v>
      </c>
      <c r="Z1118" s="10" t="s">
        <v>42</v>
      </c>
      <c r="AA1118" s="10" t="s">
        <v>43</v>
      </c>
      <c r="AB1118" s="10" t="s">
        <v>44</v>
      </c>
      <c r="AC1118" s="8" t="s">
        <v>44</v>
      </c>
    </row>
    <row r="1119" spans="1:29">
      <c r="A1119" s="11">
        <v>1112</v>
      </c>
      <c r="B1119" s="11" t="s">
        <v>1426</v>
      </c>
      <c r="C1119" s="11" t="s">
        <v>1371</v>
      </c>
      <c r="D1119" s="11" t="s">
        <v>655</v>
      </c>
      <c r="E1119" s="11" t="s">
        <v>34</v>
      </c>
      <c r="F1119" s="11" t="s">
        <v>35</v>
      </c>
      <c r="G1119" s="9" t="s">
        <v>52</v>
      </c>
      <c r="H1119" s="9" t="s">
        <v>37</v>
      </c>
      <c r="I1119" s="9" t="s">
        <v>38</v>
      </c>
      <c r="J1119" s="11">
        <v>128</v>
      </c>
      <c r="K1119" s="11" t="s">
        <v>159</v>
      </c>
      <c r="L1119" s="11" t="s">
        <v>55</v>
      </c>
      <c r="M1119" s="13">
        <v>1</v>
      </c>
      <c r="N1119" s="16">
        <v>7000.0</v>
      </c>
      <c r="O1119" s="16"/>
      <c r="P1119" s="18">
        <f>IF(N1119&gt;0, O1119/N1119, 0)</f>
        <v>0</v>
      </c>
      <c r="Q1119" s="16">
        <f>N1119-O1119</f>
        <v>7000</v>
      </c>
      <c r="R1119" s="16">
        <f>M1119*N1119</f>
        <v>7000</v>
      </c>
      <c r="S1119" s="16">
        <f>M1119*O1119</f>
        <v>0</v>
      </c>
      <c r="T1119" s="16">
        <f>M1119*Q1119</f>
        <v>7000</v>
      </c>
      <c r="U1119" s="16"/>
      <c r="V1119" s="16">
        <f>M1119*U1119</f>
        <v>0</v>
      </c>
      <c r="W1119" s="16">
        <f>T1119-V1119</f>
        <v>7000</v>
      </c>
      <c r="X1119" s="18">
        <f>IF(T1119&gt;0, W1119/T1119, 0)</f>
        <v>1</v>
      </c>
      <c r="Y1119" s="9" t="s">
        <v>41</v>
      </c>
      <c r="Z1119" s="11" t="s">
        <v>42</v>
      </c>
      <c r="AA1119" s="11" t="s">
        <v>43</v>
      </c>
      <c r="AB1119" s="11" t="s">
        <v>44</v>
      </c>
      <c r="AC1119" s="9" t="s">
        <v>44</v>
      </c>
    </row>
    <row r="1120" spans="1:29">
      <c r="A1120" s="10">
        <v>1113</v>
      </c>
      <c r="B1120" s="10" t="s">
        <v>1427</v>
      </c>
      <c r="C1120" s="10" t="s">
        <v>1371</v>
      </c>
      <c r="D1120" s="10" t="s">
        <v>655</v>
      </c>
      <c r="E1120" s="10" t="s">
        <v>34</v>
      </c>
      <c r="F1120" s="10" t="s">
        <v>35</v>
      </c>
      <c r="G1120" s="8" t="s">
        <v>52</v>
      </c>
      <c r="H1120" s="8" t="s">
        <v>65</v>
      </c>
      <c r="I1120" s="8" t="s">
        <v>151</v>
      </c>
      <c r="J1120" s="10">
        <v>122</v>
      </c>
      <c r="K1120" s="10" t="s">
        <v>244</v>
      </c>
      <c r="L1120" s="10" t="s">
        <v>40</v>
      </c>
      <c r="M1120" s="12">
        <v>1</v>
      </c>
      <c r="N1120" s="15">
        <v>9000.0</v>
      </c>
      <c r="O1120" s="15"/>
      <c r="P1120" s="17">
        <f>IF(N1120&gt;0, O1120/N1120, 0)</f>
        <v>0</v>
      </c>
      <c r="Q1120" s="15">
        <f>N1120-O1120</f>
        <v>9000</v>
      </c>
      <c r="R1120" s="15">
        <f>M1120*N1120</f>
        <v>9000</v>
      </c>
      <c r="S1120" s="15">
        <f>M1120*O1120</f>
        <v>0</v>
      </c>
      <c r="T1120" s="15">
        <f>M1120*Q1120</f>
        <v>9000</v>
      </c>
      <c r="U1120" s="15"/>
      <c r="V1120" s="15">
        <f>M1120*U1120</f>
        <v>0</v>
      </c>
      <c r="W1120" s="15">
        <f>T1120-V1120</f>
        <v>9000</v>
      </c>
      <c r="X1120" s="17">
        <f>IF(T1120&gt;0, W1120/T1120, 0)</f>
        <v>1</v>
      </c>
      <c r="Y1120" s="8" t="s">
        <v>41</v>
      </c>
      <c r="Z1120" s="10" t="s">
        <v>42</v>
      </c>
      <c r="AA1120" s="10" t="s">
        <v>43</v>
      </c>
      <c r="AB1120" s="10" t="s">
        <v>44</v>
      </c>
      <c r="AC1120" s="8" t="s">
        <v>44</v>
      </c>
    </row>
    <row r="1121" spans="1:29">
      <c r="A1121" s="11">
        <v>1114</v>
      </c>
      <c r="B1121" s="11" t="s">
        <v>1428</v>
      </c>
      <c r="C1121" s="11" t="s">
        <v>1371</v>
      </c>
      <c r="D1121" s="11" t="s">
        <v>655</v>
      </c>
      <c r="E1121" s="11" t="s">
        <v>34</v>
      </c>
      <c r="F1121" s="11" t="s">
        <v>35</v>
      </c>
      <c r="G1121" s="9" t="s">
        <v>52</v>
      </c>
      <c r="H1121" s="9" t="s">
        <v>71</v>
      </c>
      <c r="I1121" s="9" t="s">
        <v>71</v>
      </c>
      <c r="J1121" s="11">
        <v>128</v>
      </c>
      <c r="K1121" s="11" t="s">
        <v>112</v>
      </c>
      <c r="L1121" s="11" t="s">
        <v>40</v>
      </c>
      <c r="M1121" s="13">
        <v>1</v>
      </c>
      <c r="N1121" s="16">
        <v>16500.0</v>
      </c>
      <c r="O1121" s="16"/>
      <c r="P1121" s="18">
        <f>IF(N1121&gt;0, O1121/N1121, 0)</f>
        <v>0</v>
      </c>
      <c r="Q1121" s="16">
        <f>N1121-O1121</f>
        <v>16500</v>
      </c>
      <c r="R1121" s="16">
        <f>M1121*N1121</f>
        <v>16500</v>
      </c>
      <c r="S1121" s="16">
        <f>M1121*O1121</f>
        <v>0</v>
      </c>
      <c r="T1121" s="16">
        <f>M1121*Q1121</f>
        <v>16500</v>
      </c>
      <c r="U1121" s="16"/>
      <c r="V1121" s="16">
        <f>M1121*U1121</f>
        <v>0</v>
      </c>
      <c r="W1121" s="16">
        <f>T1121-V1121</f>
        <v>16500</v>
      </c>
      <c r="X1121" s="18">
        <f>IF(T1121&gt;0, W1121/T1121, 0)</f>
        <v>1</v>
      </c>
      <c r="Y1121" s="9" t="s">
        <v>41</v>
      </c>
      <c r="Z1121" s="11" t="s">
        <v>42</v>
      </c>
      <c r="AA1121" s="11" t="s">
        <v>43</v>
      </c>
      <c r="AB1121" s="11" t="s">
        <v>44</v>
      </c>
      <c r="AC1121" s="9" t="s">
        <v>44</v>
      </c>
    </row>
    <row r="1122" spans="1:29">
      <c r="A1122" s="10">
        <v>1115</v>
      </c>
      <c r="B1122" s="10" t="s">
        <v>1429</v>
      </c>
      <c r="C1122" s="10" t="s">
        <v>1371</v>
      </c>
      <c r="D1122" s="10" t="s">
        <v>655</v>
      </c>
      <c r="E1122" s="10" t="s">
        <v>34</v>
      </c>
      <c r="F1122" s="10" t="s">
        <v>35</v>
      </c>
      <c r="G1122" s="8" t="s">
        <v>52</v>
      </c>
      <c r="H1122" s="8" t="s">
        <v>53</v>
      </c>
      <c r="I1122" s="8" t="s">
        <v>53</v>
      </c>
      <c r="J1122" s="10">
        <v>128</v>
      </c>
      <c r="K1122" s="10" t="s">
        <v>393</v>
      </c>
      <c r="L1122" s="10" t="s">
        <v>55</v>
      </c>
      <c r="M1122" s="12">
        <v>1</v>
      </c>
      <c r="N1122" s="15">
        <v>8000.0</v>
      </c>
      <c r="O1122" s="15"/>
      <c r="P1122" s="17">
        <f>IF(N1122&gt;0, O1122/N1122, 0)</f>
        <v>0</v>
      </c>
      <c r="Q1122" s="15">
        <f>N1122-O1122</f>
        <v>8000</v>
      </c>
      <c r="R1122" s="15">
        <f>M1122*N1122</f>
        <v>8000</v>
      </c>
      <c r="S1122" s="15">
        <f>M1122*O1122</f>
        <v>0</v>
      </c>
      <c r="T1122" s="15">
        <f>M1122*Q1122</f>
        <v>8000</v>
      </c>
      <c r="U1122" s="15"/>
      <c r="V1122" s="15">
        <f>M1122*U1122</f>
        <v>0</v>
      </c>
      <c r="W1122" s="15">
        <f>T1122-V1122</f>
        <v>8000</v>
      </c>
      <c r="X1122" s="17">
        <f>IF(T1122&gt;0, W1122/T1122, 0)</f>
        <v>1</v>
      </c>
      <c r="Y1122" s="8" t="s">
        <v>41</v>
      </c>
      <c r="Z1122" s="10" t="s">
        <v>42</v>
      </c>
      <c r="AA1122" s="10" t="s">
        <v>43</v>
      </c>
      <c r="AB1122" s="10" t="s">
        <v>44</v>
      </c>
      <c r="AC1122" s="8" t="s">
        <v>44</v>
      </c>
    </row>
    <row r="1123" spans="1:29">
      <c r="A1123" s="11">
        <v>1116</v>
      </c>
      <c r="B1123" s="11" t="s">
        <v>1430</v>
      </c>
      <c r="C1123" s="11" t="s">
        <v>1371</v>
      </c>
      <c r="D1123" s="11" t="s">
        <v>655</v>
      </c>
      <c r="E1123" s="11" t="s">
        <v>34</v>
      </c>
      <c r="F1123" s="11" t="s">
        <v>35</v>
      </c>
      <c r="G1123" s="9" t="s">
        <v>36</v>
      </c>
      <c r="H1123" s="9" t="s">
        <v>58</v>
      </c>
      <c r="I1123" s="9" t="s">
        <v>58</v>
      </c>
      <c r="J1123" s="11">
        <v>170</v>
      </c>
      <c r="K1123" s="11" t="s">
        <v>215</v>
      </c>
      <c r="L1123" s="11" t="s">
        <v>40</v>
      </c>
      <c r="M1123" s="13">
        <v>1</v>
      </c>
      <c r="N1123" s="16">
        <v>7500.0</v>
      </c>
      <c r="O1123" s="16"/>
      <c r="P1123" s="18">
        <f>IF(N1123&gt;0, O1123/N1123, 0)</f>
        <v>0</v>
      </c>
      <c r="Q1123" s="16">
        <f>N1123-O1123</f>
        <v>7500</v>
      </c>
      <c r="R1123" s="16">
        <f>M1123*N1123</f>
        <v>7500</v>
      </c>
      <c r="S1123" s="16">
        <f>M1123*O1123</f>
        <v>0</v>
      </c>
      <c r="T1123" s="16">
        <f>M1123*Q1123</f>
        <v>7500</v>
      </c>
      <c r="U1123" s="16"/>
      <c r="V1123" s="16">
        <f>M1123*U1123</f>
        <v>0</v>
      </c>
      <c r="W1123" s="16">
        <f>T1123-V1123</f>
        <v>7500</v>
      </c>
      <c r="X1123" s="18">
        <f>IF(T1123&gt;0, W1123/T1123, 0)</f>
        <v>1</v>
      </c>
      <c r="Y1123" s="9" t="s">
        <v>41</v>
      </c>
      <c r="Z1123" s="11" t="s">
        <v>42</v>
      </c>
      <c r="AA1123" s="11" t="s">
        <v>43</v>
      </c>
      <c r="AB1123" s="11" t="s">
        <v>44</v>
      </c>
      <c r="AC1123" s="9" t="s">
        <v>44</v>
      </c>
    </row>
    <row r="1124" spans="1:29">
      <c r="A1124" s="10">
        <v>1117</v>
      </c>
      <c r="B1124" s="10" t="s">
        <v>1431</v>
      </c>
      <c r="C1124" s="10" t="s">
        <v>1371</v>
      </c>
      <c r="D1124" s="10" t="s">
        <v>655</v>
      </c>
      <c r="E1124" s="10" t="s">
        <v>34</v>
      </c>
      <c r="F1124" s="10" t="s">
        <v>35</v>
      </c>
      <c r="G1124" s="8" t="s">
        <v>36</v>
      </c>
      <c r="H1124" s="8" t="s">
        <v>37</v>
      </c>
      <c r="I1124" s="8" t="s">
        <v>75</v>
      </c>
      <c r="J1124" s="10">
        <v>194</v>
      </c>
      <c r="K1124" s="10" t="s">
        <v>1185</v>
      </c>
      <c r="L1124" s="10" t="s">
        <v>40</v>
      </c>
      <c r="M1124" s="12">
        <v>1</v>
      </c>
      <c r="N1124" s="15">
        <v>9000.0</v>
      </c>
      <c r="O1124" s="15"/>
      <c r="P1124" s="17">
        <f>IF(N1124&gt;0, O1124/N1124, 0)</f>
        <v>0</v>
      </c>
      <c r="Q1124" s="15">
        <f>N1124-O1124</f>
        <v>9000</v>
      </c>
      <c r="R1124" s="15">
        <f>M1124*N1124</f>
        <v>9000</v>
      </c>
      <c r="S1124" s="15">
        <f>M1124*O1124</f>
        <v>0</v>
      </c>
      <c r="T1124" s="15">
        <f>M1124*Q1124</f>
        <v>9000</v>
      </c>
      <c r="U1124" s="15"/>
      <c r="V1124" s="15">
        <f>M1124*U1124</f>
        <v>0</v>
      </c>
      <c r="W1124" s="15">
        <f>T1124-V1124</f>
        <v>9000</v>
      </c>
      <c r="X1124" s="17">
        <f>IF(T1124&gt;0, W1124/T1124, 0)</f>
        <v>1</v>
      </c>
      <c r="Y1124" s="8" t="s">
        <v>41</v>
      </c>
      <c r="Z1124" s="10" t="s">
        <v>42</v>
      </c>
      <c r="AA1124" s="10" t="s">
        <v>43</v>
      </c>
      <c r="AB1124" s="10" t="s">
        <v>44</v>
      </c>
      <c r="AC1124" s="8" t="s">
        <v>44</v>
      </c>
    </row>
    <row r="1125" spans="1:29">
      <c r="A1125" s="11">
        <v>1118</v>
      </c>
      <c r="B1125" s="11" t="s">
        <v>1432</v>
      </c>
      <c r="C1125" s="11" t="s">
        <v>1371</v>
      </c>
      <c r="D1125" s="11" t="s">
        <v>655</v>
      </c>
      <c r="E1125" s="11" t="s">
        <v>34</v>
      </c>
      <c r="F1125" s="11" t="s">
        <v>35</v>
      </c>
      <c r="G1125" s="9" t="s">
        <v>36</v>
      </c>
      <c r="H1125" s="9" t="s">
        <v>53</v>
      </c>
      <c r="I1125" s="9" t="s">
        <v>53</v>
      </c>
      <c r="J1125" s="11">
        <v>188</v>
      </c>
      <c r="K1125" s="11" t="s">
        <v>913</v>
      </c>
      <c r="L1125" s="11" t="s">
        <v>40</v>
      </c>
      <c r="M1125" s="13">
        <v>1</v>
      </c>
      <c r="N1125" s="16">
        <v>8500.0</v>
      </c>
      <c r="O1125" s="16"/>
      <c r="P1125" s="18">
        <f>IF(N1125&gt;0, O1125/N1125, 0)</f>
        <v>0</v>
      </c>
      <c r="Q1125" s="16">
        <f>N1125-O1125</f>
        <v>8500</v>
      </c>
      <c r="R1125" s="16">
        <f>M1125*N1125</f>
        <v>8500</v>
      </c>
      <c r="S1125" s="16">
        <f>M1125*O1125</f>
        <v>0</v>
      </c>
      <c r="T1125" s="16">
        <f>M1125*Q1125</f>
        <v>8500</v>
      </c>
      <c r="U1125" s="16"/>
      <c r="V1125" s="16">
        <f>M1125*U1125</f>
        <v>0</v>
      </c>
      <c r="W1125" s="16">
        <f>T1125-V1125</f>
        <v>8500</v>
      </c>
      <c r="X1125" s="18">
        <f>IF(T1125&gt;0, W1125/T1125, 0)</f>
        <v>1</v>
      </c>
      <c r="Y1125" s="9" t="s">
        <v>41</v>
      </c>
      <c r="Z1125" s="11" t="s">
        <v>42</v>
      </c>
      <c r="AA1125" s="11" t="s">
        <v>43</v>
      </c>
      <c r="AB1125" s="11" t="s">
        <v>44</v>
      </c>
      <c r="AC1125" s="9" t="s">
        <v>44</v>
      </c>
    </row>
    <row r="1126" spans="1:29">
      <c r="A1126" s="10">
        <v>1119</v>
      </c>
      <c r="B1126" s="10" t="s">
        <v>1433</v>
      </c>
      <c r="C1126" s="10" t="s">
        <v>1371</v>
      </c>
      <c r="D1126" s="10" t="s">
        <v>655</v>
      </c>
      <c r="E1126" s="10" t="s">
        <v>34</v>
      </c>
      <c r="F1126" s="10" t="s">
        <v>35</v>
      </c>
      <c r="G1126" s="8" t="s">
        <v>36</v>
      </c>
      <c r="H1126" s="8" t="s">
        <v>37</v>
      </c>
      <c r="I1126" s="8" t="s">
        <v>38</v>
      </c>
      <c r="J1126" s="10">
        <v>194</v>
      </c>
      <c r="K1126" s="10" t="s">
        <v>1033</v>
      </c>
      <c r="L1126" s="10" t="s">
        <v>40</v>
      </c>
      <c r="M1126" s="12">
        <v>1</v>
      </c>
      <c r="N1126" s="15">
        <v>8000.0</v>
      </c>
      <c r="O1126" s="15"/>
      <c r="P1126" s="17">
        <f>IF(N1126&gt;0, O1126/N1126, 0)</f>
        <v>0</v>
      </c>
      <c r="Q1126" s="15">
        <f>N1126-O1126</f>
        <v>8000</v>
      </c>
      <c r="R1126" s="15">
        <f>M1126*N1126</f>
        <v>8000</v>
      </c>
      <c r="S1126" s="15">
        <f>M1126*O1126</f>
        <v>0</v>
      </c>
      <c r="T1126" s="15">
        <f>M1126*Q1126</f>
        <v>8000</v>
      </c>
      <c r="U1126" s="15"/>
      <c r="V1126" s="15">
        <f>M1126*U1126</f>
        <v>0</v>
      </c>
      <c r="W1126" s="15">
        <f>T1126-V1126</f>
        <v>8000</v>
      </c>
      <c r="X1126" s="17">
        <f>IF(T1126&gt;0, W1126/T1126, 0)</f>
        <v>1</v>
      </c>
      <c r="Y1126" s="8" t="s">
        <v>41</v>
      </c>
      <c r="Z1126" s="10" t="s">
        <v>42</v>
      </c>
      <c r="AA1126" s="10" t="s">
        <v>43</v>
      </c>
      <c r="AB1126" s="10" t="s">
        <v>44</v>
      </c>
      <c r="AC1126" s="8" t="s">
        <v>44</v>
      </c>
    </row>
    <row r="1127" spans="1:29">
      <c r="A1127" s="11">
        <v>1120</v>
      </c>
      <c r="B1127" s="11" t="s">
        <v>1434</v>
      </c>
      <c r="C1127" s="11" t="s">
        <v>1371</v>
      </c>
      <c r="D1127" s="11" t="s">
        <v>655</v>
      </c>
      <c r="E1127" s="11" t="s">
        <v>34</v>
      </c>
      <c r="F1127" s="11" t="s">
        <v>35</v>
      </c>
      <c r="G1127" s="9" t="s">
        <v>36</v>
      </c>
      <c r="H1127" s="9" t="s">
        <v>71</v>
      </c>
      <c r="I1127" s="9" t="s">
        <v>71</v>
      </c>
      <c r="J1127" s="11">
        <v>194</v>
      </c>
      <c r="K1127" s="11" t="s">
        <v>1036</v>
      </c>
      <c r="L1127" s="11" t="s">
        <v>40</v>
      </c>
      <c r="M1127" s="13">
        <v>1</v>
      </c>
      <c r="N1127" s="16">
        <v>16500.0</v>
      </c>
      <c r="O1127" s="16"/>
      <c r="P1127" s="18">
        <f>IF(N1127&gt;0, O1127/N1127, 0)</f>
        <v>0</v>
      </c>
      <c r="Q1127" s="16">
        <f>N1127-O1127</f>
        <v>16500</v>
      </c>
      <c r="R1127" s="16">
        <f>M1127*N1127</f>
        <v>16500</v>
      </c>
      <c r="S1127" s="16">
        <f>M1127*O1127</f>
        <v>0</v>
      </c>
      <c r="T1127" s="16">
        <f>M1127*Q1127</f>
        <v>16500</v>
      </c>
      <c r="U1127" s="16"/>
      <c r="V1127" s="16">
        <f>M1127*U1127</f>
        <v>0</v>
      </c>
      <c r="W1127" s="16">
        <f>T1127-V1127</f>
        <v>16500</v>
      </c>
      <c r="X1127" s="18">
        <f>IF(T1127&gt;0, W1127/T1127, 0)</f>
        <v>1</v>
      </c>
      <c r="Y1127" s="9" t="s">
        <v>41</v>
      </c>
      <c r="Z1127" s="11" t="s">
        <v>42</v>
      </c>
      <c r="AA1127" s="11" t="s">
        <v>43</v>
      </c>
      <c r="AB1127" s="11" t="s">
        <v>44</v>
      </c>
      <c r="AC1127" s="9" t="s">
        <v>44</v>
      </c>
    </row>
    <row r="1128" spans="1:29">
      <c r="A1128" s="10">
        <v>1121</v>
      </c>
      <c r="B1128" s="10" t="s">
        <v>1435</v>
      </c>
      <c r="C1128" s="10" t="s">
        <v>1371</v>
      </c>
      <c r="D1128" s="10" t="s">
        <v>655</v>
      </c>
      <c r="E1128" s="10" t="s">
        <v>70</v>
      </c>
      <c r="F1128" s="10" t="s">
        <v>35</v>
      </c>
      <c r="G1128" s="8" t="s">
        <v>52</v>
      </c>
      <c r="H1128" s="8" t="s">
        <v>71</v>
      </c>
      <c r="I1128" s="8" t="s">
        <v>1436</v>
      </c>
      <c r="J1128" s="10">
        <v>134</v>
      </c>
      <c r="K1128" s="10" t="s">
        <v>1437</v>
      </c>
      <c r="L1128" s="10" t="s">
        <v>40</v>
      </c>
      <c r="M1128" s="12">
        <v>1</v>
      </c>
      <c r="N1128" s="15">
        <v>8000.0</v>
      </c>
      <c r="O1128" s="15"/>
      <c r="P1128" s="17">
        <f>IF(N1128&gt;0, O1128/N1128, 0)</f>
        <v>0</v>
      </c>
      <c r="Q1128" s="15">
        <f>N1128-O1128</f>
        <v>8000</v>
      </c>
      <c r="R1128" s="15">
        <f>M1128*N1128</f>
        <v>8000</v>
      </c>
      <c r="S1128" s="15">
        <f>M1128*O1128</f>
        <v>0</v>
      </c>
      <c r="T1128" s="15">
        <f>M1128*Q1128</f>
        <v>8000</v>
      </c>
      <c r="U1128" s="15"/>
      <c r="V1128" s="15">
        <f>M1128*U1128</f>
        <v>0</v>
      </c>
      <c r="W1128" s="15">
        <f>T1128-V1128</f>
        <v>8000</v>
      </c>
      <c r="X1128" s="17">
        <f>IF(T1128&gt;0, W1128/T1128, 0)</f>
        <v>1</v>
      </c>
      <c r="Y1128" s="8" t="s">
        <v>41</v>
      </c>
      <c r="Z1128" s="10" t="s">
        <v>42</v>
      </c>
      <c r="AA1128" s="10" t="s">
        <v>73</v>
      </c>
      <c r="AB1128" s="10" t="s">
        <v>44</v>
      </c>
      <c r="AC1128" s="8" t="s">
        <v>44</v>
      </c>
    </row>
    <row r="1129" spans="1:29">
      <c r="A1129" s="11">
        <v>1122</v>
      </c>
      <c r="B1129" s="11" t="s">
        <v>1438</v>
      </c>
      <c r="C1129" s="11" t="s">
        <v>1371</v>
      </c>
      <c r="D1129" s="11" t="s">
        <v>655</v>
      </c>
      <c r="E1129" s="11" t="s">
        <v>34</v>
      </c>
      <c r="F1129" s="11" t="s">
        <v>35</v>
      </c>
      <c r="G1129" s="9" t="s">
        <v>52</v>
      </c>
      <c r="H1129" s="9" t="s">
        <v>71</v>
      </c>
      <c r="I1129" s="9" t="s">
        <v>71</v>
      </c>
      <c r="J1129" s="11">
        <v>134</v>
      </c>
      <c r="K1129" s="11" t="s">
        <v>212</v>
      </c>
      <c r="L1129" s="11" t="s">
        <v>40</v>
      </c>
      <c r="M1129" s="13">
        <v>1</v>
      </c>
      <c r="N1129" s="16">
        <v>16000.0</v>
      </c>
      <c r="O1129" s="16"/>
      <c r="P1129" s="18">
        <f>IF(N1129&gt;0, O1129/N1129, 0)</f>
        <v>0</v>
      </c>
      <c r="Q1129" s="16">
        <f>N1129-O1129</f>
        <v>16000</v>
      </c>
      <c r="R1129" s="16">
        <f>M1129*N1129</f>
        <v>16000</v>
      </c>
      <c r="S1129" s="16">
        <f>M1129*O1129</f>
        <v>0</v>
      </c>
      <c r="T1129" s="16">
        <f>M1129*Q1129</f>
        <v>16000</v>
      </c>
      <c r="U1129" s="16"/>
      <c r="V1129" s="16">
        <f>M1129*U1129</f>
        <v>0</v>
      </c>
      <c r="W1129" s="16">
        <f>T1129-V1129</f>
        <v>16000</v>
      </c>
      <c r="X1129" s="18">
        <f>IF(T1129&gt;0, W1129/T1129, 0)</f>
        <v>1</v>
      </c>
      <c r="Y1129" s="9" t="s">
        <v>41</v>
      </c>
      <c r="Z1129" s="11" t="s">
        <v>42</v>
      </c>
      <c r="AA1129" s="11" t="s">
        <v>43</v>
      </c>
      <c r="AB1129" s="11" t="s">
        <v>44</v>
      </c>
      <c r="AC1129" s="9" t="s">
        <v>44</v>
      </c>
    </row>
    <row r="1130" spans="1:29">
      <c r="A1130" s="10">
        <v>1123</v>
      </c>
      <c r="B1130" s="10" t="s">
        <v>1439</v>
      </c>
      <c r="C1130" s="10" t="s">
        <v>1371</v>
      </c>
      <c r="D1130" s="10" t="s">
        <v>655</v>
      </c>
      <c r="E1130" s="10" t="s">
        <v>34</v>
      </c>
      <c r="F1130" s="10" t="s">
        <v>35</v>
      </c>
      <c r="G1130" s="8" t="s">
        <v>52</v>
      </c>
      <c r="H1130" s="8" t="s">
        <v>53</v>
      </c>
      <c r="I1130" s="8" t="s">
        <v>53</v>
      </c>
      <c r="J1130" s="10">
        <v>134</v>
      </c>
      <c r="K1130" s="10" t="s">
        <v>178</v>
      </c>
      <c r="L1130" s="10" t="s">
        <v>55</v>
      </c>
      <c r="M1130" s="12">
        <v>1</v>
      </c>
      <c r="N1130" s="15">
        <v>8000.0</v>
      </c>
      <c r="O1130" s="15"/>
      <c r="P1130" s="17">
        <f>IF(N1130&gt;0, O1130/N1130, 0)</f>
        <v>0</v>
      </c>
      <c r="Q1130" s="15">
        <f>N1130-O1130</f>
        <v>8000</v>
      </c>
      <c r="R1130" s="15">
        <f>M1130*N1130</f>
        <v>8000</v>
      </c>
      <c r="S1130" s="15">
        <f>M1130*O1130</f>
        <v>0</v>
      </c>
      <c r="T1130" s="15">
        <f>M1130*Q1130</f>
        <v>8000</v>
      </c>
      <c r="U1130" s="15"/>
      <c r="V1130" s="15">
        <f>M1130*U1130</f>
        <v>0</v>
      </c>
      <c r="W1130" s="15">
        <f>T1130-V1130</f>
        <v>8000</v>
      </c>
      <c r="X1130" s="17">
        <f>IF(T1130&gt;0, W1130/T1130, 0)</f>
        <v>1</v>
      </c>
      <c r="Y1130" s="8" t="s">
        <v>41</v>
      </c>
      <c r="Z1130" s="10" t="s">
        <v>42</v>
      </c>
      <c r="AA1130" s="10" t="s">
        <v>43</v>
      </c>
      <c r="AB1130" s="10" t="s">
        <v>44</v>
      </c>
      <c r="AC1130" s="8" t="s">
        <v>44</v>
      </c>
    </row>
    <row r="1131" spans="1:29">
      <c r="A1131" s="11">
        <v>1124</v>
      </c>
      <c r="B1131" s="11" t="s">
        <v>1440</v>
      </c>
      <c r="C1131" s="11" t="s">
        <v>1371</v>
      </c>
      <c r="D1131" s="11" t="s">
        <v>655</v>
      </c>
      <c r="E1131" s="11" t="s">
        <v>34</v>
      </c>
      <c r="F1131" s="11" t="s">
        <v>35</v>
      </c>
      <c r="G1131" s="9" t="s">
        <v>52</v>
      </c>
      <c r="H1131" s="9" t="s">
        <v>37</v>
      </c>
      <c r="I1131" s="9" t="s">
        <v>75</v>
      </c>
      <c r="J1131" s="11">
        <v>128</v>
      </c>
      <c r="K1131" s="11" t="s">
        <v>188</v>
      </c>
      <c r="L1131" s="11" t="s">
        <v>55</v>
      </c>
      <c r="M1131" s="13">
        <v>1</v>
      </c>
      <c r="N1131" s="16">
        <v>8000.0</v>
      </c>
      <c r="O1131" s="16"/>
      <c r="P1131" s="18">
        <f>IF(N1131&gt;0, O1131/N1131, 0)</f>
        <v>0</v>
      </c>
      <c r="Q1131" s="16">
        <f>N1131-O1131</f>
        <v>8000</v>
      </c>
      <c r="R1131" s="16">
        <f>M1131*N1131</f>
        <v>8000</v>
      </c>
      <c r="S1131" s="16">
        <f>M1131*O1131</f>
        <v>0</v>
      </c>
      <c r="T1131" s="16">
        <f>M1131*Q1131</f>
        <v>8000</v>
      </c>
      <c r="U1131" s="16"/>
      <c r="V1131" s="16">
        <f>M1131*U1131</f>
        <v>0</v>
      </c>
      <c r="W1131" s="16">
        <f>T1131-V1131</f>
        <v>8000</v>
      </c>
      <c r="X1131" s="18">
        <f>IF(T1131&gt;0, W1131/T1131, 0)</f>
        <v>1</v>
      </c>
      <c r="Y1131" s="9" t="s">
        <v>41</v>
      </c>
      <c r="Z1131" s="11" t="s">
        <v>42</v>
      </c>
      <c r="AA1131" s="11" t="s">
        <v>43</v>
      </c>
      <c r="AB1131" s="11" t="s">
        <v>44</v>
      </c>
      <c r="AC1131" s="9" t="s">
        <v>44</v>
      </c>
    </row>
    <row r="1132" spans="1:29">
      <c r="A1132" s="10">
        <v>1125</v>
      </c>
      <c r="B1132" s="10" t="s">
        <v>1441</v>
      </c>
      <c r="C1132" s="10" t="s">
        <v>1371</v>
      </c>
      <c r="D1132" s="10" t="s">
        <v>655</v>
      </c>
      <c r="E1132" s="10" t="s">
        <v>34</v>
      </c>
      <c r="F1132" s="10" t="s">
        <v>35</v>
      </c>
      <c r="G1132" s="8" t="s">
        <v>52</v>
      </c>
      <c r="H1132" s="8" t="s">
        <v>37</v>
      </c>
      <c r="I1132" s="8" t="s">
        <v>38</v>
      </c>
      <c r="J1132" s="10">
        <v>134</v>
      </c>
      <c r="K1132" s="10" t="s">
        <v>180</v>
      </c>
      <c r="L1132" s="10" t="s">
        <v>55</v>
      </c>
      <c r="M1132" s="12">
        <v>2</v>
      </c>
      <c r="N1132" s="15">
        <v>7000.0</v>
      </c>
      <c r="O1132" s="15"/>
      <c r="P1132" s="17">
        <f>IF(N1132&gt;0, O1132/N1132, 0)</f>
        <v>0</v>
      </c>
      <c r="Q1132" s="15">
        <f>N1132-O1132</f>
        <v>7000</v>
      </c>
      <c r="R1132" s="15">
        <f>M1132*N1132</f>
        <v>14000</v>
      </c>
      <c r="S1132" s="15">
        <f>M1132*O1132</f>
        <v>0</v>
      </c>
      <c r="T1132" s="15">
        <f>M1132*Q1132</f>
        <v>14000</v>
      </c>
      <c r="U1132" s="15"/>
      <c r="V1132" s="15">
        <f>M1132*U1132</f>
        <v>0</v>
      </c>
      <c r="W1132" s="15">
        <f>T1132-V1132</f>
        <v>14000</v>
      </c>
      <c r="X1132" s="17">
        <f>IF(T1132&gt;0, W1132/T1132, 0)</f>
        <v>1</v>
      </c>
      <c r="Y1132" s="8" t="s">
        <v>41</v>
      </c>
      <c r="Z1132" s="10" t="s">
        <v>42</v>
      </c>
      <c r="AA1132" s="10" t="s">
        <v>43</v>
      </c>
      <c r="AB1132" s="10" t="s">
        <v>44</v>
      </c>
      <c r="AC1132" s="8" t="s">
        <v>44</v>
      </c>
    </row>
    <row r="1133" spans="1:29">
      <c r="A1133" s="11">
        <v>1126</v>
      </c>
      <c r="B1133" s="11" t="s">
        <v>1442</v>
      </c>
      <c r="C1133" s="11" t="s">
        <v>1371</v>
      </c>
      <c r="D1133" s="11" t="s">
        <v>655</v>
      </c>
      <c r="E1133" s="11" t="s">
        <v>34</v>
      </c>
      <c r="F1133" s="11" t="s">
        <v>35</v>
      </c>
      <c r="G1133" s="9" t="s">
        <v>36</v>
      </c>
      <c r="H1133" s="9" t="s">
        <v>47</v>
      </c>
      <c r="I1133" s="9" t="s">
        <v>48</v>
      </c>
      <c r="J1133" s="11">
        <v>176</v>
      </c>
      <c r="K1133" s="11" t="s">
        <v>427</v>
      </c>
      <c r="L1133" s="11" t="s">
        <v>40</v>
      </c>
      <c r="M1133" s="13">
        <v>1</v>
      </c>
      <c r="N1133" s="16">
        <v>18000.0</v>
      </c>
      <c r="O1133" s="16"/>
      <c r="P1133" s="18">
        <f>IF(N1133&gt;0, O1133/N1133, 0)</f>
        <v>0</v>
      </c>
      <c r="Q1133" s="16">
        <f>N1133-O1133</f>
        <v>18000</v>
      </c>
      <c r="R1133" s="16">
        <f>M1133*N1133</f>
        <v>18000</v>
      </c>
      <c r="S1133" s="16">
        <f>M1133*O1133</f>
        <v>0</v>
      </c>
      <c r="T1133" s="16">
        <f>M1133*Q1133</f>
        <v>18000</v>
      </c>
      <c r="U1133" s="16"/>
      <c r="V1133" s="16">
        <f>M1133*U1133</f>
        <v>0</v>
      </c>
      <c r="W1133" s="16">
        <f>T1133-V1133</f>
        <v>18000</v>
      </c>
      <c r="X1133" s="18">
        <f>IF(T1133&gt;0, W1133/T1133, 0)</f>
        <v>1</v>
      </c>
      <c r="Y1133" s="9" t="s">
        <v>41</v>
      </c>
      <c r="Z1133" s="11" t="s">
        <v>42</v>
      </c>
      <c r="AA1133" s="11" t="s">
        <v>43</v>
      </c>
      <c r="AB1133" s="11" t="s">
        <v>44</v>
      </c>
      <c r="AC1133" s="9" t="s">
        <v>44</v>
      </c>
    </row>
    <row r="1134" spans="1:29">
      <c r="A1134" s="10">
        <v>1127</v>
      </c>
      <c r="B1134" s="10" t="s">
        <v>1443</v>
      </c>
      <c r="C1134" s="10" t="s">
        <v>1371</v>
      </c>
      <c r="D1134" s="10" t="s">
        <v>655</v>
      </c>
      <c r="E1134" s="10" t="s">
        <v>34</v>
      </c>
      <c r="F1134" s="10" t="s">
        <v>35</v>
      </c>
      <c r="G1134" s="8" t="s">
        <v>36</v>
      </c>
      <c r="H1134" s="8" t="s">
        <v>65</v>
      </c>
      <c r="I1134" s="8" t="s">
        <v>151</v>
      </c>
      <c r="J1134" s="10">
        <v>176</v>
      </c>
      <c r="K1134" s="10" t="s">
        <v>236</v>
      </c>
      <c r="L1134" s="10" t="s">
        <v>40</v>
      </c>
      <c r="M1134" s="12">
        <v>1</v>
      </c>
      <c r="N1134" s="15">
        <v>9500.0</v>
      </c>
      <c r="O1134" s="15"/>
      <c r="P1134" s="17">
        <f>IF(N1134&gt;0, O1134/N1134, 0)</f>
        <v>0</v>
      </c>
      <c r="Q1134" s="15">
        <f>N1134-O1134</f>
        <v>9500</v>
      </c>
      <c r="R1134" s="15">
        <f>M1134*N1134</f>
        <v>9500</v>
      </c>
      <c r="S1134" s="15">
        <f>M1134*O1134</f>
        <v>0</v>
      </c>
      <c r="T1134" s="15">
        <f>M1134*Q1134</f>
        <v>9500</v>
      </c>
      <c r="U1134" s="15"/>
      <c r="V1134" s="15">
        <f>M1134*U1134</f>
        <v>0</v>
      </c>
      <c r="W1134" s="15">
        <f>T1134-V1134</f>
        <v>9500</v>
      </c>
      <c r="X1134" s="17">
        <f>IF(T1134&gt;0, W1134/T1134, 0)</f>
        <v>1</v>
      </c>
      <c r="Y1134" s="8" t="s">
        <v>41</v>
      </c>
      <c r="Z1134" s="10" t="s">
        <v>42</v>
      </c>
      <c r="AA1134" s="10" t="s">
        <v>43</v>
      </c>
      <c r="AB1134" s="10" t="s">
        <v>44</v>
      </c>
      <c r="AC1134" s="8" t="s">
        <v>44</v>
      </c>
    </row>
    <row r="1135" spans="1:29">
      <c r="A1135" s="11">
        <v>1128</v>
      </c>
      <c r="B1135" s="11" t="s">
        <v>1444</v>
      </c>
      <c r="C1135" s="11" t="s">
        <v>1371</v>
      </c>
      <c r="D1135" s="11" t="s">
        <v>655</v>
      </c>
      <c r="E1135" s="11" t="s">
        <v>34</v>
      </c>
      <c r="F1135" s="11" t="s">
        <v>35</v>
      </c>
      <c r="G1135" s="9" t="s">
        <v>36</v>
      </c>
      <c r="H1135" s="9" t="s">
        <v>58</v>
      </c>
      <c r="I1135" s="9" t="s">
        <v>58</v>
      </c>
      <c r="J1135" s="11">
        <v>164</v>
      </c>
      <c r="K1135" s="11" t="s">
        <v>59</v>
      </c>
      <c r="L1135" s="11" t="s">
        <v>40</v>
      </c>
      <c r="M1135" s="13">
        <v>1</v>
      </c>
      <c r="N1135" s="16">
        <v>7500.0</v>
      </c>
      <c r="O1135" s="16"/>
      <c r="P1135" s="18">
        <f>IF(N1135&gt;0, O1135/N1135, 0)</f>
        <v>0</v>
      </c>
      <c r="Q1135" s="16">
        <f>N1135-O1135</f>
        <v>7500</v>
      </c>
      <c r="R1135" s="16">
        <f>M1135*N1135</f>
        <v>7500</v>
      </c>
      <c r="S1135" s="16">
        <f>M1135*O1135</f>
        <v>0</v>
      </c>
      <c r="T1135" s="16">
        <f>M1135*Q1135</f>
        <v>7500</v>
      </c>
      <c r="U1135" s="16"/>
      <c r="V1135" s="16">
        <f>M1135*U1135</f>
        <v>0</v>
      </c>
      <c r="W1135" s="16">
        <f>T1135-V1135</f>
        <v>7500</v>
      </c>
      <c r="X1135" s="18">
        <f>IF(T1135&gt;0, W1135/T1135, 0)</f>
        <v>1</v>
      </c>
      <c r="Y1135" s="9" t="s">
        <v>41</v>
      </c>
      <c r="Z1135" s="11" t="s">
        <v>42</v>
      </c>
      <c r="AA1135" s="11" t="s">
        <v>43</v>
      </c>
      <c r="AB1135" s="11" t="s">
        <v>44</v>
      </c>
      <c r="AC1135" s="9" t="s">
        <v>44</v>
      </c>
    </row>
    <row r="1136" spans="1:29">
      <c r="A1136" s="10">
        <v>1129</v>
      </c>
      <c r="B1136" s="10" t="s">
        <v>1445</v>
      </c>
      <c r="C1136" s="10" t="s">
        <v>1371</v>
      </c>
      <c r="D1136" s="10" t="s">
        <v>655</v>
      </c>
      <c r="E1136" s="10" t="s">
        <v>34</v>
      </c>
      <c r="F1136" s="10" t="s">
        <v>35</v>
      </c>
      <c r="G1136" s="8" t="s">
        <v>36</v>
      </c>
      <c r="H1136" s="8" t="s">
        <v>53</v>
      </c>
      <c r="I1136" s="8" t="s">
        <v>53</v>
      </c>
      <c r="J1136" s="10">
        <v>170</v>
      </c>
      <c r="K1136" s="10" t="s">
        <v>1142</v>
      </c>
      <c r="L1136" s="10" t="s">
        <v>40</v>
      </c>
      <c r="M1136" s="12">
        <v>1</v>
      </c>
      <c r="N1136" s="15">
        <v>8500.0</v>
      </c>
      <c r="O1136" s="15"/>
      <c r="P1136" s="17">
        <f>IF(N1136&gt;0, O1136/N1136, 0)</f>
        <v>0</v>
      </c>
      <c r="Q1136" s="15">
        <f>N1136-O1136</f>
        <v>8500</v>
      </c>
      <c r="R1136" s="15">
        <f>M1136*N1136</f>
        <v>8500</v>
      </c>
      <c r="S1136" s="15">
        <f>M1136*O1136</f>
        <v>0</v>
      </c>
      <c r="T1136" s="15">
        <f>M1136*Q1136</f>
        <v>8500</v>
      </c>
      <c r="U1136" s="15"/>
      <c r="V1136" s="15">
        <f>M1136*U1136</f>
        <v>0</v>
      </c>
      <c r="W1136" s="15">
        <f>T1136-V1136</f>
        <v>8500</v>
      </c>
      <c r="X1136" s="17">
        <f>IF(T1136&gt;0, W1136/T1136, 0)</f>
        <v>1</v>
      </c>
      <c r="Y1136" s="8" t="s">
        <v>41</v>
      </c>
      <c r="Z1136" s="10" t="s">
        <v>42</v>
      </c>
      <c r="AA1136" s="10" t="s">
        <v>43</v>
      </c>
      <c r="AB1136" s="10" t="s">
        <v>44</v>
      </c>
      <c r="AC1136" s="8" t="s">
        <v>44</v>
      </c>
    </row>
    <row r="1137" spans="1:29">
      <c r="A1137" s="11">
        <v>1130</v>
      </c>
      <c r="B1137" s="11" t="s">
        <v>1446</v>
      </c>
      <c r="C1137" s="11" t="s">
        <v>1371</v>
      </c>
      <c r="D1137" s="11" t="s">
        <v>655</v>
      </c>
      <c r="E1137" s="11" t="s">
        <v>34</v>
      </c>
      <c r="F1137" s="11" t="s">
        <v>35</v>
      </c>
      <c r="G1137" s="9" t="s">
        <v>36</v>
      </c>
      <c r="H1137" s="9" t="s">
        <v>37</v>
      </c>
      <c r="I1137" s="9" t="s">
        <v>38</v>
      </c>
      <c r="J1137" s="11">
        <v>170</v>
      </c>
      <c r="K1137" s="11" t="s">
        <v>145</v>
      </c>
      <c r="L1137" s="11" t="s">
        <v>40</v>
      </c>
      <c r="M1137" s="13">
        <v>1</v>
      </c>
      <c r="N1137" s="16">
        <v>8000.0</v>
      </c>
      <c r="O1137" s="16"/>
      <c r="P1137" s="18">
        <f>IF(N1137&gt;0, O1137/N1137, 0)</f>
        <v>0</v>
      </c>
      <c r="Q1137" s="16">
        <f>N1137-O1137</f>
        <v>8000</v>
      </c>
      <c r="R1137" s="16">
        <f>M1137*N1137</f>
        <v>8000</v>
      </c>
      <c r="S1137" s="16">
        <f>M1137*O1137</f>
        <v>0</v>
      </c>
      <c r="T1137" s="16">
        <f>M1137*Q1137</f>
        <v>8000</v>
      </c>
      <c r="U1137" s="16"/>
      <c r="V1137" s="16">
        <f>M1137*U1137</f>
        <v>0</v>
      </c>
      <c r="W1137" s="16">
        <f>T1137-V1137</f>
        <v>8000</v>
      </c>
      <c r="X1137" s="18">
        <f>IF(T1137&gt;0, W1137/T1137, 0)</f>
        <v>1</v>
      </c>
      <c r="Y1137" s="9" t="s">
        <v>41</v>
      </c>
      <c r="Z1137" s="11" t="s">
        <v>42</v>
      </c>
      <c r="AA1137" s="11" t="s">
        <v>43</v>
      </c>
      <c r="AB1137" s="11" t="s">
        <v>44</v>
      </c>
      <c r="AC1137" s="9" t="s">
        <v>44</v>
      </c>
    </row>
    <row r="1138" spans="1:29">
      <c r="A1138" s="10">
        <v>1131</v>
      </c>
      <c r="B1138" s="10" t="s">
        <v>1447</v>
      </c>
      <c r="C1138" s="10" t="s">
        <v>1371</v>
      </c>
      <c r="D1138" s="10" t="s">
        <v>655</v>
      </c>
      <c r="E1138" s="10" t="s">
        <v>34</v>
      </c>
      <c r="F1138" s="10" t="s">
        <v>35</v>
      </c>
      <c r="G1138" s="8" t="s">
        <v>52</v>
      </c>
      <c r="H1138" s="8" t="s">
        <v>37</v>
      </c>
      <c r="I1138" s="8" t="s">
        <v>75</v>
      </c>
      <c r="J1138" s="10">
        <v>140</v>
      </c>
      <c r="K1138" s="10" t="s">
        <v>573</v>
      </c>
      <c r="L1138" s="10" t="s">
        <v>55</v>
      </c>
      <c r="M1138" s="12">
        <v>1</v>
      </c>
      <c r="N1138" s="15">
        <v>8000.0</v>
      </c>
      <c r="O1138" s="15"/>
      <c r="P1138" s="17">
        <f>IF(N1138&gt;0, O1138/N1138, 0)</f>
        <v>0</v>
      </c>
      <c r="Q1138" s="15">
        <f>N1138-O1138</f>
        <v>8000</v>
      </c>
      <c r="R1138" s="15">
        <f>M1138*N1138</f>
        <v>8000</v>
      </c>
      <c r="S1138" s="15">
        <f>M1138*O1138</f>
        <v>0</v>
      </c>
      <c r="T1138" s="15">
        <f>M1138*Q1138</f>
        <v>8000</v>
      </c>
      <c r="U1138" s="15"/>
      <c r="V1138" s="15">
        <f>M1138*U1138</f>
        <v>0</v>
      </c>
      <c r="W1138" s="15">
        <f>T1138-V1138</f>
        <v>8000</v>
      </c>
      <c r="X1138" s="17">
        <f>IF(T1138&gt;0, W1138/T1138, 0)</f>
        <v>1</v>
      </c>
      <c r="Y1138" s="8" t="s">
        <v>41</v>
      </c>
      <c r="Z1138" s="10" t="s">
        <v>42</v>
      </c>
      <c r="AA1138" s="10" t="s">
        <v>43</v>
      </c>
      <c r="AB1138" s="10" t="s">
        <v>44</v>
      </c>
      <c r="AC1138" s="8" t="s">
        <v>44</v>
      </c>
    </row>
    <row r="1139" spans="1:29">
      <c r="A1139" s="11">
        <v>1132</v>
      </c>
      <c r="B1139" s="11" t="s">
        <v>1448</v>
      </c>
      <c r="C1139" s="11" t="s">
        <v>1371</v>
      </c>
      <c r="D1139" s="11" t="s">
        <v>655</v>
      </c>
      <c r="E1139" s="11" t="s">
        <v>34</v>
      </c>
      <c r="F1139" s="11" t="s">
        <v>35</v>
      </c>
      <c r="G1139" s="9" t="s">
        <v>52</v>
      </c>
      <c r="H1139" s="9" t="s">
        <v>37</v>
      </c>
      <c r="I1139" s="9" t="s">
        <v>38</v>
      </c>
      <c r="J1139" s="11">
        <v>146</v>
      </c>
      <c r="K1139" s="11" t="s">
        <v>260</v>
      </c>
      <c r="L1139" s="11" t="s">
        <v>55</v>
      </c>
      <c r="M1139" s="13">
        <v>2</v>
      </c>
      <c r="N1139" s="16">
        <v>7000.0</v>
      </c>
      <c r="O1139" s="16"/>
      <c r="P1139" s="18">
        <f>IF(N1139&gt;0, O1139/N1139, 0)</f>
        <v>0</v>
      </c>
      <c r="Q1139" s="16">
        <f>N1139-O1139</f>
        <v>7000</v>
      </c>
      <c r="R1139" s="16">
        <f>M1139*N1139</f>
        <v>14000</v>
      </c>
      <c r="S1139" s="16">
        <f>M1139*O1139</f>
        <v>0</v>
      </c>
      <c r="T1139" s="16">
        <f>M1139*Q1139</f>
        <v>14000</v>
      </c>
      <c r="U1139" s="16"/>
      <c r="V1139" s="16">
        <f>M1139*U1139</f>
        <v>0</v>
      </c>
      <c r="W1139" s="16">
        <f>T1139-V1139</f>
        <v>14000</v>
      </c>
      <c r="X1139" s="18">
        <f>IF(T1139&gt;0, W1139/T1139, 0)</f>
        <v>1</v>
      </c>
      <c r="Y1139" s="9" t="s">
        <v>41</v>
      </c>
      <c r="Z1139" s="11" t="s">
        <v>42</v>
      </c>
      <c r="AA1139" s="11" t="s">
        <v>43</v>
      </c>
      <c r="AB1139" s="11" t="s">
        <v>44</v>
      </c>
      <c r="AC1139" s="9" t="s">
        <v>44</v>
      </c>
    </row>
    <row r="1140" spans="1:29">
      <c r="A1140" s="10">
        <v>1133</v>
      </c>
      <c r="B1140" s="10" t="s">
        <v>1449</v>
      </c>
      <c r="C1140" s="10" t="s">
        <v>1371</v>
      </c>
      <c r="D1140" s="10" t="s">
        <v>655</v>
      </c>
      <c r="E1140" s="10" t="s">
        <v>34</v>
      </c>
      <c r="F1140" s="10" t="s">
        <v>35</v>
      </c>
      <c r="G1140" s="8" t="s">
        <v>52</v>
      </c>
      <c r="H1140" s="8" t="s">
        <v>71</v>
      </c>
      <c r="I1140" s="8" t="s">
        <v>71</v>
      </c>
      <c r="J1140" s="10">
        <v>146</v>
      </c>
      <c r="K1140" s="10" t="s">
        <v>385</v>
      </c>
      <c r="L1140" s="10" t="s">
        <v>40</v>
      </c>
      <c r="M1140" s="12">
        <v>2</v>
      </c>
      <c r="N1140" s="15">
        <v>17000.0</v>
      </c>
      <c r="O1140" s="15"/>
      <c r="P1140" s="17">
        <f>IF(N1140&gt;0, O1140/N1140, 0)</f>
        <v>0</v>
      </c>
      <c r="Q1140" s="15">
        <f>N1140-O1140</f>
        <v>17000</v>
      </c>
      <c r="R1140" s="15">
        <f>M1140*N1140</f>
        <v>34000</v>
      </c>
      <c r="S1140" s="15">
        <f>M1140*O1140</f>
        <v>0</v>
      </c>
      <c r="T1140" s="15">
        <f>M1140*Q1140</f>
        <v>34000</v>
      </c>
      <c r="U1140" s="15"/>
      <c r="V1140" s="15">
        <f>M1140*U1140</f>
        <v>0</v>
      </c>
      <c r="W1140" s="15">
        <f>T1140-V1140</f>
        <v>34000</v>
      </c>
      <c r="X1140" s="17">
        <f>IF(T1140&gt;0, W1140/T1140, 0)</f>
        <v>1</v>
      </c>
      <c r="Y1140" s="8" t="s">
        <v>41</v>
      </c>
      <c r="Z1140" s="10" t="s">
        <v>42</v>
      </c>
      <c r="AA1140" s="10" t="s">
        <v>43</v>
      </c>
      <c r="AB1140" s="10" t="s">
        <v>44</v>
      </c>
      <c r="AC1140" s="8" t="s">
        <v>44</v>
      </c>
    </row>
    <row r="1141" spans="1:29">
      <c r="A1141" s="11">
        <v>1134</v>
      </c>
      <c r="B1141" s="11" t="s">
        <v>1450</v>
      </c>
      <c r="C1141" s="11" t="s">
        <v>1371</v>
      </c>
      <c r="D1141" s="11" t="s">
        <v>655</v>
      </c>
      <c r="E1141" s="11" t="s">
        <v>34</v>
      </c>
      <c r="F1141" s="11" t="s">
        <v>35</v>
      </c>
      <c r="G1141" s="9" t="s">
        <v>52</v>
      </c>
      <c r="H1141" s="9" t="s">
        <v>53</v>
      </c>
      <c r="I1141" s="9" t="s">
        <v>53</v>
      </c>
      <c r="J1141" s="11">
        <v>146</v>
      </c>
      <c r="K1141" s="11" t="s">
        <v>257</v>
      </c>
      <c r="L1141" s="11" t="s">
        <v>55</v>
      </c>
      <c r="M1141" s="13">
        <v>2</v>
      </c>
      <c r="N1141" s="16">
        <v>8000.0</v>
      </c>
      <c r="O1141" s="16"/>
      <c r="P1141" s="18">
        <f>IF(N1141&gt;0, O1141/N1141, 0)</f>
        <v>0</v>
      </c>
      <c r="Q1141" s="16">
        <f>N1141-O1141</f>
        <v>8000</v>
      </c>
      <c r="R1141" s="16">
        <f>M1141*N1141</f>
        <v>16000</v>
      </c>
      <c r="S1141" s="16">
        <f>M1141*O1141</f>
        <v>0</v>
      </c>
      <c r="T1141" s="16">
        <f>M1141*Q1141</f>
        <v>16000</v>
      </c>
      <c r="U1141" s="16"/>
      <c r="V1141" s="16">
        <f>M1141*U1141</f>
        <v>0</v>
      </c>
      <c r="W1141" s="16">
        <f>T1141-V1141</f>
        <v>16000</v>
      </c>
      <c r="X1141" s="18">
        <f>IF(T1141&gt;0, W1141/T1141, 0)</f>
        <v>1</v>
      </c>
      <c r="Y1141" s="9" t="s">
        <v>41</v>
      </c>
      <c r="Z1141" s="11" t="s">
        <v>42</v>
      </c>
      <c r="AA1141" s="11" t="s">
        <v>43</v>
      </c>
      <c r="AB1141" s="11" t="s">
        <v>44</v>
      </c>
      <c r="AC1141" s="9" t="s">
        <v>44</v>
      </c>
    </row>
    <row r="1142" spans="1:29">
      <c r="A1142" s="10">
        <v>1135</v>
      </c>
      <c r="B1142" s="10" t="s">
        <v>1451</v>
      </c>
      <c r="C1142" s="10" t="s">
        <v>1371</v>
      </c>
      <c r="D1142" s="10" t="s">
        <v>655</v>
      </c>
      <c r="E1142" s="10" t="s">
        <v>34</v>
      </c>
      <c r="F1142" s="10" t="s">
        <v>35</v>
      </c>
      <c r="G1142" s="8" t="s">
        <v>52</v>
      </c>
      <c r="H1142" s="8" t="s">
        <v>37</v>
      </c>
      <c r="I1142" s="8" t="s">
        <v>38</v>
      </c>
      <c r="J1142" s="10">
        <v>152</v>
      </c>
      <c r="K1142" s="10" t="s">
        <v>154</v>
      </c>
      <c r="L1142" s="10" t="s">
        <v>55</v>
      </c>
      <c r="M1142" s="12">
        <v>2</v>
      </c>
      <c r="N1142" s="15">
        <v>7000.0</v>
      </c>
      <c r="O1142" s="15"/>
      <c r="P1142" s="17">
        <f>IF(N1142&gt;0, O1142/N1142, 0)</f>
        <v>0</v>
      </c>
      <c r="Q1142" s="15">
        <f>N1142-O1142</f>
        <v>7000</v>
      </c>
      <c r="R1142" s="15">
        <f>M1142*N1142</f>
        <v>14000</v>
      </c>
      <c r="S1142" s="15">
        <f>M1142*O1142</f>
        <v>0</v>
      </c>
      <c r="T1142" s="15">
        <f>M1142*Q1142</f>
        <v>14000</v>
      </c>
      <c r="U1142" s="15"/>
      <c r="V1142" s="15">
        <f>M1142*U1142</f>
        <v>0</v>
      </c>
      <c r="W1142" s="15">
        <f>T1142-V1142</f>
        <v>14000</v>
      </c>
      <c r="X1142" s="17">
        <f>IF(T1142&gt;0, W1142/T1142, 0)</f>
        <v>1</v>
      </c>
      <c r="Y1142" s="8" t="s">
        <v>41</v>
      </c>
      <c r="Z1142" s="10" t="s">
        <v>42</v>
      </c>
      <c r="AA1142" s="10" t="s">
        <v>43</v>
      </c>
      <c r="AB1142" s="10" t="s">
        <v>44</v>
      </c>
      <c r="AC1142" s="8" t="s">
        <v>44</v>
      </c>
    </row>
    <row r="1143" spans="1:29">
      <c r="A1143" s="11">
        <v>1136</v>
      </c>
      <c r="B1143" s="11" t="s">
        <v>1452</v>
      </c>
      <c r="C1143" s="11" t="s">
        <v>1371</v>
      </c>
      <c r="D1143" s="11" t="s">
        <v>655</v>
      </c>
      <c r="E1143" s="11" t="s">
        <v>34</v>
      </c>
      <c r="F1143" s="11" t="s">
        <v>35</v>
      </c>
      <c r="G1143" s="9" t="s">
        <v>52</v>
      </c>
      <c r="H1143" s="9" t="s">
        <v>37</v>
      </c>
      <c r="I1143" s="9" t="s">
        <v>38</v>
      </c>
      <c r="J1143" s="11">
        <v>146</v>
      </c>
      <c r="K1143" s="11" t="s">
        <v>260</v>
      </c>
      <c r="L1143" s="11" t="s">
        <v>55</v>
      </c>
      <c r="M1143" s="13">
        <v>2</v>
      </c>
      <c r="N1143" s="16">
        <v>7000.0</v>
      </c>
      <c r="O1143" s="16"/>
      <c r="P1143" s="18">
        <f>IF(N1143&gt;0, O1143/N1143, 0)</f>
        <v>0</v>
      </c>
      <c r="Q1143" s="16">
        <f>N1143-O1143</f>
        <v>7000</v>
      </c>
      <c r="R1143" s="16">
        <f>M1143*N1143</f>
        <v>14000</v>
      </c>
      <c r="S1143" s="16">
        <f>M1143*O1143</f>
        <v>0</v>
      </c>
      <c r="T1143" s="16">
        <f>M1143*Q1143</f>
        <v>14000</v>
      </c>
      <c r="U1143" s="16"/>
      <c r="V1143" s="16">
        <f>M1143*U1143</f>
        <v>0</v>
      </c>
      <c r="W1143" s="16">
        <f>T1143-V1143</f>
        <v>14000</v>
      </c>
      <c r="X1143" s="18">
        <f>IF(T1143&gt;0, W1143/T1143, 0)</f>
        <v>1</v>
      </c>
      <c r="Y1143" s="9" t="s">
        <v>41</v>
      </c>
      <c r="Z1143" s="11" t="s">
        <v>42</v>
      </c>
      <c r="AA1143" s="11" t="s">
        <v>43</v>
      </c>
      <c r="AB1143" s="11" t="s">
        <v>44</v>
      </c>
      <c r="AC1143" s="9" t="s">
        <v>44</v>
      </c>
    </row>
    <row r="1144" spans="1:29">
      <c r="A1144" s="10">
        <v>1137</v>
      </c>
      <c r="B1144" s="10" t="s">
        <v>1453</v>
      </c>
      <c r="C1144" s="10" t="s">
        <v>1371</v>
      </c>
      <c r="D1144" s="10" t="s">
        <v>655</v>
      </c>
      <c r="E1144" s="10" t="s">
        <v>34</v>
      </c>
      <c r="F1144" s="10" t="s">
        <v>35</v>
      </c>
      <c r="G1144" s="8" t="s">
        <v>52</v>
      </c>
      <c r="H1144" s="8" t="s">
        <v>58</v>
      </c>
      <c r="I1144" s="8" t="s">
        <v>58</v>
      </c>
      <c r="J1144" s="10">
        <v>140</v>
      </c>
      <c r="K1144" s="10" t="s">
        <v>600</v>
      </c>
      <c r="L1144" s="10" t="s">
        <v>40</v>
      </c>
      <c r="M1144" s="12">
        <v>1</v>
      </c>
      <c r="N1144" s="15">
        <v>7000.0</v>
      </c>
      <c r="O1144" s="15"/>
      <c r="P1144" s="17">
        <f>IF(N1144&gt;0, O1144/N1144, 0)</f>
        <v>0</v>
      </c>
      <c r="Q1144" s="15">
        <f>N1144-O1144</f>
        <v>7000</v>
      </c>
      <c r="R1144" s="15">
        <f>M1144*N1144</f>
        <v>7000</v>
      </c>
      <c r="S1144" s="15">
        <f>M1144*O1144</f>
        <v>0</v>
      </c>
      <c r="T1144" s="15">
        <f>M1144*Q1144</f>
        <v>7000</v>
      </c>
      <c r="U1144" s="15"/>
      <c r="V1144" s="15">
        <f>M1144*U1144</f>
        <v>0</v>
      </c>
      <c r="W1144" s="15">
        <f>T1144-V1144</f>
        <v>7000</v>
      </c>
      <c r="X1144" s="17">
        <f>IF(T1144&gt;0, W1144/T1144, 0)</f>
        <v>1</v>
      </c>
      <c r="Y1144" s="8" t="s">
        <v>41</v>
      </c>
      <c r="Z1144" s="10" t="s">
        <v>42</v>
      </c>
      <c r="AA1144" s="10" t="s">
        <v>43</v>
      </c>
      <c r="AB1144" s="10" t="s">
        <v>44</v>
      </c>
      <c r="AC1144" s="8" t="s">
        <v>44</v>
      </c>
    </row>
    <row r="1145" spans="1:29">
      <c r="A1145" s="11">
        <v>1138</v>
      </c>
      <c r="B1145" s="11" t="s">
        <v>1454</v>
      </c>
      <c r="C1145" s="11" t="s">
        <v>1455</v>
      </c>
      <c r="D1145" s="11" t="s">
        <v>655</v>
      </c>
      <c r="E1145" s="11" t="s">
        <v>34</v>
      </c>
      <c r="F1145" s="11" t="s">
        <v>35</v>
      </c>
      <c r="G1145" s="9" t="s">
        <v>52</v>
      </c>
      <c r="H1145" s="9" t="s">
        <v>37</v>
      </c>
      <c r="I1145" s="9" t="s">
        <v>38</v>
      </c>
      <c r="J1145" s="11">
        <v>158</v>
      </c>
      <c r="K1145" s="11" t="s">
        <v>132</v>
      </c>
      <c r="L1145" s="11" t="s">
        <v>55</v>
      </c>
      <c r="M1145" s="13">
        <v>2</v>
      </c>
      <c r="N1145" s="16">
        <v>7000.0</v>
      </c>
      <c r="O1145" s="16"/>
      <c r="P1145" s="18">
        <f>IF(N1145&gt;0, O1145/N1145, 0)</f>
        <v>0</v>
      </c>
      <c r="Q1145" s="16">
        <f>N1145-O1145</f>
        <v>7000</v>
      </c>
      <c r="R1145" s="16">
        <f>M1145*N1145</f>
        <v>14000</v>
      </c>
      <c r="S1145" s="16">
        <f>M1145*O1145</f>
        <v>0</v>
      </c>
      <c r="T1145" s="16">
        <f>M1145*Q1145</f>
        <v>14000</v>
      </c>
      <c r="U1145" s="16"/>
      <c r="V1145" s="16">
        <f>M1145*U1145</f>
        <v>0</v>
      </c>
      <c r="W1145" s="16">
        <f>T1145-V1145</f>
        <v>14000</v>
      </c>
      <c r="X1145" s="18">
        <f>IF(T1145&gt;0, W1145/T1145, 0)</f>
        <v>1</v>
      </c>
      <c r="Y1145" s="9" t="s">
        <v>41</v>
      </c>
      <c r="Z1145" s="11" t="s">
        <v>42</v>
      </c>
      <c r="AA1145" s="11" t="s">
        <v>43</v>
      </c>
      <c r="AB1145" s="11" t="s">
        <v>44</v>
      </c>
      <c r="AC1145" s="9" t="s">
        <v>44</v>
      </c>
    </row>
    <row r="1146" spans="1:29">
      <c r="A1146" s="10">
        <v>1139</v>
      </c>
      <c r="B1146" s="10" t="s">
        <v>1456</v>
      </c>
      <c r="C1146" s="10" t="s">
        <v>1455</v>
      </c>
      <c r="D1146" s="10" t="s">
        <v>655</v>
      </c>
      <c r="E1146" s="10" t="s">
        <v>34</v>
      </c>
      <c r="F1146" s="10" t="s">
        <v>35</v>
      </c>
      <c r="G1146" s="8" t="s">
        <v>36</v>
      </c>
      <c r="H1146" s="8" t="s">
        <v>37</v>
      </c>
      <c r="I1146" s="8" t="s">
        <v>38</v>
      </c>
      <c r="J1146" s="10">
        <v>158</v>
      </c>
      <c r="K1146" s="10" t="s">
        <v>39</v>
      </c>
      <c r="L1146" s="10" t="s">
        <v>40</v>
      </c>
      <c r="M1146" s="12">
        <v>1</v>
      </c>
      <c r="N1146" s="15">
        <v>8000.0</v>
      </c>
      <c r="O1146" s="15"/>
      <c r="P1146" s="17">
        <f>IF(N1146&gt;0, O1146/N1146, 0)</f>
        <v>0</v>
      </c>
      <c r="Q1146" s="15">
        <f>N1146-O1146</f>
        <v>8000</v>
      </c>
      <c r="R1146" s="15">
        <f>M1146*N1146</f>
        <v>8000</v>
      </c>
      <c r="S1146" s="15">
        <f>M1146*O1146</f>
        <v>0</v>
      </c>
      <c r="T1146" s="15">
        <f>M1146*Q1146</f>
        <v>8000</v>
      </c>
      <c r="U1146" s="15"/>
      <c r="V1146" s="15">
        <f>M1146*U1146</f>
        <v>0</v>
      </c>
      <c r="W1146" s="15">
        <f>T1146-V1146</f>
        <v>8000</v>
      </c>
      <c r="X1146" s="17">
        <f>IF(T1146&gt;0, W1146/T1146, 0)</f>
        <v>1</v>
      </c>
      <c r="Y1146" s="8" t="s">
        <v>41</v>
      </c>
      <c r="Z1146" s="10" t="s">
        <v>42</v>
      </c>
      <c r="AA1146" s="10" t="s">
        <v>43</v>
      </c>
      <c r="AB1146" s="10" t="s">
        <v>44</v>
      </c>
      <c r="AC1146" s="8" t="s">
        <v>44</v>
      </c>
    </row>
    <row r="1147" spans="1:29">
      <c r="A1147" s="11">
        <v>1140</v>
      </c>
      <c r="B1147" s="11" t="s">
        <v>1457</v>
      </c>
      <c r="C1147" s="11" t="s">
        <v>1455</v>
      </c>
      <c r="D1147" s="11" t="s">
        <v>655</v>
      </c>
      <c r="E1147" s="11" t="s">
        <v>34</v>
      </c>
      <c r="F1147" s="11" t="s">
        <v>35</v>
      </c>
      <c r="G1147" s="9" t="s">
        <v>52</v>
      </c>
      <c r="H1147" s="9" t="s">
        <v>37</v>
      </c>
      <c r="I1147" s="9" t="s">
        <v>38</v>
      </c>
      <c r="J1147" s="11">
        <v>140</v>
      </c>
      <c r="K1147" s="11" t="s">
        <v>226</v>
      </c>
      <c r="L1147" s="11" t="s">
        <v>55</v>
      </c>
      <c r="M1147" s="13">
        <v>2</v>
      </c>
      <c r="N1147" s="16">
        <v>7000.0</v>
      </c>
      <c r="O1147" s="16"/>
      <c r="P1147" s="18">
        <f>IF(N1147&gt;0, O1147/N1147, 0)</f>
        <v>0</v>
      </c>
      <c r="Q1147" s="16">
        <f>N1147-O1147</f>
        <v>7000</v>
      </c>
      <c r="R1147" s="16">
        <f>M1147*N1147</f>
        <v>14000</v>
      </c>
      <c r="S1147" s="16">
        <f>M1147*O1147</f>
        <v>0</v>
      </c>
      <c r="T1147" s="16">
        <f>M1147*Q1147</f>
        <v>14000</v>
      </c>
      <c r="U1147" s="16"/>
      <c r="V1147" s="16">
        <f>M1147*U1147</f>
        <v>0</v>
      </c>
      <c r="W1147" s="16">
        <f>T1147-V1147</f>
        <v>14000</v>
      </c>
      <c r="X1147" s="18">
        <f>IF(T1147&gt;0, W1147/T1147, 0)</f>
        <v>1</v>
      </c>
      <c r="Y1147" s="9" t="s">
        <v>41</v>
      </c>
      <c r="Z1147" s="11" t="s">
        <v>42</v>
      </c>
      <c r="AA1147" s="11" t="s">
        <v>43</v>
      </c>
      <c r="AB1147" s="11" t="s">
        <v>44</v>
      </c>
      <c r="AC1147" s="9" t="s">
        <v>44</v>
      </c>
    </row>
    <row r="1148" spans="1:29">
      <c r="A1148" s="10">
        <v>1141</v>
      </c>
      <c r="B1148" s="10" t="s">
        <v>1458</v>
      </c>
      <c r="C1148" s="10" t="s">
        <v>1455</v>
      </c>
      <c r="D1148" s="10" t="s">
        <v>655</v>
      </c>
      <c r="E1148" s="10" t="s">
        <v>34</v>
      </c>
      <c r="F1148" s="10" t="s">
        <v>35</v>
      </c>
      <c r="G1148" s="8" t="s">
        <v>52</v>
      </c>
      <c r="H1148" s="8" t="s">
        <v>71</v>
      </c>
      <c r="I1148" s="8" t="s">
        <v>1436</v>
      </c>
      <c r="J1148" s="10">
        <v>110</v>
      </c>
      <c r="K1148" s="10" t="s">
        <v>1459</v>
      </c>
      <c r="L1148" s="10" t="s">
        <v>40</v>
      </c>
      <c r="M1148" s="12">
        <v>1</v>
      </c>
      <c r="N1148" s="15">
        <v>7000.0</v>
      </c>
      <c r="O1148" s="15"/>
      <c r="P1148" s="17">
        <f>IF(N1148&gt;0, O1148/N1148, 0)</f>
        <v>0</v>
      </c>
      <c r="Q1148" s="15">
        <f>N1148-O1148</f>
        <v>7000</v>
      </c>
      <c r="R1148" s="15">
        <f>M1148*N1148</f>
        <v>7000</v>
      </c>
      <c r="S1148" s="15">
        <f>M1148*O1148</f>
        <v>0</v>
      </c>
      <c r="T1148" s="15">
        <f>M1148*Q1148</f>
        <v>7000</v>
      </c>
      <c r="U1148" s="15"/>
      <c r="V1148" s="15">
        <f>M1148*U1148</f>
        <v>0</v>
      </c>
      <c r="W1148" s="15">
        <f>T1148-V1148</f>
        <v>7000</v>
      </c>
      <c r="X1148" s="17">
        <f>IF(T1148&gt;0, W1148/T1148, 0)</f>
        <v>1</v>
      </c>
      <c r="Y1148" s="8" t="s">
        <v>41</v>
      </c>
      <c r="Z1148" s="10" t="s">
        <v>42</v>
      </c>
      <c r="AA1148" s="10" t="s">
        <v>43</v>
      </c>
      <c r="AB1148" s="10" t="s">
        <v>44</v>
      </c>
      <c r="AC1148" s="8" t="s">
        <v>44</v>
      </c>
    </row>
    <row r="1149" spans="1:29">
      <c r="A1149" s="11">
        <v>1142</v>
      </c>
      <c r="B1149" s="11" t="s">
        <v>1460</v>
      </c>
      <c r="C1149" s="11" t="s">
        <v>1455</v>
      </c>
      <c r="D1149" s="11" t="s">
        <v>655</v>
      </c>
      <c r="E1149" s="11" t="s">
        <v>34</v>
      </c>
      <c r="F1149" s="11" t="s">
        <v>35</v>
      </c>
      <c r="G1149" s="9" t="s">
        <v>52</v>
      </c>
      <c r="H1149" s="9" t="s">
        <v>71</v>
      </c>
      <c r="I1149" s="9" t="s">
        <v>71</v>
      </c>
      <c r="J1149" s="11">
        <v>116</v>
      </c>
      <c r="K1149" s="11" t="s">
        <v>89</v>
      </c>
      <c r="L1149" s="11" t="s">
        <v>40</v>
      </c>
      <c r="M1149" s="13">
        <v>1</v>
      </c>
      <c r="N1149" s="16">
        <v>16000.0</v>
      </c>
      <c r="O1149" s="16"/>
      <c r="P1149" s="18">
        <f>IF(N1149&gt;0, O1149/N1149, 0)</f>
        <v>0</v>
      </c>
      <c r="Q1149" s="16">
        <f>N1149-O1149</f>
        <v>16000</v>
      </c>
      <c r="R1149" s="16">
        <f>M1149*N1149</f>
        <v>16000</v>
      </c>
      <c r="S1149" s="16">
        <f>M1149*O1149</f>
        <v>0</v>
      </c>
      <c r="T1149" s="16">
        <f>M1149*Q1149</f>
        <v>16000</v>
      </c>
      <c r="U1149" s="16"/>
      <c r="V1149" s="16">
        <f>M1149*U1149</f>
        <v>0</v>
      </c>
      <c r="W1149" s="16">
        <f>T1149-V1149</f>
        <v>16000</v>
      </c>
      <c r="X1149" s="18">
        <f>IF(T1149&gt;0, W1149/T1149, 0)</f>
        <v>1</v>
      </c>
      <c r="Y1149" s="9" t="s">
        <v>41</v>
      </c>
      <c r="Z1149" s="11" t="s">
        <v>42</v>
      </c>
      <c r="AA1149" s="11" t="s">
        <v>43</v>
      </c>
      <c r="AB1149" s="11" t="s">
        <v>44</v>
      </c>
      <c r="AC1149" s="9" t="s">
        <v>44</v>
      </c>
    </row>
    <row r="1150" spans="1:29">
      <c r="A1150" s="10">
        <v>1143</v>
      </c>
      <c r="B1150" s="10" t="s">
        <v>1461</v>
      </c>
      <c r="C1150" s="10" t="s">
        <v>1455</v>
      </c>
      <c r="D1150" s="10" t="s">
        <v>655</v>
      </c>
      <c r="E1150" s="10" t="s">
        <v>34</v>
      </c>
      <c r="F1150" s="10" t="s">
        <v>35</v>
      </c>
      <c r="G1150" s="8" t="s">
        <v>52</v>
      </c>
      <c r="H1150" s="8" t="s">
        <v>37</v>
      </c>
      <c r="I1150" s="8" t="s">
        <v>38</v>
      </c>
      <c r="J1150" s="10">
        <v>116</v>
      </c>
      <c r="K1150" s="10" t="s">
        <v>94</v>
      </c>
      <c r="L1150" s="10" t="s">
        <v>55</v>
      </c>
      <c r="M1150" s="12">
        <v>1</v>
      </c>
      <c r="N1150" s="15">
        <v>7000.0</v>
      </c>
      <c r="O1150" s="15"/>
      <c r="P1150" s="17">
        <f>IF(N1150&gt;0, O1150/N1150, 0)</f>
        <v>0</v>
      </c>
      <c r="Q1150" s="15">
        <f>N1150-O1150</f>
        <v>7000</v>
      </c>
      <c r="R1150" s="15">
        <f>M1150*N1150</f>
        <v>7000</v>
      </c>
      <c r="S1150" s="15">
        <f>M1150*O1150</f>
        <v>0</v>
      </c>
      <c r="T1150" s="15">
        <f>M1150*Q1150</f>
        <v>7000</v>
      </c>
      <c r="U1150" s="15"/>
      <c r="V1150" s="15">
        <f>M1150*U1150</f>
        <v>0</v>
      </c>
      <c r="W1150" s="15">
        <f>T1150-V1150</f>
        <v>7000</v>
      </c>
      <c r="X1150" s="17">
        <f>IF(T1150&gt;0, W1150/T1150, 0)</f>
        <v>1</v>
      </c>
      <c r="Y1150" s="8" t="s">
        <v>41</v>
      </c>
      <c r="Z1150" s="10" t="s">
        <v>42</v>
      </c>
      <c r="AA1150" s="10" t="s">
        <v>43</v>
      </c>
      <c r="AB1150" s="10" t="s">
        <v>44</v>
      </c>
      <c r="AC1150" s="8" t="s">
        <v>44</v>
      </c>
    </row>
    <row r="1151" spans="1:29">
      <c r="A1151" s="11">
        <v>1144</v>
      </c>
      <c r="B1151" s="11" t="s">
        <v>1462</v>
      </c>
      <c r="C1151" s="11" t="s">
        <v>1455</v>
      </c>
      <c r="D1151" s="11" t="s">
        <v>655</v>
      </c>
      <c r="E1151" s="11" t="s">
        <v>34</v>
      </c>
      <c r="F1151" s="11" t="s">
        <v>35</v>
      </c>
      <c r="G1151" s="9" t="s">
        <v>36</v>
      </c>
      <c r="H1151" s="9" t="s">
        <v>53</v>
      </c>
      <c r="I1151" s="9" t="s">
        <v>53</v>
      </c>
      <c r="J1151" s="11">
        <v>164</v>
      </c>
      <c r="K1151" s="11" t="s">
        <v>63</v>
      </c>
      <c r="L1151" s="11" t="s">
        <v>40</v>
      </c>
      <c r="M1151" s="13">
        <v>2</v>
      </c>
      <c r="N1151" s="16">
        <v>8500.0</v>
      </c>
      <c r="O1151" s="16"/>
      <c r="P1151" s="18">
        <f>IF(N1151&gt;0, O1151/N1151, 0)</f>
        <v>0</v>
      </c>
      <c r="Q1151" s="16">
        <f>N1151-O1151</f>
        <v>8500</v>
      </c>
      <c r="R1151" s="16">
        <f>M1151*N1151</f>
        <v>17000</v>
      </c>
      <c r="S1151" s="16">
        <f>M1151*O1151</f>
        <v>0</v>
      </c>
      <c r="T1151" s="16">
        <f>M1151*Q1151</f>
        <v>17000</v>
      </c>
      <c r="U1151" s="16"/>
      <c r="V1151" s="16">
        <f>M1151*U1151</f>
        <v>0</v>
      </c>
      <c r="W1151" s="16">
        <f>T1151-V1151</f>
        <v>17000</v>
      </c>
      <c r="X1151" s="18">
        <f>IF(T1151&gt;0, W1151/T1151, 0)</f>
        <v>1</v>
      </c>
      <c r="Y1151" s="9" t="s">
        <v>41</v>
      </c>
      <c r="Z1151" s="11" t="s">
        <v>42</v>
      </c>
      <c r="AA1151" s="11" t="s">
        <v>43</v>
      </c>
      <c r="AB1151" s="11" t="s">
        <v>44</v>
      </c>
      <c r="AC1151" s="9" t="s">
        <v>44</v>
      </c>
    </row>
    <row r="1152" spans="1:29">
      <c r="A1152" s="10">
        <v>1145</v>
      </c>
      <c r="B1152" s="10" t="s">
        <v>1463</v>
      </c>
      <c r="C1152" s="10" t="s">
        <v>1455</v>
      </c>
      <c r="D1152" s="10" t="s">
        <v>655</v>
      </c>
      <c r="E1152" s="10" t="s">
        <v>34</v>
      </c>
      <c r="F1152" s="10" t="s">
        <v>35</v>
      </c>
      <c r="G1152" s="8" t="s">
        <v>36</v>
      </c>
      <c r="H1152" s="8" t="s">
        <v>71</v>
      </c>
      <c r="I1152" s="8" t="s">
        <v>71</v>
      </c>
      <c r="J1152" s="10">
        <v>176</v>
      </c>
      <c r="K1152" s="10" t="s">
        <v>206</v>
      </c>
      <c r="L1152" s="10" t="s">
        <v>40</v>
      </c>
      <c r="M1152" s="12">
        <v>2</v>
      </c>
      <c r="N1152" s="15">
        <v>16500.0</v>
      </c>
      <c r="O1152" s="15"/>
      <c r="P1152" s="17">
        <f>IF(N1152&gt;0, O1152/N1152, 0)</f>
        <v>0</v>
      </c>
      <c r="Q1152" s="15">
        <f>N1152-O1152</f>
        <v>16500</v>
      </c>
      <c r="R1152" s="15">
        <f>M1152*N1152</f>
        <v>33000</v>
      </c>
      <c r="S1152" s="15">
        <f>M1152*O1152</f>
        <v>0</v>
      </c>
      <c r="T1152" s="15">
        <f>M1152*Q1152</f>
        <v>33000</v>
      </c>
      <c r="U1152" s="15"/>
      <c r="V1152" s="15">
        <f>M1152*U1152</f>
        <v>0</v>
      </c>
      <c r="W1152" s="15">
        <f>T1152-V1152</f>
        <v>33000</v>
      </c>
      <c r="X1152" s="17">
        <f>IF(T1152&gt;0, W1152/T1152, 0)</f>
        <v>1</v>
      </c>
      <c r="Y1152" s="8" t="s">
        <v>41</v>
      </c>
      <c r="Z1152" s="10" t="s">
        <v>42</v>
      </c>
      <c r="AA1152" s="10" t="s">
        <v>43</v>
      </c>
      <c r="AB1152" s="10" t="s">
        <v>44</v>
      </c>
      <c r="AC1152" s="8" t="s">
        <v>44</v>
      </c>
    </row>
    <row r="1153" spans="1:29">
      <c r="A1153" s="11">
        <v>1146</v>
      </c>
      <c r="B1153" s="11" t="s">
        <v>1464</v>
      </c>
      <c r="C1153" s="11" t="s">
        <v>1455</v>
      </c>
      <c r="D1153" s="11" t="s">
        <v>655</v>
      </c>
      <c r="E1153" s="11" t="s">
        <v>34</v>
      </c>
      <c r="F1153" s="11" t="s">
        <v>35</v>
      </c>
      <c r="G1153" s="9" t="s">
        <v>36</v>
      </c>
      <c r="H1153" s="9" t="s">
        <v>37</v>
      </c>
      <c r="I1153" s="9" t="s">
        <v>75</v>
      </c>
      <c r="J1153" s="11">
        <v>164</v>
      </c>
      <c r="K1153" s="11" t="s">
        <v>76</v>
      </c>
      <c r="L1153" s="11" t="s">
        <v>40</v>
      </c>
      <c r="M1153" s="13">
        <v>2</v>
      </c>
      <c r="N1153" s="16">
        <v>9000.0</v>
      </c>
      <c r="O1153" s="16"/>
      <c r="P1153" s="18">
        <f>IF(N1153&gt;0, O1153/N1153, 0)</f>
        <v>0</v>
      </c>
      <c r="Q1153" s="16">
        <f>N1153-O1153</f>
        <v>9000</v>
      </c>
      <c r="R1153" s="16">
        <f>M1153*N1153</f>
        <v>18000</v>
      </c>
      <c r="S1153" s="16">
        <f>M1153*O1153</f>
        <v>0</v>
      </c>
      <c r="T1153" s="16">
        <f>M1153*Q1153</f>
        <v>18000</v>
      </c>
      <c r="U1153" s="16"/>
      <c r="V1153" s="16">
        <f>M1153*U1153</f>
        <v>0</v>
      </c>
      <c r="W1153" s="16">
        <f>T1153-V1153</f>
        <v>18000</v>
      </c>
      <c r="X1153" s="18">
        <f>IF(T1153&gt;0, W1153/T1153, 0)</f>
        <v>1</v>
      </c>
      <c r="Y1153" s="9" t="s">
        <v>41</v>
      </c>
      <c r="Z1153" s="11" t="s">
        <v>42</v>
      </c>
      <c r="AA1153" s="11" t="s">
        <v>43</v>
      </c>
      <c r="AB1153" s="11" t="s">
        <v>44</v>
      </c>
      <c r="AC1153" s="9" t="s">
        <v>44</v>
      </c>
    </row>
    <row r="1154" spans="1:29">
      <c r="A1154" s="10">
        <v>1147</v>
      </c>
      <c r="B1154" s="10" t="s">
        <v>1465</v>
      </c>
      <c r="C1154" s="10" t="s">
        <v>1455</v>
      </c>
      <c r="D1154" s="10" t="s">
        <v>655</v>
      </c>
      <c r="E1154" s="10" t="s">
        <v>34</v>
      </c>
      <c r="F1154" s="10" t="s">
        <v>35</v>
      </c>
      <c r="G1154" s="8" t="s">
        <v>36</v>
      </c>
      <c r="H1154" s="8" t="s">
        <v>37</v>
      </c>
      <c r="I1154" s="8" t="s">
        <v>38</v>
      </c>
      <c r="J1154" s="10">
        <v>164</v>
      </c>
      <c r="K1154" s="10" t="s">
        <v>79</v>
      </c>
      <c r="L1154" s="10" t="s">
        <v>40</v>
      </c>
      <c r="M1154" s="12">
        <v>3</v>
      </c>
      <c r="N1154" s="15">
        <v>8000.0</v>
      </c>
      <c r="O1154" s="15"/>
      <c r="P1154" s="17">
        <f>IF(N1154&gt;0, O1154/N1154, 0)</f>
        <v>0</v>
      </c>
      <c r="Q1154" s="15">
        <f>N1154-O1154</f>
        <v>8000</v>
      </c>
      <c r="R1154" s="15">
        <f>M1154*N1154</f>
        <v>24000</v>
      </c>
      <c r="S1154" s="15">
        <f>M1154*O1154</f>
        <v>0</v>
      </c>
      <c r="T1154" s="15">
        <f>M1154*Q1154</f>
        <v>24000</v>
      </c>
      <c r="U1154" s="15"/>
      <c r="V1154" s="15">
        <f>M1154*U1154</f>
        <v>0</v>
      </c>
      <c r="W1154" s="15">
        <f>T1154-V1154</f>
        <v>24000</v>
      </c>
      <c r="X1154" s="17">
        <f>IF(T1154&gt;0, W1154/T1154, 0)</f>
        <v>1</v>
      </c>
      <c r="Y1154" s="8" t="s">
        <v>41</v>
      </c>
      <c r="Z1154" s="10" t="s">
        <v>42</v>
      </c>
      <c r="AA1154" s="10" t="s">
        <v>43</v>
      </c>
      <c r="AB1154" s="10" t="s">
        <v>44</v>
      </c>
      <c r="AC1154" s="8" t="s">
        <v>44</v>
      </c>
    </row>
    <row r="1155" spans="1:29">
      <c r="A1155" s="11">
        <v>1148</v>
      </c>
      <c r="B1155" s="11" t="s">
        <v>1466</v>
      </c>
      <c r="C1155" s="11" t="s">
        <v>1455</v>
      </c>
      <c r="D1155" s="11" t="s">
        <v>655</v>
      </c>
      <c r="E1155" s="11" t="s">
        <v>70</v>
      </c>
      <c r="F1155" s="11" t="s">
        <v>35</v>
      </c>
      <c r="G1155" s="9" t="s">
        <v>36</v>
      </c>
      <c r="H1155" s="9" t="s">
        <v>65</v>
      </c>
      <c r="I1155" s="9" t="s">
        <v>151</v>
      </c>
      <c r="J1155" s="11">
        <v>170</v>
      </c>
      <c r="K1155" s="11" t="s">
        <v>152</v>
      </c>
      <c r="L1155" s="11" t="s">
        <v>40</v>
      </c>
      <c r="M1155" s="13">
        <v>1</v>
      </c>
      <c r="N1155" s="16">
        <v>18000.0</v>
      </c>
      <c r="O1155" s="16"/>
      <c r="P1155" s="18">
        <f>IF(N1155&gt;0, O1155/N1155, 0)</f>
        <v>0</v>
      </c>
      <c r="Q1155" s="16">
        <f>N1155-O1155</f>
        <v>18000</v>
      </c>
      <c r="R1155" s="16">
        <f>M1155*N1155</f>
        <v>18000</v>
      </c>
      <c r="S1155" s="16">
        <f>M1155*O1155</f>
        <v>0</v>
      </c>
      <c r="T1155" s="16">
        <f>M1155*Q1155</f>
        <v>18000</v>
      </c>
      <c r="U1155" s="16"/>
      <c r="V1155" s="16">
        <f>M1155*U1155</f>
        <v>0</v>
      </c>
      <c r="W1155" s="16">
        <f>T1155-V1155</f>
        <v>18000</v>
      </c>
      <c r="X1155" s="18">
        <f>IF(T1155&gt;0, W1155/T1155, 0)</f>
        <v>1</v>
      </c>
      <c r="Y1155" s="9" t="s">
        <v>41</v>
      </c>
      <c r="Z1155" s="11" t="s">
        <v>42</v>
      </c>
      <c r="AA1155" s="11" t="s">
        <v>73</v>
      </c>
      <c r="AB1155" s="11" t="s">
        <v>44</v>
      </c>
      <c r="AC1155" s="9" t="s">
        <v>44</v>
      </c>
    </row>
    <row r="1156" spans="1:29">
      <c r="A1156" s="10">
        <v>1149</v>
      </c>
      <c r="B1156" s="10" t="s">
        <v>1467</v>
      </c>
      <c r="C1156" s="10" t="s">
        <v>1455</v>
      </c>
      <c r="D1156" s="10" t="s">
        <v>655</v>
      </c>
      <c r="E1156" s="10" t="s">
        <v>34</v>
      </c>
      <c r="F1156" s="10" t="s">
        <v>35</v>
      </c>
      <c r="G1156" s="8" t="s">
        <v>36</v>
      </c>
      <c r="H1156" s="8" t="s">
        <v>58</v>
      </c>
      <c r="I1156" s="8" t="s">
        <v>58</v>
      </c>
      <c r="J1156" s="10">
        <v>170</v>
      </c>
      <c r="K1156" s="10" t="s">
        <v>215</v>
      </c>
      <c r="L1156" s="10" t="s">
        <v>40</v>
      </c>
      <c r="M1156" s="12">
        <v>1</v>
      </c>
      <c r="N1156" s="15">
        <v>7500.0</v>
      </c>
      <c r="O1156" s="15"/>
      <c r="P1156" s="17">
        <f>IF(N1156&gt;0, O1156/N1156, 0)</f>
        <v>0</v>
      </c>
      <c r="Q1156" s="15">
        <f>N1156-O1156</f>
        <v>7500</v>
      </c>
      <c r="R1156" s="15">
        <f>M1156*N1156</f>
        <v>7500</v>
      </c>
      <c r="S1156" s="15">
        <f>M1156*O1156</f>
        <v>0</v>
      </c>
      <c r="T1156" s="15">
        <f>M1156*Q1156</f>
        <v>7500</v>
      </c>
      <c r="U1156" s="15"/>
      <c r="V1156" s="15">
        <f>M1156*U1156</f>
        <v>0</v>
      </c>
      <c r="W1156" s="15">
        <f>T1156-V1156</f>
        <v>7500</v>
      </c>
      <c r="X1156" s="17">
        <f>IF(T1156&gt;0, W1156/T1156, 0)</f>
        <v>1</v>
      </c>
      <c r="Y1156" s="8" t="s">
        <v>41</v>
      </c>
      <c r="Z1156" s="10" t="s">
        <v>42</v>
      </c>
      <c r="AA1156" s="10" t="s">
        <v>43</v>
      </c>
      <c r="AB1156" s="10" t="s">
        <v>44</v>
      </c>
      <c r="AC1156" s="8" t="s">
        <v>44</v>
      </c>
    </row>
    <row r="1157" spans="1:29">
      <c r="A1157" s="11">
        <v>1150</v>
      </c>
      <c r="B1157" s="11" t="s">
        <v>1468</v>
      </c>
      <c r="C1157" s="11" t="s">
        <v>1455</v>
      </c>
      <c r="D1157" s="11" t="s">
        <v>655</v>
      </c>
      <c r="E1157" s="11" t="s">
        <v>34</v>
      </c>
      <c r="F1157" s="11" t="s">
        <v>35</v>
      </c>
      <c r="G1157" s="9" t="s">
        <v>36</v>
      </c>
      <c r="H1157" s="9" t="s">
        <v>53</v>
      </c>
      <c r="I1157" s="9" t="s">
        <v>53</v>
      </c>
      <c r="J1157" s="11">
        <v>170</v>
      </c>
      <c r="K1157" s="11" t="s">
        <v>1142</v>
      </c>
      <c r="L1157" s="11" t="s">
        <v>40</v>
      </c>
      <c r="M1157" s="13">
        <v>1</v>
      </c>
      <c r="N1157" s="16">
        <v>8500.0</v>
      </c>
      <c r="O1157" s="16"/>
      <c r="P1157" s="18">
        <f>IF(N1157&gt;0, O1157/N1157, 0)</f>
        <v>0</v>
      </c>
      <c r="Q1157" s="16">
        <f>N1157-O1157</f>
        <v>8500</v>
      </c>
      <c r="R1157" s="16">
        <f>M1157*N1157</f>
        <v>8500</v>
      </c>
      <c r="S1157" s="16">
        <f>M1157*O1157</f>
        <v>0</v>
      </c>
      <c r="T1157" s="16">
        <f>M1157*Q1157</f>
        <v>8500</v>
      </c>
      <c r="U1157" s="16"/>
      <c r="V1157" s="16">
        <f>M1157*U1157</f>
        <v>0</v>
      </c>
      <c r="W1157" s="16">
        <f>T1157-V1157</f>
        <v>8500</v>
      </c>
      <c r="X1157" s="18">
        <f>IF(T1157&gt;0, W1157/T1157, 0)</f>
        <v>1</v>
      </c>
      <c r="Y1157" s="9" t="s">
        <v>41</v>
      </c>
      <c r="Z1157" s="11" t="s">
        <v>42</v>
      </c>
      <c r="AA1157" s="11" t="s">
        <v>43</v>
      </c>
      <c r="AB1157" s="11" t="s">
        <v>44</v>
      </c>
      <c r="AC1157" s="9" t="s">
        <v>44</v>
      </c>
    </row>
    <row r="1158" spans="1:29">
      <c r="A1158" s="10">
        <v>1151</v>
      </c>
      <c r="B1158" s="10" t="s">
        <v>1469</v>
      </c>
      <c r="C1158" s="10" t="s">
        <v>1455</v>
      </c>
      <c r="D1158" s="10" t="s">
        <v>655</v>
      </c>
      <c r="E1158" s="10" t="s">
        <v>34</v>
      </c>
      <c r="F1158" s="10" t="s">
        <v>35</v>
      </c>
      <c r="G1158" s="8" t="s">
        <v>36</v>
      </c>
      <c r="H1158" s="8" t="s">
        <v>71</v>
      </c>
      <c r="I1158" s="8" t="s">
        <v>71</v>
      </c>
      <c r="J1158" s="10">
        <v>176</v>
      </c>
      <c r="K1158" s="10" t="s">
        <v>206</v>
      </c>
      <c r="L1158" s="10" t="s">
        <v>40</v>
      </c>
      <c r="M1158" s="12">
        <v>2</v>
      </c>
      <c r="N1158" s="15">
        <v>16500.0</v>
      </c>
      <c r="O1158" s="15"/>
      <c r="P1158" s="17">
        <f>IF(N1158&gt;0, O1158/N1158, 0)</f>
        <v>0</v>
      </c>
      <c r="Q1158" s="15">
        <f>N1158-O1158</f>
        <v>16500</v>
      </c>
      <c r="R1158" s="15">
        <f>M1158*N1158</f>
        <v>33000</v>
      </c>
      <c r="S1158" s="15">
        <f>M1158*O1158</f>
        <v>0</v>
      </c>
      <c r="T1158" s="15">
        <f>M1158*Q1158</f>
        <v>33000</v>
      </c>
      <c r="U1158" s="15"/>
      <c r="V1158" s="15">
        <f>M1158*U1158</f>
        <v>0</v>
      </c>
      <c r="W1158" s="15">
        <f>T1158-V1158</f>
        <v>33000</v>
      </c>
      <c r="X1158" s="17">
        <f>IF(T1158&gt;0, W1158/T1158, 0)</f>
        <v>1</v>
      </c>
      <c r="Y1158" s="8" t="s">
        <v>41</v>
      </c>
      <c r="Z1158" s="10" t="s">
        <v>42</v>
      </c>
      <c r="AA1158" s="10" t="s">
        <v>43</v>
      </c>
      <c r="AB1158" s="10" t="s">
        <v>44</v>
      </c>
      <c r="AC1158" s="8" t="s">
        <v>44</v>
      </c>
    </row>
    <row r="1159" spans="1:29">
      <c r="A1159" s="11">
        <v>1152</v>
      </c>
      <c r="B1159" s="11" t="s">
        <v>1470</v>
      </c>
      <c r="C1159" s="11" t="s">
        <v>1455</v>
      </c>
      <c r="D1159" s="11" t="s">
        <v>655</v>
      </c>
      <c r="E1159" s="11" t="s">
        <v>34</v>
      </c>
      <c r="F1159" s="11" t="s">
        <v>35</v>
      </c>
      <c r="G1159" s="9" t="s">
        <v>36</v>
      </c>
      <c r="H1159" s="9" t="s">
        <v>47</v>
      </c>
      <c r="I1159" s="9" t="s">
        <v>48</v>
      </c>
      <c r="J1159" s="11">
        <v>170</v>
      </c>
      <c r="K1159" s="11" t="s">
        <v>184</v>
      </c>
      <c r="L1159" s="11" t="s">
        <v>40</v>
      </c>
      <c r="M1159" s="13">
        <v>1</v>
      </c>
      <c r="N1159" s="16">
        <v>18000.0</v>
      </c>
      <c r="O1159" s="16"/>
      <c r="P1159" s="18">
        <f>IF(N1159&gt;0, O1159/N1159, 0)</f>
        <v>0</v>
      </c>
      <c r="Q1159" s="16">
        <f>N1159-O1159</f>
        <v>18000</v>
      </c>
      <c r="R1159" s="16">
        <f>M1159*N1159</f>
        <v>18000</v>
      </c>
      <c r="S1159" s="16">
        <f>M1159*O1159</f>
        <v>0</v>
      </c>
      <c r="T1159" s="16">
        <f>M1159*Q1159</f>
        <v>18000</v>
      </c>
      <c r="U1159" s="16"/>
      <c r="V1159" s="16">
        <f>M1159*U1159</f>
        <v>0</v>
      </c>
      <c r="W1159" s="16">
        <f>T1159-V1159</f>
        <v>18000</v>
      </c>
      <c r="X1159" s="18">
        <f>IF(T1159&gt;0, W1159/T1159, 0)</f>
        <v>1</v>
      </c>
      <c r="Y1159" s="9" t="s">
        <v>41</v>
      </c>
      <c r="Z1159" s="11" t="s">
        <v>42</v>
      </c>
      <c r="AA1159" s="11" t="s">
        <v>43</v>
      </c>
      <c r="AB1159" s="11" t="s">
        <v>44</v>
      </c>
      <c r="AC1159" s="9" t="s">
        <v>44</v>
      </c>
    </row>
    <row r="1160" spans="1:29">
      <c r="A1160" s="10">
        <v>1153</v>
      </c>
      <c r="B1160" s="10" t="s">
        <v>1471</v>
      </c>
      <c r="C1160" s="10" t="s">
        <v>1455</v>
      </c>
      <c r="D1160" s="10" t="s">
        <v>655</v>
      </c>
      <c r="E1160" s="10" t="s">
        <v>34</v>
      </c>
      <c r="F1160" s="10" t="s">
        <v>35</v>
      </c>
      <c r="G1160" s="8" t="s">
        <v>36</v>
      </c>
      <c r="H1160" s="8" t="s">
        <v>37</v>
      </c>
      <c r="I1160" s="8" t="s">
        <v>75</v>
      </c>
      <c r="J1160" s="10">
        <v>170</v>
      </c>
      <c r="K1160" s="10" t="s">
        <v>651</v>
      </c>
      <c r="L1160" s="10" t="s">
        <v>40</v>
      </c>
      <c r="M1160" s="12">
        <v>2</v>
      </c>
      <c r="N1160" s="15">
        <v>9000.0</v>
      </c>
      <c r="O1160" s="15"/>
      <c r="P1160" s="17">
        <f>IF(N1160&gt;0, O1160/N1160, 0)</f>
        <v>0</v>
      </c>
      <c r="Q1160" s="15">
        <f>N1160-O1160</f>
        <v>9000</v>
      </c>
      <c r="R1160" s="15">
        <f>M1160*N1160</f>
        <v>18000</v>
      </c>
      <c r="S1160" s="15">
        <f>M1160*O1160</f>
        <v>0</v>
      </c>
      <c r="T1160" s="15">
        <f>M1160*Q1160</f>
        <v>18000</v>
      </c>
      <c r="U1160" s="15"/>
      <c r="V1160" s="15">
        <f>M1160*U1160</f>
        <v>0</v>
      </c>
      <c r="W1160" s="15">
        <f>T1160-V1160</f>
        <v>18000</v>
      </c>
      <c r="X1160" s="17">
        <f>IF(T1160&gt;0, W1160/T1160, 0)</f>
        <v>1</v>
      </c>
      <c r="Y1160" s="8" t="s">
        <v>41</v>
      </c>
      <c r="Z1160" s="10" t="s">
        <v>42</v>
      </c>
      <c r="AA1160" s="10" t="s">
        <v>43</v>
      </c>
      <c r="AB1160" s="10" t="s">
        <v>44</v>
      </c>
      <c r="AC1160" s="8" t="s">
        <v>44</v>
      </c>
    </row>
    <row r="1161" spans="1:29">
      <c r="A1161" s="11">
        <v>1154</v>
      </c>
      <c r="B1161" s="11" t="s">
        <v>1472</v>
      </c>
      <c r="C1161" s="11" t="s">
        <v>1455</v>
      </c>
      <c r="D1161" s="11" t="s">
        <v>655</v>
      </c>
      <c r="E1161" s="11" t="s">
        <v>34</v>
      </c>
      <c r="F1161" s="11" t="s">
        <v>35</v>
      </c>
      <c r="G1161" s="9" t="s">
        <v>36</v>
      </c>
      <c r="H1161" s="9" t="s">
        <v>37</v>
      </c>
      <c r="I1161" s="9" t="s">
        <v>38</v>
      </c>
      <c r="J1161" s="11">
        <v>170</v>
      </c>
      <c r="K1161" s="11" t="s">
        <v>145</v>
      </c>
      <c r="L1161" s="11" t="s">
        <v>40</v>
      </c>
      <c r="M1161" s="13">
        <v>3</v>
      </c>
      <c r="N1161" s="16">
        <v>8000.0</v>
      </c>
      <c r="O1161" s="16"/>
      <c r="P1161" s="18">
        <f>IF(N1161&gt;0, O1161/N1161, 0)</f>
        <v>0</v>
      </c>
      <c r="Q1161" s="16">
        <f>N1161-O1161</f>
        <v>8000</v>
      </c>
      <c r="R1161" s="16">
        <f>M1161*N1161</f>
        <v>24000</v>
      </c>
      <c r="S1161" s="16">
        <f>M1161*O1161</f>
        <v>0</v>
      </c>
      <c r="T1161" s="16">
        <f>M1161*Q1161</f>
        <v>24000</v>
      </c>
      <c r="U1161" s="16"/>
      <c r="V1161" s="16">
        <f>M1161*U1161</f>
        <v>0</v>
      </c>
      <c r="W1161" s="16">
        <f>T1161-V1161</f>
        <v>24000</v>
      </c>
      <c r="X1161" s="18">
        <f>IF(T1161&gt;0, W1161/T1161, 0)</f>
        <v>1</v>
      </c>
      <c r="Y1161" s="9" t="s">
        <v>41</v>
      </c>
      <c r="Z1161" s="11" t="s">
        <v>42</v>
      </c>
      <c r="AA1161" s="11" t="s">
        <v>43</v>
      </c>
      <c r="AB1161" s="11" t="s">
        <v>44</v>
      </c>
      <c r="AC1161" s="9" t="s">
        <v>44</v>
      </c>
    </row>
    <row r="1162" spans="1:29">
      <c r="A1162" s="10">
        <v>1155</v>
      </c>
      <c r="B1162" s="10" t="s">
        <v>1473</v>
      </c>
      <c r="C1162" s="10" t="s">
        <v>1455</v>
      </c>
      <c r="D1162" s="10" t="s">
        <v>655</v>
      </c>
      <c r="E1162" s="10" t="s">
        <v>34</v>
      </c>
      <c r="F1162" s="10" t="s">
        <v>35</v>
      </c>
      <c r="G1162" s="8" t="s">
        <v>52</v>
      </c>
      <c r="H1162" s="8" t="s">
        <v>71</v>
      </c>
      <c r="I1162" s="8" t="s">
        <v>71</v>
      </c>
      <c r="J1162" s="10">
        <v>152</v>
      </c>
      <c r="K1162" s="10" t="s">
        <v>353</v>
      </c>
      <c r="L1162" s="10" t="s">
        <v>40</v>
      </c>
      <c r="M1162" s="12">
        <v>1</v>
      </c>
      <c r="N1162" s="15">
        <v>17000.0</v>
      </c>
      <c r="O1162" s="15"/>
      <c r="P1162" s="17">
        <f>IF(N1162&gt;0, O1162/N1162, 0)</f>
        <v>0</v>
      </c>
      <c r="Q1162" s="15">
        <f>N1162-O1162</f>
        <v>17000</v>
      </c>
      <c r="R1162" s="15">
        <f>M1162*N1162</f>
        <v>17000</v>
      </c>
      <c r="S1162" s="15">
        <f>M1162*O1162</f>
        <v>0</v>
      </c>
      <c r="T1162" s="15">
        <f>M1162*Q1162</f>
        <v>17000</v>
      </c>
      <c r="U1162" s="15"/>
      <c r="V1162" s="15">
        <f>M1162*U1162</f>
        <v>0</v>
      </c>
      <c r="W1162" s="15">
        <f>T1162-V1162</f>
        <v>17000</v>
      </c>
      <c r="X1162" s="17">
        <f>IF(T1162&gt;0, W1162/T1162, 0)</f>
        <v>1</v>
      </c>
      <c r="Y1162" s="8" t="s">
        <v>41</v>
      </c>
      <c r="Z1162" s="10" t="s">
        <v>42</v>
      </c>
      <c r="AA1162" s="10" t="s">
        <v>43</v>
      </c>
      <c r="AB1162" s="10" t="s">
        <v>44</v>
      </c>
      <c r="AC1162" s="8" t="s">
        <v>44</v>
      </c>
    </row>
    <row r="1163" spans="1:29">
      <c r="A1163" s="11">
        <v>1156</v>
      </c>
      <c r="B1163" s="11" t="s">
        <v>1474</v>
      </c>
      <c r="C1163" s="11" t="s">
        <v>1455</v>
      </c>
      <c r="D1163" s="11" t="s">
        <v>655</v>
      </c>
      <c r="E1163" s="11" t="s">
        <v>34</v>
      </c>
      <c r="F1163" s="11" t="s">
        <v>35</v>
      </c>
      <c r="G1163" s="9" t="s">
        <v>52</v>
      </c>
      <c r="H1163" s="9" t="s">
        <v>53</v>
      </c>
      <c r="I1163" s="9" t="s">
        <v>53</v>
      </c>
      <c r="J1163" s="11">
        <v>158</v>
      </c>
      <c r="K1163" s="11" t="s">
        <v>127</v>
      </c>
      <c r="L1163" s="11" t="s">
        <v>55</v>
      </c>
      <c r="M1163" s="13">
        <v>2</v>
      </c>
      <c r="N1163" s="16">
        <v>8000.0</v>
      </c>
      <c r="O1163" s="16"/>
      <c r="P1163" s="18">
        <f>IF(N1163&gt;0, O1163/N1163, 0)</f>
        <v>0</v>
      </c>
      <c r="Q1163" s="16">
        <f>N1163-O1163</f>
        <v>8000</v>
      </c>
      <c r="R1163" s="16">
        <f>M1163*N1163</f>
        <v>16000</v>
      </c>
      <c r="S1163" s="16">
        <f>M1163*O1163</f>
        <v>0</v>
      </c>
      <c r="T1163" s="16">
        <f>M1163*Q1163</f>
        <v>16000</v>
      </c>
      <c r="U1163" s="16"/>
      <c r="V1163" s="16">
        <f>M1163*U1163</f>
        <v>0</v>
      </c>
      <c r="W1163" s="16">
        <f>T1163-V1163</f>
        <v>16000</v>
      </c>
      <c r="X1163" s="18">
        <f>IF(T1163&gt;0, W1163/T1163, 0)</f>
        <v>1</v>
      </c>
      <c r="Y1163" s="9" t="s">
        <v>41</v>
      </c>
      <c r="Z1163" s="11" t="s">
        <v>42</v>
      </c>
      <c r="AA1163" s="11" t="s">
        <v>43</v>
      </c>
      <c r="AB1163" s="11" t="s">
        <v>44</v>
      </c>
      <c r="AC1163" s="9" t="s">
        <v>44</v>
      </c>
    </row>
    <row r="1164" spans="1:29">
      <c r="A1164" s="10">
        <v>1157</v>
      </c>
      <c r="B1164" s="10" t="s">
        <v>1475</v>
      </c>
      <c r="C1164" s="10" t="s">
        <v>1455</v>
      </c>
      <c r="D1164" s="10" t="s">
        <v>655</v>
      </c>
      <c r="E1164" s="10" t="s">
        <v>34</v>
      </c>
      <c r="F1164" s="10" t="s">
        <v>35</v>
      </c>
      <c r="G1164" s="8" t="s">
        <v>52</v>
      </c>
      <c r="H1164" s="8" t="s">
        <v>47</v>
      </c>
      <c r="I1164" s="8" t="s">
        <v>48</v>
      </c>
      <c r="J1164" s="10">
        <v>158</v>
      </c>
      <c r="K1164" s="10" t="s">
        <v>444</v>
      </c>
      <c r="L1164" s="10" t="s">
        <v>40</v>
      </c>
      <c r="M1164" s="12">
        <v>1</v>
      </c>
      <c r="N1164" s="15">
        <v>18000.0</v>
      </c>
      <c r="O1164" s="15"/>
      <c r="P1164" s="17">
        <f>IF(N1164&gt;0, O1164/N1164, 0)</f>
        <v>0</v>
      </c>
      <c r="Q1164" s="15">
        <f>N1164-O1164</f>
        <v>18000</v>
      </c>
      <c r="R1164" s="15">
        <f>M1164*N1164</f>
        <v>18000</v>
      </c>
      <c r="S1164" s="15">
        <f>M1164*O1164</f>
        <v>0</v>
      </c>
      <c r="T1164" s="15">
        <f>M1164*Q1164</f>
        <v>18000</v>
      </c>
      <c r="U1164" s="15"/>
      <c r="V1164" s="15">
        <f>M1164*U1164</f>
        <v>0</v>
      </c>
      <c r="W1164" s="15">
        <f>T1164-V1164</f>
        <v>18000</v>
      </c>
      <c r="X1164" s="17">
        <f>IF(T1164&gt;0, W1164/T1164, 0)</f>
        <v>1</v>
      </c>
      <c r="Y1164" s="8" t="s">
        <v>41</v>
      </c>
      <c r="Z1164" s="10" t="s">
        <v>42</v>
      </c>
      <c r="AA1164" s="10" t="s">
        <v>43</v>
      </c>
      <c r="AB1164" s="10" t="s">
        <v>44</v>
      </c>
      <c r="AC1164" s="8" t="s">
        <v>44</v>
      </c>
    </row>
    <row r="1165" spans="1:29">
      <c r="A1165" s="11">
        <v>1158</v>
      </c>
      <c r="B1165" s="11" t="s">
        <v>1476</v>
      </c>
      <c r="C1165" s="11" t="s">
        <v>1455</v>
      </c>
      <c r="D1165" s="11" t="s">
        <v>655</v>
      </c>
      <c r="E1165" s="11" t="s">
        <v>34</v>
      </c>
      <c r="F1165" s="11" t="s">
        <v>35</v>
      </c>
      <c r="G1165" s="9" t="s">
        <v>52</v>
      </c>
      <c r="H1165" s="9" t="s">
        <v>58</v>
      </c>
      <c r="I1165" s="9" t="s">
        <v>58</v>
      </c>
      <c r="J1165" s="11">
        <v>158</v>
      </c>
      <c r="K1165" s="11" t="s">
        <v>795</v>
      </c>
      <c r="L1165" s="11" t="s">
        <v>40</v>
      </c>
      <c r="M1165" s="13">
        <v>2</v>
      </c>
      <c r="N1165" s="16">
        <v>7000.0</v>
      </c>
      <c r="O1165" s="16"/>
      <c r="P1165" s="18">
        <f>IF(N1165&gt;0, O1165/N1165, 0)</f>
        <v>0</v>
      </c>
      <c r="Q1165" s="16">
        <f>N1165-O1165</f>
        <v>7000</v>
      </c>
      <c r="R1165" s="16">
        <f>M1165*N1165</f>
        <v>14000</v>
      </c>
      <c r="S1165" s="16">
        <f>M1165*O1165</f>
        <v>0</v>
      </c>
      <c r="T1165" s="16">
        <f>M1165*Q1165</f>
        <v>14000</v>
      </c>
      <c r="U1165" s="16"/>
      <c r="V1165" s="16">
        <f>M1165*U1165</f>
        <v>0</v>
      </c>
      <c r="W1165" s="16">
        <f>T1165-V1165</f>
        <v>14000</v>
      </c>
      <c r="X1165" s="18">
        <f>IF(T1165&gt;0, W1165/T1165, 0)</f>
        <v>1</v>
      </c>
      <c r="Y1165" s="9" t="s">
        <v>41</v>
      </c>
      <c r="Z1165" s="11" t="s">
        <v>42</v>
      </c>
      <c r="AA1165" s="11" t="s">
        <v>43</v>
      </c>
      <c r="AB1165" s="11" t="s">
        <v>44</v>
      </c>
      <c r="AC1165" s="9" t="s">
        <v>44</v>
      </c>
    </row>
    <row r="1166" spans="1:29">
      <c r="A1166" s="10">
        <v>1159</v>
      </c>
      <c r="B1166" s="10" t="s">
        <v>1477</v>
      </c>
      <c r="C1166" s="10" t="s">
        <v>1455</v>
      </c>
      <c r="D1166" s="10" t="s">
        <v>655</v>
      </c>
      <c r="E1166" s="10" t="s">
        <v>34</v>
      </c>
      <c r="F1166" s="10" t="s">
        <v>35</v>
      </c>
      <c r="G1166" s="8" t="s">
        <v>52</v>
      </c>
      <c r="H1166" s="8" t="s">
        <v>37</v>
      </c>
      <c r="I1166" s="8" t="s">
        <v>75</v>
      </c>
      <c r="J1166" s="10">
        <v>158</v>
      </c>
      <c r="K1166" s="10" t="s">
        <v>536</v>
      </c>
      <c r="L1166" s="10" t="s">
        <v>55</v>
      </c>
      <c r="M1166" s="12">
        <v>1</v>
      </c>
      <c r="N1166" s="15">
        <v>8000.0</v>
      </c>
      <c r="O1166" s="15"/>
      <c r="P1166" s="17">
        <f>IF(N1166&gt;0, O1166/N1166, 0)</f>
        <v>0</v>
      </c>
      <c r="Q1166" s="15">
        <f>N1166-O1166</f>
        <v>8000</v>
      </c>
      <c r="R1166" s="15">
        <f>M1166*N1166</f>
        <v>8000</v>
      </c>
      <c r="S1166" s="15">
        <f>M1166*O1166</f>
        <v>0</v>
      </c>
      <c r="T1166" s="15">
        <f>M1166*Q1166</f>
        <v>8000</v>
      </c>
      <c r="U1166" s="15"/>
      <c r="V1166" s="15">
        <f>M1166*U1166</f>
        <v>0</v>
      </c>
      <c r="W1166" s="15">
        <f>T1166-V1166</f>
        <v>8000</v>
      </c>
      <c r="X1166" s="17">
        <f>IF(T1166&gt;0, W1166/T1166, 0)</f>
        <v>1</v>
      </c>
      <c r="Y1166" s="8" t="s">
        <v>41</v>
      </c>
      <c r="Z1166" s="10" t="s">
        <v>42</v>
      </c>
      <c r="AA1166" s="10" t="s">
        <v>43</v>
      </c>
      <c r="AB1166" s="10" t="s">
        <v>44</v>
      </c>
      <c r="AC1166" s="8" t="s">
        <v>44</v>
      </c>
    </row>
    <row r="1167" spans="1:29">
      <c r="A1167" s="11">
        <v>1160</v>
      </c>
      <c r="B1167" s="11" t="s">
        <v>1478</v>
      </c>
      <c r="C1167" s="11" t="s">
        <v>1455</v>
      </c>
      <c r="D1167" s="11" t="s">
        <v>655</v>
      </c>
      <c r="E1167" s="11" t="s">
        <v>34</v>
      </c>
      <c r="F1167" s="11" t="s">
        <v>35</v>
      </c>
      <c r="G1167" s="9" t="s">
        <v>52</v>
      </c>
      <c r="H1167" s="9" t="s">
        <v>37</v>
      </c>
      <c r="I1167" s="9" t="s">
        <v>38</v>
      </c>
      <c r="J1167" s="11">
        <v>158</v>
      </c>
      <c r="K1167" s="11" t="s">
        <v>132</v>
      </c>
      <c r="L1167" s="11" t="s">
        <v>55</v>
      </c>
      <c r="M1167" s="13">
        <v>3</v>
      </c>
      <c r="N1167" s="16">
        <v>7000.0</v>
      </c>
      <c r="O1167" s="16"/>
      <c r="P1167" s="18">
        <f>IF(N1167&gt;0, O1167/N1167, 0)</f>
        <v>0</v>
      </c>
      <c r="Q1167" s="16">
        <f>N1167-O1167</f>
        <v>7000</v>
      </c>
      <c r="R1167" s="16">
        <f>M1167*N1167</f>
        <v>21000</v>
      </c>
      <c r="S1167" s="16">
        <f>M1167*O1167</f>
        <v>0</v>
      </c>
      <c r="T1167" s="16">
        <f>M1167*Q1167</f>
        <v>21000</v>
      </c>
      <c r="U1167" s="16"/>
      <c r="V1167" s="16">
        <f>M1167*U1167</f>
        <v>0</v>
      </c>
      <c r="W1167" s="16">
        <f>T1167-V1167</f>
        <v>21000</v>
      </c>
      <c r="X1167" s="18">
        <f>IF(T1167&gt;0, W1167/T1167, 0)</f>
        <v>1</v>
      </c>
      <c r="Y1167" s="9" t="s">
        <v>41</v>
      </c>
      <c r="Z1167" s="11" t="s">
        <v>42</v>
      </c>
      <c r="AA1167" s="11" t="s">
        <v>43</v>
      </c>
      <c r="AB1167" s="11" t="s">
        <v>44</v>
      </c>
      <c r="AC1167" s="9" t="s">
        <v>44</v>
      </c>
    </row>
    <row r="1168" spans="1:29">
      <c r="A1168" s="10">
        <v>1161</v>
      </c>
      <c r="B1168" s="10" t="s">
        <v>1479</v>
      </c>
      <c r="C1168" s="10" t="s">
        <v>1455</v>
      </c>
      <c r="D1168" s="10" t="s">
        <v>655</v>
      </c>
      <c r="E1168" s="10" t="s">
        <v>34</v>
      </c>
      <c r="F1168" s="10" t="s">
        <v>35</v>
      </c>
      <c r="G1168" s="8" t="s">
        <v>52</v>
      </c>
      <c r="H1168" s="8" t="s">
        <v>71</v>
      </c>
      <c r="I1168" s="8" t="s">
        <v>71</v>
      </c>
      <c r="J1168" s="10">
        <v>146</v>
      </c>
      <c r="K1168" s="10" t="s">
        <v>385</v>
      </c>
      <c r="L1168" s="10" t="s">
        <v>40</v>
      </c>
      <c r="M1168" s="12">
        <v>1</v>
      </c>
      <c r="N1168" s="15">
        <v>17000.0</v>
      </c>
      <c r="O1168" s="15"/>
      <c r="P1168" s="17">
        <f>IF(N1168&gt;0, O1168/N1168, 0)</f>
        <v>0</v>
      </c>
      <c r="Q1168" s="15">
        <f>N1168-O1168</f>
        <v>17000</v>
      </c>
      <c r="R1168" s="15">
        <f>M1168*N1168</f>
        <v>17000</v>
      </c>
      <c r="S1168" s="15">
        <f>M1168*O1168</f>
        <v>0</v>
      </c>
      <c r="T1168" s="15">
        <f>M1168*Q1168</f>
        <v>17000</v>
      </c>
      <c r="U1168" s="15"/>
      <c r="V1168" s="15">
        <f>M1168*U1168</f>
        <v>0</v>
      </c>
      <c r="W1168" s="15">
        <f>T1168-V1168</f>
        <v>17000</v>
      </c>
      <c r="X1168" s="17">
        <f>IF(T1168&gt;0, W1168/T1168, 0)</f>
        <v>1</v>
      </c>
      <c r="Y1168" s="8" t="s">
        <v>41</v>
      </c>
      <c r="Z1168" s="10" t="s">
        <v>42</v>
      </c>
      <c r="AA1168" s="10" t="s">
        <v>43</v>
      </c>
      <c r="AB1168" s="10" t="s">
        <v>44</v>
      </c>
      <c r="AC1168" s="8" t="s">
        <v>44</v>
      </c>
    </row>
    <row r="1169" spans="1:29">
      <c r="A1169" s="11">
        <v>1162</v>
      </c>
      <c r="B1169" s="11" t="s">
        <v>1480</v>
      </c>
      <c r="C1169" s="11" t="s">
        <v>1455</v>
      </c>
      <c r="D1169" s="11" t="s">
        <v>655</v>
      </c>
      <c r="E1169" s="11" t="s">
        <v>34</v>
      </c>
      <c r="F1169" s="11" t="s">
        <v>35</v>
      </c>
      <c r="G1169" s="9" t="s">
        <v>52</v>
      </c>
      <c r="H1169" s="9" t="s">
        <v>53</v>
      </c>
      <c r="I1169" s="9" t="s">
        <v>53</v>
      </c>
      <c r="J1169" s="11">
        <v>146</v>
      </c>
      <c r="K1169" s="11" t="s">
        <v>257</v>
      </c>
      <c r="L1169" s="11" t="s">
        <v>55</v>
      </c>
      <c r="M1169" s="13">
        <v>1</v>
      </c>
      <c r="N1169" s="16">
        <v>8000.0</v>
      </c>
      <c r="O1169" s="16"/>
      <c r="P1169" s="18">
        <f>IF(N1169&gt;0, O1169/N1169, 0)</f>
        <v>0</v>
      </c>
      <c r="Q1169" s="16">
        <f>N1169-O1169</f>
        <v>8000</v>
      </c>
      <c r="R1169" s="16">
        <f>M1169*N1169</f>
        <v>8000</v>
      </c>
      <c r="S1169" s="16">
        <f>M1169*O1169</f>
        <v>0</v>
      </c>
      <c r="T1169" s="16">
        <f>M1169*Q1169</f>
        <v>8000</v>
      </c>
      <c r="U1169" s="16"/>
      <c r="V1169" s="16">
        <f>M1169*U1169</f>
        <v>0</v>
      </c>
      <c r="W1169" s="16">
        <f>T1169-V1169</f>
        <v>8000</v>
      </c>
      <c r="X1169" s="18">
        <f>IF(T1169&gt;0, W1169/T1169, 0)</f>
        <v>1</v>
      </c>
      <c r="Y1169" s="9" t="s">
        <v>41</v>
      </c>
      <c r="Z1169" s="11" t="s">
        <v>42</v>
      </c>
      <c r="AA1169" s="11" t="s">
        <v>43</v>
      </c>
      <c r="AB1169" s="11" t="s">
        <v>44</v>
      </c>
      <c r="AC1169" s="9" t="s">
        <v>44</v>
      </c>
    </row>
    <row r="1170" spans="1:29">
      <c r="A1170" s="10">
        <v>1163</v>
      </c>
      <c r="B1170" s="10" t="s">
        <v>1481</v>
      </c>
      <c r="C1170" s="10" t="s">
        <v>1455</v>
      </c>
      <c r="D1170" s="10" t="s">
        <v>655</v>
      </c>
      <c r="E1170" s="10" t="s">
        <v>34</v>
      </c>
      <c r="F1170" s="10" t="s">
        <v>35</v>
      </c>
      <c r="G1170" s="8" t="s">
        <v>52</v>
      </c>
      <c r="H1170" s="8" t="s">
        <v>58</v>
      </c>
      <c r="I1170" s="8" t="s">
        <v>58</v>
      </c>
      <c r="J1170" s="10">
        <v>140</v>
      </c>
      <c r="K1170" s="10" t="s">
        <v>600</v>
      </c>
      <c r="L1170" s="10" t="s">
        <v>40</v>
      </c>
      <c r="M1170" s="12">
        <v>1</v>
      </c>
      <c r="N1170" s="15">
        <v>7000.0</v>
      </c>
      <c r="O1170" s="15"/>
      <c r="P1170" s="17">
        <f>IF(N1170&gt;0, O1170/N1170, 0)</f>
        <v>0</v>
      </c>
      <c r="Q1170" s="15">
        <f>N1170-O1170</f>
        <v>7000</v>
      </c>
      <c r="R1170" s="15">
        <f>M1170*N1170</f>
        <v>7000</v>
      </c>
      <c r="S1170" s="15">
        <f>M1170*O1170</f>
        <v>0</v>
      </c>
      <c r="T1170" s="15">
        <f>M1170*Q1170</f>
        <v>7000</v>
      </c>
      <c r="U1170" s="15"/>
      <c r="V1170" s="15">
        <f>M1170*U1170</f>
        <v>0</v>
      </c>
      <c r="W1170" s="15">
        <f>T1170-V1170</f>
        <v>7000</v>
      </c>
      <c r="X1170" s="17">
        <f>IF(T1170&gt;0, W1170/T1170, 0)</f>
        <v>1</v>
      </c>
      <c r="Y1170" s="8" t="s">
        <v>41</v>
      </c>
      <c r="Z1170" s="10" t="s">
        <v>42</v>
      </c>
      <c r="AA1170" s="10" t="s">
        <v>43</v>
      </c>
      <c r="AB1170" s="10" t="s">
        <v>44</v>
      </c>
      <c r="AC1170" s="8" t="s">
        <v>44</v>
      </c>
    </row>
    <row r="1171" spans="1:29">
      <c r="A1171" s="11">
        <v>1164</v>
      </c>
      <c r="B1171" s="11" t="s">
        <v>1482</v>
      </c>
      <c r="C1171" s="11" t="s">
        <v>1455</v>
      </c>
      <c r="D1171" s="11" t="s">
        <v>655</v>
      </c>
      <c r="E1171" s="11" t="s">
        <v>34</v>
      </c>
      <c r="F1171" s="11" t="s">
        <v>35</v>
      </c>
      <c r="G1171" s="9" t="s">
        <v>52</v>
      </c>
      <c r="H1171" s="9" t="s">
        <v>37</v>
      </c>
      <c r="I1171" s="9" t="s">
        <v>75</v>
      </c>
      <c r="J1171" s="11">
        <v>146</v>
      </c>
      <c r="K1171" s="11" t="s">
        <v>343</v>
      </c>
      <c r="L1171" s="11" t="s">
        <v>55</v>
      </c>
      <c r="M1171" s="13">
        <v>1</v>
      </c>
      <c r="N1171" s="16">
        <v>9000.0</v>
      </c>
      <c r="O1171" s="16"/>
      <c r="P1171" s="18">
        <f>IF(N1171&gt;0, O1171/N1171, 0)</f>
        <v>0</v>
      </c>
      <c r="Q1171" s="16">
        <f>N1171-O1171</f>
        <v>9000</v>
      </c>
      <c r="R1171" s="16">
        <f>M1171*N1171</f>
        <v>9000</v>
      </c>
      <c r="S1171" s="16">
        <f>M1171*O1171</f>
        <v>0</v>
      </c>
      <c r="T1171" s="16">
        <f>M1171*Q1171</f>
        <v>9000</v>
      </c>
      <c r="U1171" s="16"/>
      <c r="V1171" s="16">
        <f>M1171*U1171</f>
        <v>0</v>
      </c>
      <c r="W1171" s="16">
        <f>T1171-V1171</f>
        <v>9000</v>
      </c>
      <c r="X1171" s="18">
        <f>IF(T1171&gt;0, W1171/T1171, 0)</f>
        <v>1</v>
      </c>
      <c r="Y1171" s="9" t="s">
        <v>41</v>
      </c>
      <c r="Z1171" s="11" t="s">
        <v>42</v>
      </c>
      <c r="AA1171" s="11" t="s">
        <v>43</v>
      </c>
      <c r="AB1171" s="11" t="s">
        <v>44</v>
      </c>
      <c r="AC1171" s="9" t="s">
        <v>44</v>
      </c>
    </row>
    <row r="1172" spans="1:29">
      <c r="A1172" s="10">
        <v>1165</v>
      </c>
      <c r="B1172" s="10" t="s">
        <v>1483</v>
      </c>
      <c r="C1172" s="10" t="s">
        <v>1455</v>
      </c>
      <c r="D1172" s="10" t="s">
        <v>655</v>
      </c>
      <c r="E1172" s="10" t="s">
        <v>34</v>
      </c>
      <c r="F1172" s="10" t="s">
        <v>35</v>
      </c>
      <c r="G1172" s="8" t="s">
        <v>52</v>
      </c>
      <c r="H1172" s="8" t="s">
        <v>37</v>
      </c>
      <c r="I1172" s="8" t="s">
        <v>38</v>
      </c>
      <c r="J1172" s="10">
        <v>146</v>
      </c>
      <c r="K1172" s="10" t="s">
        <v>260</v>
      </c>
      <c r="L1172" s="10" t="s">
        <v>55</v>
      </c>
      <c r="M1172" s="12">
        <v>2</v>
      </c>
      <c r="N1172" s="15">
        <v>8000.0</v>
      </c>
      <c r="O1172" s="15"/>
      <c r="P1172" s="17">
        <f>IF(N1172&gt;0, O1172/N1172, 0)</f>
        <v>0</v>
      </c>
      <c r="Q1172" s="15">
        <f>N1172-O1172</f>
        <v>8000</v>
      </c>
      <c r="R1172" s="15">
        <f>M1172*N1172</f>
        <v>16000</v>
      </c>
      <c r="S1172" s="15">
        <f>M1172*O1172</f>
        <v>0</v>
      </c>
      <c r="T1172" s="15">
        <f>M1172*Q1172</f>
        <v>16000</v>
      </c>
      <c r="U1172" s="15"/>
      <c r="V1172" s="15">
        <f>M1172*U1172</f>
        <v>0</v>
      </c>
      <c r="W1172" s="15">
        <f>T1172-V1172</f>
        <v>16000</v>
      </c>
      <c r="X1172" s="17">
        <f>IF(T1172&gt;0, W1172/T1172, 0)</f>
        <v>1</v>
      </c>
      <c r="Y1172" s="8" t="s">
        <v>41</v>
      </c>
      <c r="Z1172" s="10" t="s">
        <v>42</v>
      </c>
      <c r="AA1172" s="10" t="s">
        <v>43</v>
      </c>
      <c r="AB1172" s="10" t="s">
        <v>44</v>
      </c>
      <c r="AC1172" s="8" t="s">
        <v>44</v>
      </c>
    </row>
    <row r="1173" spans="1:29">
      <c r="A1173" s="11">
        <v>1166</v>
      </c>
      <c r="B1173" s="11" t="s">
        <v>1484</v>
      </c>
      <c r="C1173" s="11" t="s">
        <v>1455</v>
      </c>
      <c r="D1173" s="11" t="s">
        <v>655</v>
      </c>
      <c r="E1173" s="11" t="s">
        <v>34</v>
      </c>
      <c r="F1173" s="11" t="s">
        <v>35</v>
      </c>
      <c r="G1173" s="9" t="s">
        <v>52</v>
      </c>
      <c r="H1173" s="9" t="s">
        <v>71</v>
      </c>
      <c r="I1173" s="9" t="s">
        <v>71</v>
      </c>
      <c r="J1173" s="11">
        <v>152</v>
      </c>
      <c r="K1173" s="11" t="s">
        <v>353</v>
      </c>
      <c r="L1173" s="11" t="s">
        <v>40</v>
      </c>
      <c r="M1173" s="13">
        <v>1</v>
      </c>
      <c r="N1173" s="16">
        <v>16000.0</v>
      </c>
      <c r="O1173" s="16"/>
      <c r="P1173" s="18">
        <f>IF(N1173&gt;0, O1173/N1173, 0)</f>
        <v>0</v>
      </c>
      <c r="Q1173" s="16">
        <f>N1173-O1173</f>
        <v>16000</v>
      </c>
      <c r="R1173" s="16">
        <f>M1173*N1173</f>
        <v>16000</v>
      </c>
      <c r="S1173" s="16">
        <f>M1173*O1173</f>
        <v>0</v>
      </c>
      <c r="T1173" s="16">
        <f>M1173*Q1173</f>
        <v>16000</v>
      </c>
      <c r="U1173" s="16"/>
      <c r="V1173" s="16">
        <f>M1173*U1173</f>
        <v>0</v>
      </c>
      <c r="W1173" s="16">
        <f>T1173-V1173</f>
        <v>16000</v>
      </c>
      <c r="X1173" s="18">
        <f>IF(T1173&gt;0, W1173/T1173, 0)</f>
        <v>1</v>
      </c>
      <c r="Y1173" s="9" t="s">
        <v>41</v>
      </c>
      <c r="Z1173" s="11" t="s">
        <v>42</v>
      </c>
      <c r="AA1173" s="11" t="s">
        <v>43</v>
      </c>
      <c r="AB1173" s="11" t="s">
        <v>44</v>
      </c>
      <c r="AC1173" s="9" t="s">
        <v>44</v>
      </c>
    </row>
    <row r="1174" spans="1:29">
      <c r="A1174" s="10">
        <v>1167</v>
      </c>
      <c r="B1174" s="10" t="s">
        <v>1485</v>
      </c>
      <c r="C1174" s="10" t="s">
        <v>1455</v>
      </c>
      <c r="D1174" s="10" t="s">
        <v>655</v>
      </c>
      <c r="E1174" s="10" t="s">
        <v>34</v>
      </c>
      <c r="F1174" s="10" t="s">
        <v>35</v>
      </c>
      <c r="G1174" s="8" t="s">
        <v>52</v>
      </c>
      <c r="H1174" s="8" t="s">
        <v>65</v>
      </c>
      <c r="I1174" s="8" t="s">
        <v>151</v>
      </c>
      <c r="J1174" s="10">
        <v>152</v>
      </c>
      <c r="K1174" s="10" t="s">
        <v>254</v>
      </c>
      <c r="L1174" s="10" t="s">
        <v>40</v>
      </c>
      <c r="M1174" s="12">
        <v>1</v>
      </c>
      <c r="N1174" s="15">
        <v>9000.0</v>
      </c>
      <c r="O1174" s="15"/>
      <c r="P1174" s="17">
        <f>IF(N1174&gt;0, O1174/N1174, 0)</f>
        <v>0</v>
      </c>
      <c r="Q1174" s="15">
        <f>N1174-O1174</f>
        <v>9000</v>
      </c>
      <c r="R1174" s="15">
        <f>M1174*N1174</f>
        <v>9000</v>
      </c>
      <c r="S1174" s="15">
        <f>M1174*O1174</f>
        <v>0</v>
      </c>
      <c r="T1174" s="15">
        <f>M1174*Q1174</f>
        <v>9000</v>
      </c>
      <c r="U1174" s="15"/>
      <c r="V1174" s="15">
        <f>M1174*U1174</f>
        <v>0</v>
      </c>
      <c r="W1174" s="15">
        <f>T1174-V1174</f>
        <v>9000</v>
      </c>
      <c r="X1174" s="17">
        <f>IF(T1174&gt;0, W1174/T1174, 0)</f>
        <v>1</v>
      </c>
      <c r="Y1174" s="8" t="s">
        <v>41</v>
      </c>
      <c r="Z1174" s="10" t="s">
        <v>42</v>
      </c>
      <c r="AA1174" s="10" t="s">
        <v>43</v>
      </c>
      <c r="AB1174" s="10" t="s">
        <v>44</v>
      </c>
      <c r="AC1174" s="8" t="s">
        <v>44</v>
      </c>
    </row>
    <row r="1175" spans="1:29">
      <c r="A1175" s="11">
        <v>1168</v>
      </c>
      <c r="B1175" s="11" t="s">
        <v>1486</v>
      </c>
      <c r="C1175" s="11" t="s">
        <v>1455</v>
      </c>
      <c r="D1175" s="11" t="s">
        <v>655</v>
      </c>
      <c r="E1175" s="11" t="s">
        <v>34</v>
      </c>
      <c r="F1175" s="11" t="s">
        <v>35</v>
      </c>
      <c r="G1175" s="9" t="s">
        <v>52</v>
      </c>
      <c r="H1175" s="9" t="s">
        <v>58</v>
      </c>
      <c r="I1175" s="9" t="s">
        <v>58</v>
      </c>
      <c r="J1175" s="11">
        <v>152</v>
      </c>
      <c r="K1175" s="11" t="s">
        <v>314</v>
      </c>
      <c r="L1175" s="11" t="s">
        <v>40</v>
      </c>
      <c r="M1175" s="13">
        <v>1</v>
      </c>
      <c r="N1175" s="16">
        <v>7000.0</v>
      </c>
      <c r="O1175" s="16"/>
      <c r="P1175" s="18">
        <f>IF(N1175&gt;0, O1175/N1175, 0)</f>
        <v>0</v>
      </c>
      <c r="Q1175" s="16">
        <f>N1175-O1175</f>
        <v>7000</v>
      </c>
      <c r="R1175" s="16">
        <f>M1175*N1175</f>
        <v>7000</v>
      </c>
      <c r="S1175" s="16">
        <f>M1175*O1175</f>
        <v>0</v>
      </c>
      <c r="T1175" s="16">
        <f>M1175*Q1175</f>
        <v>7000</v>
      </c>
      <c r="U1175" s="16"/>
      <c r="V1175" s="16">
        <f>M1175*U1175</f>
        <v>0</v>
      </c>
      <c r="W1175" s="16">
        <f>T1175-V1175</f>
        <v>7000</v>
      </c>
      <c r="X1175" s="18">
        <f>IF(T1175&gt;0, W1175/T1175, 0)</f>
        <v>1</v>
      </c>
      <c r="Y1175" s="9" t="s">
        <v>41</v>
      </c>
      <c r="Z1175" s="11" t="s">
        <v>42</v>
      </c>
      <c r="AA1175" s="11" t="s">
        <v>43</v>
      </c>
      <c r="AB1175" s="11" t="s">
        <v>44</v>
      </c>
      <c r="AC1175" s="9" t="s">
        <v>44</v>
      </c>
    </row>
    <row r="1176" spans="1:29">
      <c r="A1176" s="10">
        <v>1169</v>
      </c>
      <c r="B1176" s="10" t="s">
        <v>1487</v>
      </c>
      <c r="C1176" s="10" t="s">
        <v>1455</v>
      </c>
      <c r="D1176" s="10" t="s">
        <v>655</v>
      </c>
      <c r="E1176" s="10" t="s">
        <v>34</v>
      </c>
      <c r="F1176" s="10" t="s">
        <v>35</v>
      </c>
      <c r="G1176" s="8" t="s">
        <v>52</v>
      </c>
      <c r="H1176" s="8" t="s">
        <v>53</v>
      </c>
      <c r="I1176" s="8" t="s">
        <v>53</v>
      </c>
      <c r="J1176" s="10">
        <v>152</v>
      </c>
      <c r="K1176" s="10" t="s">
        <v>405</v>
      </c>
      <c r="L1176" s="10" t="s">
        <v>55</v>
      </c>
      <c r="M1176" s="12">
        <v>1</v>
      </c>
      <c r="N1176" s="15">
        <v>8000.0</v>
      </c>
      <c r="O1176" s="15"/>
      <c r="P1176" s="17">
        <f>IF(N1176&gt;0, O1176/N1176, 0)</f>
        <v>0</v>
      </c>
      <c r="Q1176" s="15">
        <f>N1176-O1176</f>
        <v>8000</v>
      </c>
      <c r="R1176" s="15">
        <f>M1176*N1176</f>
        <v>8000</v>
      </c>
      <c r="S1176" s="15">
        <f>M1176*O1176</f>
        <v>0</v>
      </c>
      <c r="T1176" s="15">
        <f>M1176*Q1176</f>
        <v>8000</v>
      </c>
      <c r="U1176" s="15"/>
      <c r="V1176" s="15">
        <f>M1176*U1176</f>
        <v>0</v>
      </c>
      <c r="W1176" s="15">
        <f>T1176-V1176</f>
        <v>8000</v>
      </c>
      <c r="X1176" s="17">
        <f>IF(T1176&gt;0, W1176/T1176, 0)</f>
        <v>1</v>
      </c>
      <c r="Y1176" s="8" t="s">
        <v>41</v>
      </c>
      <c r="Z1176" s="10" t="s">
        <v>42</v>
      </c>
      <c r="AA1176" s="10" t="s">
        <v>43</v>
      </c>
      <c r="AB1176" s="10" t="s">
        <v>44</v>
      </c>
      <c r="AC1176" s="8" t="s">
        <v>44</v>
      </c>
    </row>
    <row r="1177" spans="1:29">
      <c r="A1177" s="11">
        <v>1170</v>
      </c>
      <c r="B1177" s="11" t="s">
        <v>1488</v>
      </c>
      <c r="C1177" s="11" t="s">
        <v>1455</v>
      </c>
      <c r="D1177" s="11" t="s">
        <v>655</v>
      </c>
      <c r="E1177" s="11" t="s">
        <v>34</v>
      </c>
      <c r="F1177" s="11" t="s">
        <v>35</v>
      </c>
      <c r="G1177" s="9" t="s">
        <v>52</v>
      </c>
      <c r="H1177" s="9" t="s">
        <v>37</v>
      </c>
      <c r="I1177" s="9" t="s">
        <v>75</v>
      </c>
      <c r="J1177" s="11">
        <v>152</v>
      </c>
      <c r="K1177" s="11" t="s">
        <v>608</v>
      </c>
      <c r="L1177" s="11" t="s">
        <v>55</v>
      </c>
      <c r="M1177" s="13">
        <v>1</v>
      </c>
      <c r="N1177" s="16">
        <v>8000.0</v>
      </c>
      <c r="O1177" s="16"/>
      <c r="P1177" s="18">
        <f>IF(N1177&gt;0, O1177/N1177, 0)</f>
        <v>0</v>
      </c>
      <c r="Q1177" s="16">
        <f>N1177-O1177</f>
        <v>8000</v>
      </c>
      <c r="R1177" s="16">
        <f>M1177*N1177</f>
        <v>8000</v>
      </c>
      <c r="S1177" s="16">
        <f>M1177*O1177</f>
        <v>0</v>
      </c>
      <c r="T1177" s="16">
        <f>M1177*Q1177</f>
        <v>8000</v>
      </c>
      <c r="U1177" s="16"/>
      <c r="V1177" s="16">
        <f>M1177*U1177</f>
        <v>0</v>
      </c>
      <c r="W1177" s="16">
        <f>T1177-V1177</f>
        <v>8000</v>
      </c>
      <c r="X1177" s="18">
        <f>IF(T1177&gt;0, W1177/T1177, 0)</f>
        <v>1</v>
      </c>
      <c r="Y1177" s="9" t="s">
        <v>41</v>
      </c>
      <c r="Z1177" s="11" t="s">
        <v>42</v>
      </c>
      <c r="AA1177" s="11" t="s">
        <v>43</v>
      </c>
      <c r="AB1177" s="11" t="s">
        <v>44</v>
      </c>
      <c r="AC1177" s="9" t="s">
        <v>44</v>
      </c>
    </row>
    <row r="1178" spans="1:29">
      <c r="A1178" s="10">
        <v>1171</v>
      </c>
      <c r="B1178" s="10" t="s">
        <v>1489</v>
      </c>
      <c r="C1178" s="10" t="s">
        <v>1455</v>
      </c>
      <c r="D1178" s="10" t="s">
        <v>655</v>
      </c>
      <c r="E1178" s="10" t="s">
        <v>34</v>
      </c>
      <c r="F1178" s="10" t="s">
        <v>35</v>
      </c>
      <c r="G1178" s="8" t="s">
        <v>52</v>
      </c>
      <c r="H1178" s="8" t="s">
        <v>37</v>
      </c>
      <c r="I1178" s="8" t="s">
        <v>38</v>
      </c>
      <c r="J1178" s="10">
        <v>152</v>
      </c>
      <c r="K1178" s="10" t="s">
        <v>154</v>
      </c>
      <c r="L1178" s="10" t="s">
        <v>55</v>
      </c>
      <c r="M1178" s="12">
        <v>2</v>
      </c>
      <c r="N1178" s="15">
        <v>7000.0</v>
      </c>
      <c r="O1178" s="15"/>
      <c r="P1178" s="17">
        <f>IF(N1178&gt;0, O1178/N1178, 0)</f>
        <v>0</v>
      </c>
      <c r="Q1178" s="15">
        <f>N1178-O1178</f>
        <v>7000</v>
      </c>
      <c r="R1178" s="15">
        <f>M1178*N1178</f>
        <v>14000</v>
      </c>
      <c r="S1178" s="15">
        <f>M1178*O1178</f>
        <v>0</v>
      </c>
      <c r="T1178" s="15">
        <f>M1178*Q1178</f>
        <v>14000</v>
      </c>
      <c r="U1178" s="15"/>
      <c r="V1178" s="15">
        <f>M1178*U1178</f>
        <v>0</v>
      </c>
      <c r="W1178" s="15">
        <f>T1178-V1178</f>
        <v>14000</v>
      </c>
      <c r="X1178" s="17">
        <f>IF(T1178&gt;0, W1178/T1178, 0)</f>
        <v>1</v>
      </c>
      <c r="Y1178" s="8" t="s">
        <v>41</v>
      </c>
      <c r="Z1178" s="10" t="s">
        <v>42</v>
      </c>
      <c r="AA1178" s="10" t="s">
        <v>43</v>
      </c>
      <c r="AB1178" s="10" t="s">
        <v>44</v>
      </c>
      <c r="AC1178" s="8" t="s">
        <v>44</v>
      </c>
    </row>
    <row r="1179" spans="1:29">
      <c r="A1179" s="11">
        <v>1172</v>
      </c>
      <c r="B1179" s="11" t="s">
        <v>1490</v>
      </c>
      <c r="C1179" s="11" t="s">
        <v>1455</v>
      </c>
      <c r="D1179" s="11" t="s">
        <v>655</v>
      </c>
      <c r="E1179" s="11" t="s">
        <v>34</v>
      </c>
      <c r="F1179" s="11" t="s">
        <v>35</v>
      </c>
      <c r="G1179" s="9" t="s">
        <v>36</v>
      </c>
      <c r="H1179" s="9" t="s">
        <v>58</v>
      </c>
      <c r="I1179" s="9" t="s">
        <v>58</v>
      </c>
      <c r="J1179" s="11">
        <v>140</v>
      </c>
      <c r="K1179" s="11" t="s">
        <v>1491</v>
      </c>
      <c r="L1179" s="11" t="s">
        <v>40</v>
      </c>
      <c r="M1179" s="13">
        <v>1</v>
      </c>
      <c r="N1179" s="16">
        <v>7500.0</v>
      </c>
      <c r="O1179" s="16"/>
      <c r="P1179" s="18">
        <f>IF(N1179&gt;0, O1179/N1179, 0)</f>
        <v>0</v>
      </c>
      <c r="Q1179" s="16">
        <f>N1179-O1179</f>
        <v>7500</v>
      </c>
      <c r="R1179" s="16">
        <f>M1179*N1179</f>
        <v>7500</v>
      </c>
      <c r="S1179" s="16">
        <f>M1179*O1179</f>
        <v>0</v>
      </c>
      <c r="T1179" s="16">
        <f>M1179*Q1179</f>
        <v>7500</v>
      </c>
      <c r="U1179" s="16"/>
      <c r="V1179" s="16">
        <f>M1179*U1179</f>
        <v>0</v>
      </c>
      <c r="W1179" s="16">
        <f>T1179-V1179</f>
        <v>7500</v>
      </c>
      <c r="X1179" s="18">
        <f>IF(T1179&gt;0, W1179/T1179, 0)</f>
        <v>1</v>
      </c>
      <c r="Y1179" s="9" t="s">
        <v>41</v>
      </c>
      <c r="Z1179" s="11" t="s">
        <v>42</v>
      </c>
      <c r="AA1179" s="11" t="s">
        <v>43</v>
      </c>
      <c r="AB1179" s="11" t="s">
        <v>44</v>
      </c>
      <c r="AC1179" s="9" t="s">
        <v>44</v>
      </c>
    </row>
    <row r="1180" spans="1:29">
      <c r="A1180" s="10">
        <v>1173</v>
      </c>
      <c r="B1180" s="10" t="s">
        <v>1492</v>
      </c>
      <c r="C1180" s="10" t="s">
        <v>1455</v>
      </c>
      <c r="D1180" s="10" t="s">
        <v>655</v>
      </c>
      <c r="E1180" s="10" t="s">
        <v>34</v>
      </c>
      <c r="F1180" s="10" t="s">
        <v>35</v>
      </c>
      <c r="G1180" s="8" t="s">
        <v>52</v>
      </c>
      <c r="H1180" s="8" t="s">
        <v>37</v>
      </c>
      <c r="I1180" s="8" t="s">
        <v>1493</v>
      </c>
      <c r="J1180" s="10">
        <v>146</v>
      </c>
      <c r="K1180" s="10" t="s">
        <v>1494</v>
      </c>
      <c r="L1180" s="10" t="s">
        <v>55</v>
      </c>
      <c r="M1180" s="12">
        <v>1</v>
      </c>
      <c r="N1180" s="15">
        <v>8500.0</v>
      </c>
      <c r="O1180" s="15"/>
      <c r="P1180" s="17">
        <f>IF(N1180&gt;0, O1180/N1180, 0)</f>
        <v>0</v>
      </c>
      <c r="Q1180" s="15">
        <f>N1180-O1180</f>
        <v>8500</v>
      </c>
      <c r="R1180" s="15">
        <f>M1180*N1180</f>
        <v>8500</v>
      </c>
      <c r="S1180" s="15">
        <f>M1180*O1180</f>
        <v>0</v>
      </c>
      <c r="T1180" s="15">
        <f>M1180*Q1180</f>
        <v>8500</v>
      </c>
      <c r="U1180" s="15"/>
      <c r="V1180" s="15">
        <f>M1180*U1180</f>
        <v>0</v>
      </c>
      <c r="W1180" s="15">
        <f>T1180-V1180</f>
        <v>8500</v>
      </c>
      <c r="X1180" s="17">
        <f>IF(T1180&gt;0, W1180/T1180, 0)</f>
        <v>1</v>
      </c>
      <c r="Y1180" s="8" t="s">
        <v>41</v>
      </c>
      <c r="Z1180" s="10" t="s">
        <v>42</v>
      </c>
      <c r="AA1180" s="10" t="s">
        <v>43</v>
      </c>
      <c r="AB1180" s="10" t="s">
        <v>44</v>
      </c>
      <c r="AC1180" s="8" t="s">
        <v>44</v>
      </c>
    </row>
    <row r="1181" spans="1:29">
      <c r="A1181" s="11">
        <v>1174</v>
      </c>
      <c r="B1181" s="11" t="s">
        <v>1495</v>
      </c>
      <c r="C1181" s="11" t="s">
        <v>1455</v>
      </c>
      <c r="D1181" s="11" t="s">
        <v>655</v>
      </c>
      <c r="E1181" s="11" t="s">
        <v>34</v>
      </c>
      <c r="F1181" s="11" t="s">
        <v>35</v>
      </c>
      <c r="G1181" s="9" t="s">
        <v>52</v>
      </c>
      <c r="H1181" s="9" t="s">
        <v>37</v>
      </c>
      <c r="I1181" s="9" t="s">
        <v>38</v>
      </c>
      <c r="J1181" s="11">
        <v>146</v>
      </c>
      <c r="K1181" s="11" t="s">
        <v>260</v>
      </c>
      <c r="L1181" s="11" t="s">
        <v>55</v>
      </c>
      <c r="M1181" s="13">
        <v>2</v>
      </c>
      <c r="N1181" s="16">
        <v>7000.0</v>
      </c>
      <c r="O1181" s="16"/>
      <c r="P1181" s="18">
        <f>IF(N1181&gt;0, O1181/N1181, 0)</f>
        <v>0</v>
      </c>
      <c r="Q1181" s="16">
        <f>N1181-O1181</f>
        <v>7000</v>
      </c>
      <c r="R1181" s="16">
        <f>M1181*N1181</f>
        <v>14000</v>
      </c>
      <c r="S1181" s="16">
        <f>M1181*O1181</f>
        <v>0</v>
      </c>
      <c r="T1181" s="16">
        <f>M1181*Q1181</f>
        <v>14000</v>
      </c>
      <c r="U1181" s="16"/>
      <c r="V1181" s="16">
        <f>M1181*U1181</f>
        <v>0</v>
      </c>
      <c r="W1181" s="16">
        <f>T1181-V1181</f>
        <v>14000</v>
      </c>
      <c r="X1181" s="18">
        <f>IF(T1181&gt;0, W1181/T1181, 0)</f>
        <v>1</v>
      </c>
      <c r="Y1181" s="9" t="s">
        <v>41</v>
      </c>
      <c r="Z1181" s="11" t="s">
        <v>42</v>
      </c>
      <c r="AA1181" s="11" t="s">
        <v>43</v>
      </c>
      <c r="AB1181" s="11" t="s">
        <v>44</v>
      </c>
      <c r="AC1181" s="9" t="s">
        <v>44</v>
      </c>
    </row>
    <row r="1182" spans="1:29">
      <c r="A1182" s="10">
        <v>1175</v>
      </c>
      <c r="B1182" s="10" t="s">
        <v>1496</v>
      </c>
      <c r="C1182" s="10" t="s">
        <v>1455</v>
      </c>
      <c r="D1182" s="10" t="s">
        <v>655</v>
      </c>
      <c r="E1182" s="10" t="s">
        <v>34</v>
      </c>
      <c r="F1182" s="10" t="s">
        <v>35</v>
      </c>
      <c r="G1182" s="8" t="s">
        <v>52</v>
      </c>
      <c r="H1182" s="8" t="s">
        <v>53</v>
      </c>
      <c r="I1182" s="8" t="s">
        <v>53</v>
      </c>
      <c r="J1182" s="10">
        <v>128</v>
      </c>
      <c r="K1182" s="10" t="s">
        <v>393</v>
      </c>
      <c r="L1182" s="10" t="s">
        <v>55</v>
      </c>
      <c r="M1182" s="12">
        <v>1</v>
      </c>
      <c r="N1182" s="15">
        <v>8000.0</v>
      </c>
      <c r="O1182" s="15"/>
      <c r="P1182" s="17">
        <f>IF(N1182&gt;0, O1182/N1182, 0)</f>
        <v>0</v>
      </c>
      <c r="Q1182" s="15">
        <f>N1182-O1182</f>
        <v>8000</v>
      </c>
      <c r="R1182" s="15">
        <f>M1182*N1182</f>
        <v>8000</v>
      </c>
      <c r="S1182" s="15">
        <f>M1182*O1182</f>
        <v>0</v>
      </c>
      <c r="T1182" s="15">
        <f>M1182*Q1182</f>
        <v>8000</v>
      </c>
      <c r="U1182" s="15"/>
      <c r="V1182" s="15">
        <f>M1182*U1182</f>
        <v>0</v>
      </c>
      <c r="W1182" s="15">
        <f>T1182-V1182</f>
        <v>8000</v>
      </c>
      <c r="X1182" s="17">
        <f>IF(T1182&gt;0, W1182/T1182, 0)</f>
        <v>1</v>
      </c>
      <c r="Y1182" s="8" t="s">
        <v>41</v>
      </c>
      <c r="Z1182" s="10" t="s">
        <v>42</v>
      </c>
      <c r="AA1182" s="10" t="s">
        <v>43</v>
      </c>
      <c r="AB1182" s="10" t="s">
        <v>44</v>
      </c>
      <c r="AC1182" s="8" t="s">
        <v>44</v>
      </c>
    </row>
    <row r="1183" spans="1:29">
      <c r="A1183" s="11">
        <v>1176</v>
      </c>
      <c r="B1183" s="11" t="s">
        <v>1497</v>
      </c>
      <c r="C1183" s="11" t="s">
        <v>1455</v>
      </c>
      <c r="D1183" s="11" t="s">
        <v>655</v>
      </c>
      <c r="E1183" s="11" t="s">
        <v>34</v>
      </c>
      <c r="F1183" s="11" t="s">
        <v>35</v>
      </c>
      <c r="G1183" s="9" t="s">
        <v>52</v>
      </c>
      <c r="H1183" s="9" t="s">
        <v>58</v>
      </c>
      <c r="I1183" s="9" t="s">
        <v>58</v>
      </c>
      <c r="J1183" s="11">
        <v>110</v>
      </c>
      <c r="K1183" s="11" t="s">
        <v>961</v>
      </c>
      <c r="L1183" s="11" t="s">
        <v>40</v>
      </c>
      <c r="M1183" s="13">
        <v>1</v>
      </c>
      <c r="N1183" s="16">
        <v>7000.0</v>
      </c>
      <c r="O1183" s="16"/>
      <c r="P1183" s="18">
        <f>IF(N1183&gt;0, O1183/N1183, 0)</f>
        <v>0</v>
      </c>
      <c r="Q1183" s="16">
        <f>N1183-O1183</f>
        <v>7000</v>
      </c>
      <c r="R1183" s="16">
        <f>M1183*N1183</f>
        <v>7000</v>
      </c>
      <c r="S1183" s="16">
        <f>M1183*O1183</f>
        <v>0</v>
      </c>
      <c r="T1183" s="16">
        <f>M1183*Q1183</f>
        <v>7000</v>
      </c>
      <c r="U1183" s="16"/>
      <c r="V1183" s="16">
        <f>M1183*U1183</f>
        <v>0</v>
      </c>
      <c r="W1183" s="16">
        <f>T1183-V1183</f>
        <v>7000</v>
      </c>
      <c r="X1183" s="18">
        <f>IF(T1183&gt;0, W1183/T1183, 0)</f>
        <v>1</v>
      </c>
      <c r="Y1183" s="9" t="s">
        <v>41</v>
      </c>
      <c r="Z1183" s="11" t="s">
        <v>42</v>
      </c>
      <c r="AA1183" s="11" t="s">
        <v>43</v>
      </c>
      <c r="AB1183" s="11" t="s">
        <v>44</v>
      </c>
      <c r="AC1183" s="9" t="s">
        <v>44</v>
      </c>
    </row>
    <row r="1184" spans="1:29">
      <c r="A1184" s="10">
        <v>1177</v>
      </c>
      <c r="B1184" s="10" t="s">
        <v>1498</v>
      </c>
      <c r="C1184" s="10" t="s">
        <v>1455</v>
      </c>
      <c r="D1184" s="10" t="s">
        <v>655</v>
      </c>
      <c r="E1184" s="10" t="s">
        <v>34</v>
      </c>
      <c r="F1184" s="10" t="s">
        <v>35</v>
      </c>
      <c r="G1184" s="8" t="s">
        <v>52</v>
      </c>
      <c r="H1184" s="8" t="s">
        <v>37</v>
      </c>
      <c r="I1184" s="8" t="s">
        <v>38</v>
      </c>
      <c r="J1184" s="10">
        <v>134</v>
      </c>
      <c r="K1184" s="10" t="s">
        <v>180</v>
      </c>
      <c r="L1184" s="10" t="s">
        <v>55</v>
      </c>
      <c r="M1184" s="12">
        <v>1</v>
      </c>
      <c r="N1184" s="15">
        <v>7000.0</v>
      </c>
      <c r="O1184" s="15"/>
      <c r="P1184" s="17">
        <f>IF(N1184&gt;0, O1184/N1184, 0)</f>
        <v>0</v>
      </c>
      <c r="Q1184" s="15">
        <f>N1184-O1184</f>
        <v>7000</v>
      </c>
      <c r="R1184" s="15">
        <f>M1184*N1184</f>
        <v>7000</v>
      </c>
      <c r="S1184" s="15">
        <f>M1184*O1184</f>
        <v>0</v>
      </c>
      <c r="T1184" s="15">
        <f>M1184*Q1184</f>
        <v>7000</v>
      </c>
      <c r="U1184" s="15"/>
      <c r="V1184" s="15">
        <f>M1184*U1184</f>
        <v>0</v>
      </c>
      <c r="W1184" s="15">
        <f>T1184-V1184</f>
        <v>7000</v>
      </c>
      <c r="X1184" s="17">
        <f>IF(T1184&gt;0, W1184/T1184, 0)</f>
        <v>1</v>
      </c>
      <c r="Y1184" s="8" t="s">
        <v>41</v>
      </c>
      <c r="Z1184" s="10" t="s">
        <v>42</v>
      </c>
      <c r="AA1184" s="10" t="s">
        <v>43</v>
      </c>
      <c r="AB1184" s="10" t="s">
        <v>44</v>
      </c>
      <c r="AC1184" s="8" t="s">
        <v>44</v>
      </c>
    </row>
    <row r="1185" spans="1:29">
      <c r="A1185" s="11">
        <v>1178</v>
      </c>
      <c r="B1185" s="11" t="s">
        <v>1499</v>
      </c>
      <c r="C1185" s="11" t="s">
        <v>1455</v>
      </c>
      <c r="D1185" s="11" t="s">
        <v>655</v>
      </c>
      <c r="E1185" s="11" t="s">
        <v>34</v>
      </c>
      <c r="F1185" s="11" t="s">
        <v>35</v>
      </c>
      <c r="G1185" s="9" t="s">
        <v>52</v>
      </c>
      <c r="H1185" s="9" t="s">
        <v>37</v>
      </c>
      <c r="I1185" s="9" t="s">
        <v>38</v>
      </c>
      <c r="J1185" s="11">
        <v>128</v>
      </c>
      <c r="K1185" s="11" t="s">
        <v>159</v>
      </c>
      <c r="L1185" s="11" t="s">
        <v>55</v>
      </c>
      <c r="M1185" s="13">
        <v>1</v>
      </c>
      <c r="N1185" s="16">
        <v>7000.0</v>
      </c>
      <c r="O1185" s="16"/>
      <c r="P1185" s="18">
        <f>IF(N1185&gt;0, O1185/N1185, 0)</f>
        <v>0</v>
      </c>
      <c r="Q1185" s="16">
        <f>N1185-O1185</f>
        <v>7000</v>
      </c>
      <c r="R1185" s="16">
        <f>M1185*N1185</f>
        <v>7000</v>
      </c>
      <c r="S1185" s="16">
        <f>M1185*O1185</f>
        <v>0</v>
      </c>
      <c r="T1185" s="16">
        <f>M1185*Q1185</f>
        <v>7000</v>
      </c>
      <c r="U1185" s="16"/>
      <c r="V1185" s="16">
        <f>M1185*U1185</f>
        <v>0</v>
      </c>
      <c r="W1185" s="16">
        <f>T1185-V1185</f>
        <v>7000</v>
      </c>
      <c r="X1185" s="18">
        <f>IF(T1185&gt;0, W1185/T1185, 0)</f>
        <v>1</v>
      </c>
      <c r="Y1185" s="9" t="s">
        <v>41</v>
      </c>
      <c r="Z1185" s="11" t="s">
        <v>42</v>
      </c>
      <c r="AA1185" s="11" t="s">
        <v>43</v>
      </c>
      <c r="AB1185" s="11" t="s">
        <v>44</v>
      </c>
      <c r="AC1185" s="9" t="s">
        <v>44</v>
      </c>
    </row>
    <row r="1186" spans="1:29">
      <c r="A1186" s="10">
        <v>1179</v>
      </c>
      <c r="B1186" s="10" t="s">
        <v>1500</v>
      </c>
      <c r="C1186" s="10" t="s">
        <v>1455</v>
      </c>
      <c r="D1186" s="10" t="s">
        <v>655</v>
      </c>
      <c r="E1186" s="10" t="s">
        <v>34</v>
      </c>
      <c r="F1186" s="10" t="s">
        <v>35</v>
      </c>
      <c r="G1186" s="8" t="s">
        <v>36</v>
      </c>
      <c r="H1186" s="8" t="s">
        <v>58</v>
      </c>
      <c r="I1186" s="8" t="s">
        <v>58</v>
      </c>
      <c r="J1186" s="10">
        <v>158</v>
      </c>
      <c r="K1186" s="10" t="s">
        <v>130</v>
      </c>
      <c r="L1186" s="10" t="s">
        <v>40</v>
      </c>
      <c r="M1186" s="12">
        <v>1</v>
      </c>
      <c r="N1186" s="15">
        <v>7500.0</v>
      </c>
      <c r="O1186" s="15"/>
      <c r="P1186" s="17">
        <f>IF(N1186&gt;0, O1186/N1186, 0)</f>
        <v>0</v>
      </c>
      <c r="Q1186" s="15">
        <f>N1186-O1186</f>
        <v>7500</v>
      </c>
      <c r="R1186" s="15">
        <f>M1186*N1186</f>
        <v>7500</v>
      </c>
      <c r="S1186" s="15">
        <f>M1186*O1186</f>
        <v>0</v>
      </c>
      <c r="T1186" s="15">
        <f>M1186*Q1186</f>
        <v>7500</v>
      </c>
      <c r="U1186" s="15"/>
      <c r="V1186" s="15">
        <f>M1186*U1186</f>
        <v>0</v>
      </c>
      <c r="W1186" s="15">
        <f>T1186-V1186</f>
        <v>7500</v>
      </c>
      <c r="X1186" s="17">
        <f>IF(T1186&gt;0, W1186/T1186, 0)</f>
        <v>1</v>
      </c>
      <c r="Y1186" s="8" t="s">
        <v>41</v>
      </c>
      <c r="Z1186" s="10" t="s">
        <v>42</v>
      </c>
      <c r="AA1186" s="10" t="s">
        <v>43</v>
      </c>
      <c r="AB1186" s="10" t="s">
        <v>44</v>
      </c>
      <c r="AC1186" s="8" t="s">
        <v>44</v>
      </c>
    </row>
    <row r="1187" spans="1:29">
      <c r="A1187" s="11">
        <v>1180</v>
      </c>
      <c r="B1187" s="11" t="s">
        <v>1501</v>
      </c>
      <c r="C1187" s="11" t="s">
        <v>1455</v>
      </c>
      <c r="D1187" s="11" t="s">
        <v>655</v>
      </c>
      <c r="E1187" s="11" t="s">
        <v>34</v>
      </c>
      <c r="F1187" s="11" t="s">
        <v>35</v>
      </c>
      <c r="G1187" s="9" t="s">
        <v>52</v>
      </c>
      <c r="H1187" s="9" t="s">
        <v>37</v>
      </c>
      <c r="I1187" s="9" t="s">
        <v>38</v>
      </c>
      <c r="J1187" s="11">
        <v>158</v>
      </c>
      <c r="K1187" s="11" t="s">
        <v>132</v>
      </c>
      <c r="L1187" s="11" t="s">
        <v>55</v>
      </c>
      <c r="M1187" s="13">
        <v>1</v>
      </c>
      <c r="N1187" s="16">
        <v>8000.0</v>
      </c>
      <c r="O1187" s="16"/>
      <c r="P1187" s="18">
        <f>IF(N1187&gt;0, O1187/N1187, 0)</f>
        <v>0</v>
      </c>
      <c r="Q1187" s="16">
        <f>N1187-O1187</f>
        <v>8000</v>
      </c>
      <c r="R1187" s="16">
        <f>M1187*N1187</f>
        <v>8000</v>
      </c>
      <c r="S1187" s="16">
        <f>M1187*O1187</f>
        <v>0</v>
      </c>
      <c r="T1187" s="16">
        <f>M1187*Q1187</f>
        <v>8000</v>
      </c>
      <c r="U1187" s="16"/>
      <c r="V1187" s="16">
        <f>M1187*U1187</f>
        <v>0</v>
      </c>
      <c r="W1187" s="16">
        <f>T1187-V1187</f>
        <v>8000</v>
      </c>
      <c r="X1187" s="18">
        <f>IF(T1187&gt;0, W1187/T1187, 0)</f>
        <v>1</v>
      </c>
      <c r="Y1187" s="9" t="s">
        <v>41</v>
      </c>
      <c r="Z1187" s="11" t="s">
        <v>42</v>
      </c>
      <c r="AA1187" s="11" t="s">
        <v>43</v>
      </c>
      <c r="AB1187" s="11" t="s">
        <v>44</v>
      </c>
      <c r="AC1187" s="9" t="s">
        <v>44</v>
      </c>
    </row>
    <row r="1188" spans="1:29">
      <c r="A1188" s="10">
        <v>1181</v>
      </c>
      <c r="B1188" s="10" t="s">
        <v>1502</v>
      </c>
      <c r="C1188" s="10" t="s">
        <v>1455</v>
      </c>
      <c r="D1188" s="10" t="s">
        <v>655</v>
      </c>
      <c r="E1188" s="10" t="s">
        <v>34</v>
      </c>
      <c r="F1188" s="10" t="s">
        <v>35</v>
      </c>
      <c r="G1188" s="8" t="s">
        <v>52</v>
      </c>
      <c r="H1188" s="8" t="s">
        <v>37</v>
      </c>
      <c r="I1188" s="8" t="s">
        <v>38</v>
      </c>
      <c r="J1188" s="10">
        <v>116</v>
      </c>
      <c r="K1188" s="10" t="s">
        <v>94</v>
      </c>
      <c r="L1188" s="10" t="s">
        <v>55</v>
      </c>
      <c r="M1188" s="12">
        <v>1</v>
      </c>
      <c r="N1188" s="15">
        <v>7000.0</v>
      </c>
      <c r="O1188" s="15"/>
      <c r="P1188" s="17">
        <f>IF(N1188&gt;0, O1188/N1188, 0)</f>
        <v>0</v>
      </c>
      <c r="Q1188" s="15">
        <f>N1188-O1188</f>
        <v>7000</v>
      </c>
      <c r="R1188" s="15">
        <f>M1188*N1188</f>
        <v>7000</v>
      </c>
      <c r="S1188" s="15">
        <f>M1188*O1188</f>
        <v>0</v>
      </c>
      <c r="T1188" s="15">
        <f>M1188*Q1188</f>
        <v>7000</v>
      </c>
      <c r="U1188" s="15"/>
      <c r="V1188" s="15">
        <f>M1188*U1188</f>
        <v>0</v>
      </c>
      <c r="W1188" s="15">
        <f>T1188-V1188</f>
        <v>7000</v>
      </c>
      <c r="X1188" s="17">
        <f>IF(T1188&gt;0, W1188/T1188, 0)</f>
        <v>1</v>
      </c>
      <c r="Y1188" s="8" t="s">
        <v>41</v>
      </c>
      <c r="Z1188" s="10" t="s">
        <v>42</v>
      </c>
      <c r="AA1188" s="10" t="s">
        <v>43</v>
      </c>
      <c r="AB1188" s="10" t="s">
        <v>44</v>
      </c>
      <c r="AC1188" s="8" t="s">
        <v>44</v>
      </c>
    </row>
    <row r="1189" spans="1:29">
      <c r="A1189" s="11">
        <v>1182</v>
      </c>
      <c r="B1189" s="11" t="s">
        <v>1503</v>
      </c>
      <c r="C1189" s="11" t="s">
        <v>1455</v>
      </c>
      <c r="D1189" s="11" t="s">
        <v>655</v>
      </c>
      <c r="E1189" s="11" t="s">
        <v>34</v>
      </c>
      <c r="F1189" s="11" t="s">
        <v>35</v>
      </c>
      <c r="G1189" s="9" t="s">
        <v>52</v>
      </c>
      <c r="H1189" s="9" t="s">
        <v>37</v>
      </c>
      <c r="I1189" s="9" t="s">
        <v>75</v>
      </c>
      <c r="J1189" s="11">
        <v>140</v>
      </c>
      <c r="K1189" s="11" t="s">
        <v>573</v>
      </c>
      <c r="L1189" s="11" t="s">
        <v>55</v>
      </c>
      <c r="M1189" s="13">
        <v>1</v>
      </c>
      <c r="N1189" s="16">
        <v>8000.0</v>
      </c>
      <c r="O1189" s="16"/>
      <c r="P1189" s="18">
        <f>IF(N1189&gt;0, O1189/N1189, 0)</f>
        <v>0</v>
      </c>
      <c r="Q1189" s="16">
        <f>N1189-O1189</f>
        <v>8000</v>
      </c>
      <c r="R1189" s="16">
        <f>M1189*N1189</f>
        <v>8000</v>
      </c>
      <c r="S1189" s="16">
        <f>M1189*O1189</f>
        <v>0</v>
      </c>
      <c r="T1189" s="16">
        <f>M1189*Q1189</f>
        <v>8000</v>
      </c>
      <c r="U1189" s="16"/>
      <c r="V1189" s="16">
        <f>M1189*U1189</f>
        <v>0</v>
      </c>
      <c r="W1189" s="16">
        <f>T1189-V1189</f>
        <v>8000</v>
      </c>
      <c r="X1189" s="18">
        <f>IF(T1189&gt;0, W1189/T1189, 0)</f>
        <v>1</v>
      </c>
      <c r="Y1189" s="9" t="s">
        <v>41</v>
      </c>
      <c r="Z1189" s="11" t="s">
        <v>42</v>
      </c>
      <c r="AA1189" s="11" t="s">
        <v>43</v>
      </c>
      <c r="AB1189" s="11" t="s">
        <v>44</v>
      </c>
      <c r="AC1189" s="9" t="s">
        <v>44</v>
      </c>
    </row>
    <row r="1190" spans="1:29">
      <c r="A1190" s="10">
        <v>1183</v>
      </c>
      <c r="B1190" s="10" t="s">
        <v>1504</v>
      </c>
      <c r="C1190" s="10" t="s">
        <v>1455</v>
      </c>
      <c r="D1190" s="10" t="s">
        <v>655</v>
      </c>
      <c r="E1190" s="10" t="s">
        <v>34</v>
      </c>
      <c r="F1190" s="10" t="s">
        <v>35</v>
      </c>
      <c r="G1190" s="8" t="s">
        <v>52</v>
      </c>
      <c r="H1190" s="8" t="s">
        <v>37</v>
      </c>
      <c r="I1190" s="8" t="s">
        <v>75</v>
      </c>
      <c r="J1190" s="10">
        <v>134</v>
      </c>
      <c r="K1190" s="10" t="s">
        <v>149</v>
      </c>
      <c r="L1190" s="10" t="s">
        <v>55</v>
      </c>
      <c r="M1190" s="12">
        <v>1</v>
      </c>
      <c r="N1190" s="15">
        <v>8000.0</v>
      </c>
      <c r="O1190" s="15"/>
      <c r="P1190" s="17">
        <f>IF(N1190&gt;0, O1190/N1190, 0)</f>
        <v>0</v>
      </c>
      <c r="Q1190" s="15">
        <f>N1190-O1190</f>
        <v>8000</v>
      </c>
      <c r="R1190" s="15">
        <f>M1190*N1190</f>
        <v>8000</v>
      </c>
      <c r="S1190" s="15">
        <f>M1190*O1190</f>
        <v>0</v>
      </c>
      <c r="T1190" s="15">
        <f>M1190*Q1190</f>
        <v>8000</v>
      </c>
      <c r="U1190" s="15"/>
      <c r="V1190" s="15">
        <f>M1190*U1190</f>
        <v>0</v>
      </c>
      <c r="W1190" s="15">
        <f>T1190-V1190</f>
        <v>8000</v>
      </c>
      <c r="X1190" s="17">
        <f>IF(T1190&gt;0, W1190/T1190, 0)</f>
        <v>1</v>
      </c>
      <c r="Y1190" s="8" t="s">
        <v>41</v>
      </c>
      <c r="Z1190" s="10" t="s">
        <v>42</v>
      </c>
      <c r="AA1190" s="10" t="s">
        <v>43</v>
      </c>
      <c r="AB1190" s="10" t="s">
        <v>44</v>
      </c>
      <c r="AC1190" s="8" t="s">
        <v>44</v>
      </c>
    </row>
    <row r="1191" spans="1:29">
      <c r="A1191" s="11">
        <v>1184</v>
      </c>
      <c r="B1191" s="11" t="s">
        <v>1505</v>
      </c>
      <c r="C1191" s="11" t="s">
        <v>1455</v>
      </c>
      <c r="D1191" s="11" t="s">
        <v>655</v>
      </c>
      <c r="E1191" s="11" t="s">
        <v>34</v>
      </c>
      <c r="F1191" s="11" t="s">
        <v>35</v>
      </c>
      <c r="G1191" s="9" t="s">
        <v>52</v>
      </c>
      <c r="H1191" s="9" t="s">
        <v>37</v>
      </c>
      <c r="I1191" s="9" t="s">
        <v>38</v>
      </c>
      <c r="J1191" s="11">
        <v>134</v>
      </c>
      <c r="K1191" s="11" t="s">
        <v>180</v>
      </c>
      <c r="L1191" s="11" t="s">
        <v>55</v>
      </c>
      <c r="M1191" s="13">
        <v>1</v>
      </c>
      <c r="N1191" s="16">
        <v>7000.0</v>
      </c>
      <c r="O1191" s="16"/>
      <c r="P1191" s="18">
        <f>IF(N1191&gt;0, O1191/N1191, 0)</f>
        <v>0</v>
      </c>
      <c r="Q1191" s="16">
        <f>N1191-O1191</f>
        <v>7000</v>
      </c>
      <c r="R1191" s="16">
        <f>M1191*N1191</f>
        <v>7000</v>
      </c>
      <c r="S1191" s="16">
        <f>M1191*O1191</f>
        <v>0</v>
      </c>
      <c r="T1191" s="16">
        <f>M1191*Q1191</f>
        <v>7000</v>
      </c>
      <c r="U1191" s="16"/>
      <c r="V1191" s="16">
        <f>M1191*U1191</f>
        <v>0</v>
      </c>
      <c r="W1191" s="16">
        <f>T1191-V1191</f>
        <v>7000</v>
      </c>
      <c r="X1191" s="18">
        <f>IF(T1191&gt;0, W1191/T1191, 0)</f>
        <v>1</v>
      </c>
      <c r="Y1191" s="9" t="s">
        <v>41</v>
      </c>
      <c r="Z1191" s="11" t="s">
        <v>42</v>
      </c>
      <c r="AA1191" s="11" t="s">
        <v>43</v>
      </c>
      <c r="AB1191" s="11" t="s">
        <v>44</v>
      </c>
      <c r="AC1191" s="9" t="s">
        <v>44</v>
      </c>
    </row>
    <row r="1192" spans="1:29">
      <c r="A1192" s="10">
        <v>1185</v>
      </c>
      <c r="B1192" s="10" t="s">
        <v>1506</v>
      </c>
      <c r="C1192" s="10" t="s">
        <v>1455</v>
      </c>
      <c r="D1192" s="10" t="s">
        <v>655</v>
      </c>
      <c r="E1192" s="10" t="s">
        <v>34</v>
      </c>
      <c r="F1192" s="10" t="s">
        <v>35</v>
      </c>
      <c r="G1192" s="8" t="s">
        <v>52</v>
      </c>
      <c r="H1192" s="8" t="s">
        <v>53</v>
      </c>
      <c r="I1192" s="8" t="s">
        <v>53</v>
      </c>
      <c r="J1192" s="10">
        <v>134</v>
      </c>
      <c r="K1192" s="10" t="s">
        <v>178</v>
      </c>
      <c r="L1192" s="10" t="s">
        <v>55</v>
      </c>
      <c r="M1192" s="12">
        <v>1</v>
      </c>
      <c r="N1192" s="15">
        <v>8000.0</v>
      </c>
      <c r="O1192" s="15"/>
      <c r="P1192" s="17">
        <f>IF(N1192&gt;0, O1192/N1192, 0)</f>
        <v>0</v>
      </c>
      <c r="Q1192" s="15">
        <f>N1192-O1192</f>
        <v>8000</v>
      </c>
      <c r="R1192" s="15">
        <f>M1192*N1192</f>
        <v>8000</v>
      </c>
      <c r="S1192" s="15">
        <f>M1192*O1192</f>
        <v>0</v>
      </c>
      <c r="T1192" s="15">
        <f>M1192*Q1192</f>
        <v>8000</v>
      </c>
      <c r="U1192" s="15"/>
      <c r="V1192" s="15">
        <f>M1192*U1192</f>
        <v>0</v>
      </c>
      <c r="W1192" s="15">
        <f>T1192-V1192</f>
        <v>8000</v>
      </c>
      <c r="X1192" s="17">
        <f>IF(T1192&gt;0, W1192/T1192, 0)</f>
        <v>1</v>
      </c>
      <c r="Y1192" s="8" t="s">
        <v>41</v>
      </c>
      <c r="Z1192" s="10" t="s">
        <v>42</v>
      </c>
      <c r="AA1192" s="10" t="s">
        <v>43</v>
      </c>
      <c r="AB1192" s="10" t="s">
        <v>44</v>
      </c>
      <c r="AC1192" s="8" t="s">
        <v>44</v>
      </c>
    </row>
    <row r="1193" spans="1:29">
      <c r="A1193" s="11">
        <v>1186</v>
      </c>
      <c r="B1193" s="11" t="s">
        <v>1507</v>
      </c>
      <c r="C1193" s="11" t="s">
        <v>1455</v>
      </c>
      <c r="D1193" s="11" t="s">
        <v>655</v>
      </c>
      <c r="E1193" s="11" t="s">
        <v>34</v>
      </c>
      <c r="F1193" s="11" t="s">
        <v>35</v>
      </c>
      <c r="G1193" s="9" t="s">
        <v>36</v>
      </c>
      <c r="H1193" s="9" t="s">
        <v>71</v>
      </c>
      <c r="I1193" s="9" t="s">
        <v>71</v>
      </c>
      <c r="J1193" s="11">
        <v>182</v>
      </c>
      <c r="K1193" s="11" t="s">
        <v>425</v>
      </c>
      <c r="L1193" s="11" t="s">
        <v>40</v>
      </c>
      <c r="M1193" s="13">
        <v>1</v>
      </c>
      <c r="N1193" s="16">
        <v>16500.0</v>
      </c>
      <c r="O1193" s="16"/>
      <c r="P1193" s="18">
        <f>IF(N1193&gt;0, O1193/N1193, 0)</f>
        <v>0</v>
      </c>
      <c r="Q1193" s="16">
        <f>N1193-O1193</f>
        <v>16500</v>
      </c>
      <c r="R1193" s="16">
        <f>M1193*N1193</f>
        <v>16500</v>
      </c>
      <c r="S1193" s="16">
        <f>M1193*O1193</f>
        <v>0</v>
      </c>
      <c r="T1193" s="16">
        <f>M1193*Q1193</f>
        <v>16500</v>
      </c>
      <c r="U1193" s="16"/>
      <c r="V1193" s="16">
        <f>M1193*U1193</f>
        <v>0</v>
      </c>
      <c r="W1193" s="16">
        <f>T1193-V1193</f>
        <v>16500</v>
      </c>
      <c r="X1193" s="18">
        <f>IF(T1193&gt;0, W1193/T1193, 0)</f>
        <v>1</v>
      </c>
      <c r="Y1193" s="9" t="s">
        <v>41</v>
      </c>
      <c r="Z1193" s="11" t="s">
        <v>42</v>
      </c>
      <c r="AA1193" s="11" t="s">
        <v>43</v>
      </c>
      <c r="AB1193" s="11" t="s">
        <v>44</v>
      </c>
      <c r="AC1193" s="9" t="s">
        <v>44</v>
      </c>
    </row>
    <row r="1194" spans="1:29">
      <c r="A1194" s="10">
        <v>1187</v>
      </c>
      <c r="B1194" s="10" t="s">
        <v>1508</v>
      </c>
      <c r="C1194" s="10" t="s">
        <v>1455</v>
      </c>
      <c r="D1194" s="10" t="s">
        <v>655</v>
      </c>
      <c r="E1194" s="10" t="s">
        <v>34</v>
      </c>
      <c r="F1194" s="10" t="s">
        <v>35</v>
      </c>
      <c r="G1194" s="8" t="s">
        <v>36</v>
      </c>
      <c r="H1194" s="8" t="s">
        <v>37</v>
      </c>
      <c r="I1194" s="8" t="s">
        <v>38</v>
      </c>
      <c r="J1194" s="10">
        <v>188</v>
      </c>
      <c r="K1194" s="10" t="s">
        <v>371</v>
      </c>
      <c r="L1194" s="10" t="s">
        <v>40</v>
      </c>
      <c r="M1194" s="12">
        <v>1</v>
      </c>
      <c r="N1194" s="15">
        <v>8000.0</v>
      </c>
      <c r="O1194" s="15"/>
      <c r="P1194" s="17">
        <f>IF(N1194&gt;0, O1194/N1194, 0)</f>
        <v>0</v>
      </c>
      <c r="Q1194" s="15">
        <f>N1194-O1194</f>
        <v>8000</v>
      </c>
      <c r="R1194" s="15">
        <f>M1194*N1194</f>
        <v>8000</v>
      </c>
      <c r="S1194" s="15">
        <f>M1194*O1194</f>
        <v>0</v>
      </c>
      <c r="T1194" s="15">
        <f>M1194*Q1194</f>
        <v>8000</v>
      </c>
      <c r="U1194" s="15"/>
      <c r="V1194" s="15">
        <f>M1194*U1194</f>
        <v>0</v>
      </c>
      <c r="W1194" s="15">
        <f>T1194-V1194</f>
        <v>8000</v>
      </c>
      <c r="X1194" s="17">
        <f>IF(T1194&gt;0, W1194/T1194, 0)</f>
        <v>1</v>
      </c>
      <c r="Y1194" s="8" t="s">
        <v>41</v>
      </c>
      <c r="Z1194" s="10" t="s">
        <v>42</v>
      </c>
      <c r="AA1194" s="10" t="s">
        <v>43</v>
      </c>
      <c r="AB1194" s="10" t="s">
        <v>44</v>
      </c>
      <c r="AC1194" s="8" t="s">
        <v>44</v>
      </c>
    </row>
    <row r="1195" spans="1:29">
      <c r="A1195" s="11">
        <v>1188</v>
      </c>
      <c r="B1195" s="11" t="s">
        <v>1509</v>
      </c>
      <c r="C1195" s="11" t="s">
        <v>1455</v>
      </c>
      <c r="D1195" s="11" t="s">
        <v>655</v>
      </c>
      <c r="E1195" s="11" t="s">
        <v>34</v>
      </c>
      <c r="F1195" s="11" t="s">
        <v>35</v>
      </c>
      <c r="G1195" s="9" t="s">
        <v>52</v>
      </c>
      <c r="H1195" s="9" t="s">
        <v>47</v>
      </c>
      <c r="I1195" s="9" t="s">
        <v>48</v>
      </c>
      <c r="J1195" s="11">
        <v>158</v>
      </c>
      <c r="K1195" s="11" t="s">
        <v>444</v>
      </c>
      <c r="L1195" s="11" t="s">
        <v>40</v>
      </c>
      <c r="M1195" s="13">
        <v>1</v>
      </c>
      <c r="N1195" s="16">
        <v>18000.0</v>
      </c>
      <c r="O1195" s="16"/>
      <c r="P1195" s="18">
        <f>IF(N1195&gt;0, O1195/N1195, 0)</f>
        <v>0</v>
      </c>
      <c r="Q1195" s="16">
        <f>N1195-O1195</f>
        <v>18000</v>
      </c>
      <c r="R1195" s="16">
        <f>M1195*N1195</f>
        <v>18000</v>
      </c>
      <c r="S1195" s="16">
        <f>M1195*O1195</f>
        <v>0</v>
      </c>
      <c r="T1195" s="16">
        <f>M1195*Q1195</f>
        <v>18000</v>
      </c>
      <c r="U1195" s="16"/>
      <c r="V1195" s="16">
        <f>M1195*U1195</f>
        <v>0</v>
      </c>
      <c r="W1195" s="16">
        <f>T1195-V1195</f>
        <v>18000</v>
      </c>
      <c r="X1195" s="18">
        <f>IF(T1195&gt;0, W1195/T1195, 0)</f>
        <v>1</v>
      </c>
      <c r="Y1195" s="9" t="s">
        <v>41</v>
      </c>
      <c r="Z1195" s="11" t="s">
        <v>42</v>
      </c>
      <c r="AA1195" s="11" t="s">
        <v>43</v>
      </c>
      <c r="AB1195" s="11" t="s">
        <v>44</v>
      </c>
      <c r="AC1195" s="9" t="s">
        <v>44</v>
      </c>
    </row>
    <row r="1196" spans="1:29">
      <c r="A1196" s="10">
        <v>1189</v>
      </c>
      <c r="B1196" s="10" t="s">
        <v>1510</v>
      </c>
      <c r="C1196" s="10" t="s">
        <v>1455</v>
      </c>
      <c r="D1196" s="10" t="s">
        <v>655</v>
      </c>
      <c r="E1196" s="10" t="s">
        <v>34</v>
      </c>
      <c r="F1196" s="10" t="s">
        <v>35</v>
      </c>
      <c r="G1196" s="8" t="s">
        <v>52</v>
      </c>
      <c r="H1196" s="8" t="s">
        <v>53</v>
      </c>
      <c r="I1196" s="8" t="s">
        <v>53</v>
      </c>
      <c r="J1196" s="10">
        <v>152</v>
      </c>
      <c r="K1196" s="10" t="s">
        <v>405</v>
      </c>
      <c r="L1196" s="10" t="s">
        <v>55</v>
      </c>
      <c r="M1196" s="12">
        <v>1</v>
      </c>
      <c r="N1196" s="15">
        <v>8000.0</v>
      </c>
      <c r="O1196" s="15"/>
      <c r="P1196" s="17">
        <f>IF(N1196&gt;0, O1196/N1196, 0)</f>
        <v>0</v>
      </c>
      <c r="Q1196" s="15">
        <f>N1196-O1196</f>
        <v>8000</v>
      </c>
      <c r="R1196" s="15">
        <f>M1196*N1196</f>
        <v>8000</v>
      </c>
      <c r="S1196" s="15">
        <f>M1196*O1196</f>
        <v>0</v>
      </c>
      <c r="T1196" s="15">
        <f>M1196*Q1196</f>
        <v>8000</v>
      </c>
      <c r="U1196" s="15"/>
      <c r="V1196" s="15">
        <f>M1196*U1196</f>
        <v>0</v>
      </c>
      <c r="W1196" s="15">
        <f>T1196-V1196</f>
        <v>8000</v>
      </c>
      <c r="X1196" s="17">
        <f>IF(T1196&gt;0, W1196/T1196, 0)</f>
        <v>1</v>
      </c>
      <c r="Y1196" s="8" t="s">
        <v>41</v>
      </c>
      <c r="Z1196" s="10" t="s">
        <v>42</v>
      </c>
      <c r="AA1196" s="10" t="s">
        <v>43</v>
      </c>
      <c r="AB1196" s="10" t="s">
        <v>44</v>
      </c>
      <c r="AC1196" s="8" t="s">
        <v>44</v>
      </c>
    </row>
    <row r="1197" spans="1:29">
      <c r="A1197" s="11">
        <v>1190</v>
      </c>
      <c r="B1197" s="11" t="s">
        <v>1511</v>
      </c>
      <c r="C1197" s="11" t="s">
        <v>1455</v>
      </c>
      <c r="D1197" s="11" t="s">
        <v>655</v>
      </c>
      <c r="E1197" s="11" t="s">
        <v>34</v>
      </c>
      <c r="F1197" s="11" t="s">
        <v>35</v>
      </c>
      <c r="G1197" s="9" t="s">
        <v>52</v>
      </c>
      <c r="H1197" s="9" t="s">
        <v>37</v>
      </c>
      <c r="I1197" s="9" t="s">
        <v>38</v>
      </c>
      <c r="J1197" s="11">
        <v>152</v>
      </c>
      <c r="K1197" s="11" t="s">
        <v>154</v>
      </c>
      <c r="L1197" s="11" t="s">
        <v>55</v>
      </c>
      <c r="M1197" s="13">
        <v>1</v>
      </c>
      <c r="N1197" s="16">
        <v>7000.0</v>
      </c>
      <c r="O1197" s="16"/>
      <c r="P1197" s="18">
        <f>IF(N1197&gt;0, O1197/N1197, 0)</f>
        <v>0</v>
      </c>
      <c r="Q1197" s="16">
        <f>N1197-O1197</f>
        <v>7000</v>
      </c>
      <c r="R1197" s="16">
        <f>M1197*N1197</f>
        <v>7000</v>
      </c>
      <c r="S1197" s="16">
        <f>M1197*O1197</f>
        <v>0</v>
      </c>
      <c r="T1197" s="16">
        <f>M1197*Q1197</f>
        <v>7000</v>
      </c>
      <c r="U1197" s="16"/>
      <c r="V1197" s="16">
        <f>M1197*U1197</f>
        <v>0</v>
      </c>
      <c r="W1197" s="16">
        <f>T1197-V1197</f>
        <v>7000</v>
      </c>
      <c r="X1197" s="18">
        <f>IF(T1197&gt;0, W1197/T1197, 0)</f>
        <v>1</v>
      </c>
      <c r="Y1197" s="9" t="s">
        <v>41</v>
      </c>
      <c r="Z1197" s="11" t="s">
        <v>42</v>
      </c>
      <c r="AA1197" s="11" t="s">
        <v>43</v>
      </c>
      <c r="AB1197" s="11" t="s">
        <v>44</v>
      </c>
      <c r="AC1197" s="9" t="s">
        <v>44</v>
      </c>
    </row>
    <row r="1198" spans="1:29">
      <c r="A1198" s="10">
        <v>1191</v>
      </c>
      <c r="B1198" s="10" t="s">
        <v>1512</v>
      </c>
      <c r="C1198" s="10" t="s">
        <v>1455</v>
      </c>
      <c r="D1198" s="10" t="s">
        <v>655</v>
      </c>
      <c r="E1198" s="10" t="s">
        <v>34</v>
      </c>
      <c r="F1198" s="10" t="s">
        <v>35</v>
      </c>
      <c r="G1198" s="8" t="s">
        <v>52</v>
      </c>
      <c r="H1198" s="8" t="s">
        <v>58</v>
      </c>
      <c r="I1198" s="8" t="s">
        <v>58</v>
      </c>
      <c r="J1198" s="10">
        <v>152</v>
      </c>
      <c r="K1198" s="10" t="s">
        <v>314</v>
      </c>
      <c r="L1198" s="10" t="s">
        <v>40</v>
      </c>
      <c r="M1198" s="12">
        <v>1</v>
      </c>
      <c r="N1198" s="15">
        <v>7000.0</v>
      </c>
      <c r="O1198" s="15"/>
      <c r="P1198" s="17">
        <f>IF(N1198&gt;0, O1198/N1198, 0)</f>
        <v>0</v>
      </c>
      <c r="Q1198" s="15">
        <f>N1198-O1198</f>
        <v>7000</v>
      </c>
      <c r="R1198" s="15">
        <f>M1198*N1198</f>
        <v>7000</v>
      </c>
      <c r="S1198" s="15">
        <f>M1198*O1198</f>
        <v>0</v>
      </c>
      <c r="T1198" s="15">
        <f>M1198*Q1198</f>
        <v>7000</v>
      </c>
      <c r="U1198" s="15"/>
      <c r="V1198" s="15">
        <f>M1198*U1198</f>
        <v>0</v>
      </c>
      <c r="W1198" s="15">
        <f>T1198-V1198</f>
        <v>7000</v>
      </c>
      <c r="X1198" s="17">
        <f>IF(T1198&gt;0, W1198/T1198, 0)</f>
        <v>1</v>
      </c>
      <c r="Y1198" s="8" t="s">
        <v>41</v>
      </c>
      <c r="Z1198" s="10" t="s">
        <v>42</v>
      </c>
      <c r="AA1198" s="10" t="s">
        <v>43</v>
      </c>
      <c r="AB1198" s="10" t="s">
        <v>44</v>
      </c>
      <c r="AC1198" s="8" t="s">
        <v>44</v>
      </c>
    </row>
    <row r="1199" spans="1:29">
      <c r="A1199" s="11">
        <v>1192</v>
      </c>
      <c r="B1199" s="11" t="s">
        <v>1513</v>
      </c>
      <c r="C1199" s="11" t="s">
        <v>1455</v>
      </c>
      <c r="D1199" s="11" t="s">
        <v>655</v>
      </c>
      <c r="E1199" s="11" t="s">
        <v>34</v>
      </c>
      <c r="F1199" s="11" t="s">
        <v>35</v>
      </c>
      <c r="G1199" s="9" t="s">
        <v>36</v>
      </c>
      <c r="H1199" s="9" t="s">
        <v>37</v>
      </c>
      <c r="I1199" s="9" t="s">
        <v>38</v>
      </c>
      <c r="J1199" s="11">
        <v>158</v>
      </c>
      <c r="K1199" s="11" t="s">
        <v>39</v>
      </c>
      <c r="L1199" s="11" t="s">
        <v>40</v>
      </c>
      <c r="M1199" s="13">
        <v>1</v>
      </c>
      <c r="N1199" s="16">
        <v>8000.0</v>
      </c>
      <c r="O1199" s="16"/>
      <c r="P1199" s="18">
        <f>IF(N1199&gt;0, O1199/N1199, 0)</f>
        <v>0</v>
      </c>
      <c r="Q1199" s="16">
        <f>N1199-O1199</f>
        <v>8000</v>
      </c>
      <c r="R1199" s="16">
        <f>M1199*N1199</f>
        <v>8000</v>
      </c>
      <c r="S1199" s="16">
        <f>M1199*O1199</f>
        <v>0</v>
      </c>
      <c r="T1199" s="16">
        <f>M1199*Q1199</f>
        <v>8000</v>
      </c>
      <c r="U1199" s="16"/>
      <c r="V1199" s="16">
        <f>M1199*U1199</f>
        <v>0</v>
      </c>
      <c r="W1199" s="16">
        <f>T1199-V1199</f>
        <v>8000</v>
      </c>
      <c r="X1199" s="18">
        <f>IF(T1199&gt;0, W1199/T1199, 0)</f>
        <v>1</v>
      </c>
      <c r="Y1199" s="9" t="s">
        <v>41</v>
      </c>
      <c r="Z1199" s="11" t="s">
        <v>42</v>
      </c>
      <c r="AA1199" s="11" t="s">
        <v>43</v>
      </c>
      <c r="AB1199" s="11" t="s">
        <v>44</v>
      </c>
      <c r="AC1199" s="9" t="s">
        <v>44</v>
      </c>
    </row>
    <row r="1200" spans="1:29">
      <c r="A1200" s="10">
        <v>1193</v>
      </c>
      <c r="B1200" s="10" t="s">
        <v>1514</v>
      </c>
      <c r="C1200" s="10" t="s">
        <v>1455</v>
      </c>
      <c r="D1200" s="10" t="s">
        <v>655</v>
      </c>
      <c r="E1200" s="10" t="s">
        <v>34</v>
      </c>
      <c r="F1200" s="10" t="s">
        <v>35</v>
      </c>
      <c r="G1200" s="8" t="s">
        <v>52</v>
      </c>
      <c r="H1200" s="8" t="s">
        <v>37</v>
      </c>
      <c r="I1200" s="8" t="s">
        <v>38</v>
      </c>
      <c r="J1200" s="10">
        <v>146</v>
      </c>
      <c r="K1200" s="10" t="s">
        <v>260</v>
      </c>
      <c r="L1200" s="10" t="s">
        <v>55</v>
      </c>
      <c r="M1200" s="12">
        <v>1</v>
      </c>
      <c r="N1200" s="15">
        <v>7000.0</v>
      </c>
      <c r="O1200" s="15"/>
      <c r="P1200" s="17">
        <f>IF(N1200&gt;0, O1200/N1200, 0)</f>
        <v>0</v>
      </c>
      <c r="Q1200" s="15">
        <f>N1200-O1200</f>
        <v>7000</v>
      </c>
      <c r="R1200" s="15">
        <f>M1200*N1200</f>
        <v>7000</v>
      </c>
      <c r="S1200" s="15">
        <f>M1200*O1200</f>
        <v>0</v>
      </c>
      <c r="T1200" s="15">
        <f>M1200*Q1200</f>
        <v>7000</v>
      </c>
      <c r="U1200" s="15"/>
      <c r="V1200" s="15">
        <f>M1200*U1200</f>
        <v>0</v>
      </c>
      <c r="W1200" s="15">
        <f>T1200-V1200</f>
        <v>7000</v>
      </c>
      <c r="X1200" s="17">
        <f>IF(T1200&gt;0, W1200/T1200, 0)</f>
        <v>1</v>
      </c>
      <c r="Y1200" s="8" t="s">
        <v>41</v>
      </c>
      <c r="Z1200" s="10" t="s">
        <v>42</v>
      </c>
      <c r="AA1200" s="10" t="s">
        <v>43</v>
      </c>
      <c r="AB1200" s="10" t="s">
        <v>44</v>
      </c>
      <c r="AC1200" s="8" t="s">
        <v>44</v>
      </c>
    </row>
    <row r="1201" spans="1:29">
      <c r="A1201" s="11">
        <v>1194</v>
      </c>
      <c r="B1201" s="11" t="s">
        <v>1515</v>
      </c>
      <c r="C1201" s="11" t="s">
        <v>1455</v>
      </c>
      <c r="D1201" s="11" t="s">
        <v>655</v>
      </c>
      <c r="E1201" s="11" t="s">
        <v>34</v>
      </c>
      <c r="F1201" s="11" t="s">
        <v>35</v>
      </c>
      <c r="G1201" s="9" t="s">
        <v>36</v>
      </c>
      <c r="H1201" s="9" t="s">
        <v>53</v>
      </c>
      <c r="I1201" s="9" t="s">
        <v>53</v>
      </c>
      <c r="J1201" s="11">
        <v>164</v>
      </c>
      <c r="K1201" s="11" t="s">
        <v>63</v>
      </c>
      <c r="L1201" s="11" t="s">
        <v>40</v>
      </c>
      <c r="M1201" s="13">
        <v>1</v>
      </c>
      <c r="N1201" s="16">
        <v>8500.0</v>
      </c>
      <c r="O1201" s="16"/>
      <c r="P1201" s="18">
        <f>IF(N1201&gt;0, O1201/N1201, 0)</f>
        <v>0</v>
      </c>
      <c r="Q1201" s="16">
        <f>N1201-O1201</f>
        <v>8500</v>
      </c>
      <c r="R1201" s="16">
        <f>M1201*N1201</f>
        <v>8500</v>
      </c>
      <c r="S1201" s="16">
        <f>M1201*O1201</f>
        <v>0</v>
      </c>
      <c r="T1201" s="16">
        <f>M1201*Q1201</f>
        <v>8500</v>
      </c>
      <c r="U1201" s="16"/>
      <c r="V1201" s="16">
        <f>M1201*U1201</f>
        <v>0</v>
      </c>
      <c r="W1201" s="16">
        <f>T1201-V1201</f>
        <v>8500</v>
      </c>
      <c r="X1201" s="18">
        <f>IF(T1201&gt;0, W1201/T1201, 0)</f>
        <v>1</v>
      </c>
      <c r="Y1201" s="9" t="s">
        <v>41</v>
      </c>
      <c r="Z1201" s="11" t="s">
        <v>42</v>
      </c>
      <c r="AA1201" s="11" t="s">
        <v>43</v>
      </c>
      <c r="AB1201" s="11" t="s">
        <v>44</v>
      </c>
      <c r="AC1201" s="9" t="s">
        <v>44</v>
      </c>
    </row>
    <row r="1202" spans="1:29">
      <c r="A1202" s="10">
        <v>1195</v>
      </c>
      <c r="B1202" s="10" t="s">
        <v>1516</v>
      </c>
      <c r="C1202" s="10" t="s">
        <v>1455</v>
      </c>
      <c r="D1202" s="10" t="s">
        <v>655</v>
      </c>
      <c r="E1202" s="10" t="s">
        <v>34</v>
      </c>
      <c r="F1202" s="10" t="s">
        <v>35</v>
      </c>
      <c r="G1202" s="8" t="s">
        <v>52</v>
      </c>
      <c r="H1202" s="8" t="s">
        <v>53</v>
      </c>
      <c r="I1202" s="8" t="s">
        <v>53</v>
      </c>
      <c r="J1202" s="10">
        <v>140</v>
      </c>
      <c r="K1202" s="10" t="s">
        <v>282</v>
      </c>
      <c r="L1202" s="10" t="s">
        <v>55</v>
      </c>
      <c r="M1202" s="12">
        <v>1</v>
      </c>
      <c r="N1202" s="15">
        <v>8000.0</v>
      </c>
      <c r="O1202" s="15"/>
      <c r="P1202" s="17">
        <f>IF(N1202&gt;0, O1202/N1202, 0)</f>
        <v>0</v>
      </c>
      <c r="Q1202" s="15">
        <f>N1202-O1202</f>
        <v>8000</v>
      </c>
      <c r="R1202" s="15">
        <f>M1202*N1202</f>
        <v>8000</v>
      </c>
      <c r="S1202" s="15">
        <f>M1202*O1202</f>
        <v>0</v>
      </c>
      <c r="T1202" s="15">
        <f>M1202*Q1202</f>
        <v>8000</v>
      </c>
      <c r="U1202" s="15"/>
      <c r="V1202" s="15">
        <f>M1202*U1202</f>
        <v>0</v>
      </c>
      <c r="W1202" s="15">
        <f>T1202-V1202</f>
        <v>8000</v>
      </c>
      <c r="X1202" s="17">
        <f>IF(T1202&gt;0, W1202/T1202, 0)</f>
        <v>1</v>
      </c>
      <c r="Y1202" s="8" t="s">
        <v>41</v>
      </c>
      <c r="Z1202" s="10" t="s">
        <v>42</v>
      </c>
      <c r="AA1202" s="10" t="s">
        <v>43</v>
      </c>
      <c r="AB1202" s="10" t="s">
        <v>44</v>
      </c>
      <c r="AC1202" s="8" t="s">
        <v>44</v>
      </c>
    </row>
    <row r="1203" spans="1:29">
      <c r="A1203" s="11">
        <v>1196</v>
      </c>
      <c r="B1203" s="11" t="s">
        <v>1517</v>
      </c>
      <c r="C1203" s="11" t="s">
        <v>1455</v>
      </c>
      <c r="D1203" s="11" t="s">
        <v>655</v>
      </c>
      <c r="E1203" s="11" t="s">
        <v>34</v>
      </c>
      <c r="F1203" s="11" t="s">
        <v>35</v>
      </c>
      <c r="G1203" s="9" t="s">
        <v>36</v>
      </c>
      <c r="H1203" s="9" t="s">
        <v>37</v>
      </c>
      <c r="I1203" s="9" t="s">
        <v>38</v>
      </c>
      <c r="J1203" s="11">
        <v>164</v>
      </c>
      <c r="K1203" s="11" t="s">
        <v>79</v>
      </c>
      <c r="L1203" s="11" t="s">
        <v>40</v>
      </c>
      <c r="M1203" s="13">
        <v>2</v>
      </c>
      <c r="N1203" s="16">
        <v>8000.0</v>
      </c>
      <c r="O1203" s="16"/>
      <c r="P1203" s="18">
        <f>IF(N1203&gt;0, O1203/N1203, 0)</f>
        <v>0</v>
      </c>
      <c r="Q1203" s="16">
        <f>N1203-O1203</f>
        <v>8000</v>
      </c>
      <c r="R1203" s="16">
        <f>M1203*N1203</f>
        <v>16000</v>
      </c>
      <c r="S1203" s="16">
        <f>M1203*O1203</f>
        <v>0</v>
      </c>
      <c r="T1203" s="16">
        <f>M1203*Q1203</f>
        <v>16000</v>
      </c>
      <c r="U1203" s="16"/>
      <c r="V1203" s="16">
        <f>M1203*U1203</f>
        <v>0</v>
      </c>
      <c r="W1203" s="16">
        <f>T1203-V1203</f>
        <v>16000</v>
      </c>
      <c r="X1203" s="18">
        <f>IF(T1203&gt;0, W1203/T1203, 0)</f>
        <v>1</v>
      </c>
      <c r="Y1203" s="9" t="s">
        <v>41</v>
      </c>
      <c r="Z1203" s="11" t="s">
        <v>42</v>
      </c>
      <c r="AA1203" s="11" t="s">
        <v>43</v>
      </c>
      <c r="AB1203" s="11" t="s">
        <v>44</v>
      </c>
      <c r="AC1203" s="9" t="s">
        <v>44</v>
      </c>
    </row>
    <row r="1204" spans="1:29">
      <c r="A1204" s="10">
        <v>1197</v>
      </c>
      <c r="B1204" s="10" t="s">
        <v>1518</v>
      </c>
      <c r="C1204" s="10" t="s">
        <v>1455</v>
      </c>
      <c r="D1204" s="10" t="s">
        <v>655</v>
      </c>
      <c r="E1204" s="10" t="s">
        <v>34</v>
      </c>
      <c r="F1204" s="10" t="s">
        <v>35</v>
      </c>
      <c r="G1204" s="8" t="s">
        <v>52</v>
      </c>
      <c r="H1204" s="8" t="s">
        <v>37</v>
      </c>
      <c r="I1204" s="8" t="s">
        <v>38</v>
      </c>
      <c r="J1204" s="10">
        <v>152</v>
      </c>
      <c r="K1204" s="10" t="s">
        <v>154</v>
      </c>
      <c r="L1204" s="10" t="s">
        <v>55</v>
      </c>
      <c r="M1204" s="12">
        <v>1</v>
      </c>
      <c r="N1204" s="15">
        <v>7000.0</v>
      </c>
      <c r="O1204" s="15"/>
      <c r="P1204" s="17">
        <f>IF(N1204&gt;0, O1204/N1204, 0)</f>
        <v>0</v>
      </c>
      <c r="Q1204" s="15">
        <f>N1204-O1204</f>
        <v>7000</v>
      </c>
      <c r="R1204" s="15">
        <f>M1204*N1204</f>
        <v>7000</v>
      </c>
      <c r="S1204" s="15">
        <f>M1204*O1204</f>
        <v>0</v>
      </c>
      <c r="T1204" s="15">
        <f>M1204*Q1204</f>
        <v>7000</v>
      </c>
      <c r="U1204" s="15"/>
      <c r="V1204" s="15">
        <f>M1204*U1204</f>
        <v>0</v>
      </c>
      <c r="W1204" s="15">
        <f>T1204-V1204</f>
        <v>7000</v>
      </c>
      <c r="X1204" s="17">
        <f>IF(T1204&gt;0, W1204/T1204, 0)</f>
        <v>1</v>
      </c>
      <c r="Y1204" s="8" t="s">
        <v>41</v>
      </c>
      <c r="Z1204" s="10" t="s">
        <v>42</v>
      </c>
      <c r="AA1204" s="10" t="s">
        <v>43</v>
      </c>
      <c r="AB1204" s="10" t="s">
        <v>44</v>
      </c>
      <c r="AC1204" s="8" t="s">
        <v>44</v>
      </c>
    </row>
    <row r="1205" spans="1:29">
      <c r="A1205" s="11">
        <v>1198</v>
      </c>
      <c r="B1205" s="11" t="s">
        <v>1519</v>
      </c>
      <c r="C1205" s="11" t="s">
        <v>1455</v>
      </c>
      <c r="D1205" s="11" t="s">
        <v>655</v>
      </c>
      <c r="E1205" s="11" t="s">
        <v>34</v>
      </c>
      <c r="F1205" s="11" t="s">
        <v>35</v>
      </c>
      <c r="G1205" s="9" t="s">
        <v>36</v>
      </c>
      <c r="H1205" s="9" t="s">
        <v>37</v>
      </c>
      <c r="I1205" s="9" t="s">
        <v>38</v>
      </c>
      <c r="J1205" s="11">
        <v>146</v>
      </c>
      <c r="K1205" s="11" t="s">
        <v>531</v>
      </c>
      <c r="L1205" s="11" t="s">
        <v>40</v>
      </c>
      <c r="M1205" s="13">
        <v>1</v>
      </c>
      <c r="N1205" s="16">
        <v>7000.0</v>
      </c>
      <c r="O1205" s="16"/>
      <c r="P1205" s="18">
        <f>IF(N1205&gt;0, O1205/N1205, 0)</f>
        <v>0</v>
      </c>
      <c r="Q1205" s="16">
        <f>N1205-O1205</f>
        <v>7000</v>
      </c>
      <c r="R1205" s="16">
        <f>M1205*N1205</f>
        <v>7000</v>
      </c>
      <c r="S1205" s="16">
        <f>M1205*O1205</f>
        <v>0</v>
      </c>
      <c r="T1205" s="16">
        <f>M1205*Q1205</f>
        <v>7000</v>
      </c>
      <c r="U1205" s="16"/>
      <c r="V1205" s="16">
        <f>M1205*U1205</f>
        <v>0</v>
      </c>
      <c r="W1205" s="16">
        <f>T1205-V1205</f>
        <v>7000</v>
      </c>
      <c r="X1205" s="18">
        <f>IF(T1205&gt;0, W1205/T1205, 0)</f>
        <v>1</v>
      </c>
      <c r="Y1205" s="9" t="s">
        <v>41</v>
      </c>
      <c r="Z1205" s="11" t="s">
        <v>42</v>
      </c>
      <c r="AA1205" s="11" t="s">
        <v>43</v>
      </c>
      <c r="AB1205" s="11" t="s">
        <v>44</v>
      </c>
      <c r="AC1205" s="9" t="s">
        <v>44</v>
      </c>
    </row>
    <row r="1206" spans="1:29">
      <c r="A1206" s="10">
        <v>1199</v>
      </c>
      <c r="B1206" s="10" t="s">
        <v>1520</v>
      </c>
      <c r="C1206" s="10" t="s">
        <v>1521</v>
      </c>
      <c r="D1206" s="10" t="s">
        <v>655</v>
      </c>
      <c r="E1206" s="10" t="s">
        <v>34</v>
      </c>
      <c r="F1206" s="10" t="s">
        <v>35</v>
      </c>
      <c r="G1206" s="8" t="s">
        <v>36</v>
      </c>
      <c r="H1206" s="8" t="s">
        <v>71</v>
      </c>
      <c r="I1206" s="8" t="s">
        <v>71</v>
      </c>
      <c r="J1206" s="10">
        <v>164</v>
      </c>
      <c r="K1206" s="10" t="s">
        <v>72</v>
      </c>
      <c r="L1206" s="10" t="s">
        <v>40</v>
      </c>
      <c r="M1206" s="12">
        <v>1</v>
      </c>
      <c r="N1206" s="15">
        <v>18000.0</v>
      </c>
      <c r="O1206" s="15"/>
      <c r="P1206" s="17">
        <f>IF(N1206&gt;0, O1206/N1206, 0)</f>
        <v>0</v>
      </c>
      <c r="Q1206" s="15">
        <f>N1206-O1206</f>
        <v>18000</v>
      </c>
      <c r="R1206" s="15">
        <f>M1206*N1206</f>
        <v>18000</v>
      </c>
      <c r="S1206" s="15">
        <f>M1206*O1206</f>
        <v>0</v>
      </c>
      <c r="T1206" s="15">
        <f>M1206*Q1206</f>
        <v>18000</v>
      </c>
      <c r="U1206" s="15"/>
      <c r="V1206" s="15">
        <f>M1206*U1206</f>
        <v>0</v>
      </c>
      <c r="W1206" s="15">
        <f>T1206-V1206</f>
        <v>18000</v>
      </c>
      <c r="X1206" s="17">
        <f>IF(T1206&gt;0, W1206/T1206, 0)</f>
        <v>1</v>
      </c>
      <c r="Y1206" s="8" t="s">
        <v>41</v>
      </c>
      <c r="Z1206" s="10" t="s">
        <v>42</v>
      </c>
      <c r="AA1206" s="10" t="s">
        <v>43</v>
      </c>
      <c r="AB1206" s="10" t="s">
        <v>44</v>
      </c>
      <c r="AC1206" s="8" t="s">
        <v>44</v>
      </c>
    </row>
    <row r="1207" spans="1:29">
      <c r="A1207" s="11">
        <v>1200</v>
      </c>
      <c r="B1207" s="11" t="s">
        <v>1522</v>
      </c>
      <c r="C1207" s="11" t="s">
        <v>1521</v>
      </c>
      <c r="D1207" s="11" t="s">
        <v>655</v>
      </c>
      <c r="E1207" s="11" t="s">
        <v>70</v>
      </c>
      <c r="F1207" s="11" t="s">
        <v>35</v>
      </c>
      <c r="G1207" s="9" t="s">
        <v>36</v>
      </c>
      <c r="H1207" s="9" t="s">
        <v>65</v>
      </c>
      <c r="I1207" s="9" t="s">
        <v>151</v>
      </c>
      <c r="J1207" s="11">
        <v>170</v>
      </c>
      <c r="K1207" s="11" t="s">
        <v>152</v>
      </c>
      <c r="L1207" s="11" t="s">
        <v>40</v>
      </c>
      <c r="M1207" s="13">
        <v>1</v>
      </c>
      <c r="N1207" s="16">
        <v>11000.0</v>
      </c>
      <c r="O1207" s="16"/>
      <c r="P1207" s="18">
        <f>IF(N1207&gt;0, O1207/N1207, 0)</f>
        <v>0</v>
      </c>
      <c r="Q1207" s="16">
        <f>N1207-O1207</f>
        <v>11000</v>
      </c>
      <c r="R1207" s="16">
        <f>M1207*N1207</f>
        <v>11000</v>
      </c>
      <c r="S1207" s="16">
        <f>M1207*O1207</f>
        <v>0</v>
      </c>
      <c r="T1207" s="16">
        <f>M1207*Q1207</f>
        <v>11000</v>
      </c>
      <c r="U1207" s="16"/>
      <c r="V1207" s="16">
        <f>M1207*U1207</f>
        <v>0</v>
      </c>
      <c r="W1207" s="16">
        <f>T1207-V1207</f>
        <v>11000</v>
      </c>
      <c r="X1207" s="18">
        <f>IF(T1207&gt;0, W1207/T1207, 0)</f>
        <v>1</v>
      </c>
      <c r="Y1207" s="9" t="s">
        <v>41</v>
      </c>
      <c r="Z1207" s="11" t="s">
        <v>42</v>
      </c>
      <c r="AA1207" s="11" t="s">
        <v>73</v>
      </c>
      <c r="AB1207" s="11" t="s">
        <v>44</v>
      </c>
      <c r="AC1207" s="9" t="s">
        <v>44</v>
      </c>
    </row>
    <row r="1208" spans="1:29">
      <c r="A1208" s="10">
        <v>1201</v>
      </c>
      <c r="B1208" s="10" t="s">
        <v>1523</v>
      </c>
      <c r="C1208" s="10" t="s">
        <v>1521</v>
      </c>
      <c r="D1208" s="10" t="s">
        <v>655</v>
      </c>
      <c r="E1208" s="10" t="s">
        <v>34</v>
      </c>
      <c r="F1208" s="10" t="s">
        <v>35</v>
      </c>
      <c r="G1208" s="8" t="s">
        <v>36</v>
      </c>
      <c r="H1208" s="8" t="s">
        <v>53</v>
      </c>
      <c r="I1208" s="8" t="s">
        <v>53</v>
      </c>
      <c r="J1208" s="10">
        <v>164</v>
      </c>
      <c r="K1208" s="10" t="s">
        <v>63</v>
      </c>
      <c r="L1208" s="10" t="s">
        <v>40</v>
      </c>
      <c r="M1208" s="12">
        <v>1</v>
      </c>
      <c r="N1208" s="15">
        <v>8500.0</v>
      </c>
      <c r="O1208" s="15"/>
      <c r="P1208" s="17">
        <f>IF(N1208&gt;0, O1208/N1208, 0)</f>
        <v>0</v>
      </c>
      <c r="Q1208" s="15">
        <f>N1208-O1208</f>
        <v>8500</v>
      </c>
      <c r="R1208" s="15">
        <f>M1208*N1208</f>
        <v>8500</v>
      </c>
      <c r="S1208" s="15">
        <f>M1208*O1208</f>
        <v>0</v>
      </c>
      <c r="T1208" s="15">
        <f>M1208*Q1208</f>
        <v>8500</v>
      </c>
      <c r="U1208" s="15"/>
      <c r="V1208" s="15">
        <f>M1208*U1208</f>
        <v>0</v>
      </c>
      <c r="W1208" s="15">
        <f>T1208-V1208</f>
        <v>8500</v>
      </c>
      <c r="X1208" s="17">
        <f>IF(T1208&gt;0, W1208/T1208, 0)</f>
        <v>1</v>
      </c>
      <c r="Y1208" s="8" t="s">
        <v>41</v>
      </c>
      <c r="Z1208" s="10" t="s">
        <v>42</v>
      </c>
      <c r="AA1208" s="10" t="s">
        <v>43</v>
      </c>
      <c r="AB1208" s="10" t="s">
        <v>44</v>
      </c>
      <c r="AC1208" s="8" t="s">
        <v>44</v>
      </c>
    </row>
    <row r="1209" spans="1:29">
      <c r="A1209" s="11">
        <v>1202</v>
      </c>
      <c r="B1209" s="11" t="s">
        <v>1524</v>
      </c>
      <c r="C1209" s="11" t="s">
        <v>1521</v>
      </c>
      <c r="D1209" s="11" t="s">
        <v>655</v>
      </c>
      <c r="E1209" s="11" t="s">
        <v>34</v>
      </c>
      <c r="F1209" s="11" t="s">
        <v>35</v>
      </c>
      <c r="G1209" s="9" t="s">
        <v>36</v>
      </c>
      <c r="H1209" s="9" t="s">
        <v>58</v>
      </c>
      <c r="I1209" s="9" t="s">
        <v>58</v>
      </c>
      <c r="J1209" s="11">
        <v>164</v>
      </c>
      <c r="K1209" s="11" t="s">
        <v>59</v>
      </c>
      <c r="L1209" s="11" t="s">
        <v>40</v>
      </c>
      <c r="M1209" s="13">
        <v>1</v>
      </c>
      <c r="N1209" s="16">
        <v>7500.0</v>
      </c>
      <c r="O1209" s="16"/>
      <c r="P1209" s="18">
        <f>IF(N1209&gt;0, O1209/N1209, 0)</f>
        <v>0</v>
      </c>
      <c r="Q1209" s="16">
        <f>N1209-O1209</f>
        <v>7500</v>
      </c>
      <c r="R1209" s="16">
        <f>M1209*N1209</f>
        <v>7500</v>
      </c>
      <c r="S1209" s="16">
        <f>M1209*O1209</f>
        <v>0</v>
      </c>
      <c r="T1209" s="16">
        <f>M1209*Q1209</f>
        <v>7500</v>
      </c>
      <c r="U1209" s="16"/>
      <c r="V1209" s="16">
        <f>M1209*U1209</f>
        <v>0</v>
      </c>
      <c r="W1209" s="16">
        <f>T1209-V1209</f>
        <v>7500</v>
      </c>
      <c r="X1209" s="18">
        <f>IF(T1209&gt;0, W1209/T1209, 0)</f>
        <v>1</v>
      </c>
      <c r="Y1209" s="9" t="s">
        <v>41</v>
      </c>
      <c r="Z1209" s="11" t="s">
        <v>42</v>
      </c>
      <c r="AA1209" s="11" t="s">
        <v>43</v>
      </c>
      <c r="AB1209" s="11" t="s">
        <v>44</v>
      </c>
      <c r="AC1209" s="9" t="s">
        <v>44</v>
      </c>
    </row>
    <row r="1210" spans="1:29">
      <c r="A1210" s="10">
        <v>1203</v>
      </c>
      <c r="B1210" s="10" t="s">
        <v>1525</v>
      </c>
      <c r="C1210" s="10" t="s">
        <v>1521</v>
      </c>
      <c r="D1210" s="10" t="s">
        <v>655</v>
      </c>
      <c r="E1210" s="10" t="s">
        <v>34</v>
      </c>
      <c r="F1210" s="10" t="s">
        <v>35</v>
      </c>
      <c r="G1210" s="8" t="s">
        <v>36</v>
      </c>
      <c r="H1210" s="8" t="s">
        <v>37</v>
      </c>
      <c r="I1210" s="8" t="s">
        <v>38</v>
      </c>
      <c r="J1210" s="10">
        <v>170</v>
      </c>
      <c r="K1210" s="10" t="s">
        <v>145</v>
      </c>
      <c r="L1210" s="10" t="s">
        <v>40</v>
      </c>
      <c r="M1210" s="12">
        <v>2</v>
      </c>
      <c r="N1210" s="15">
        <v>8000.0</v>
      </c>
      <c r="O1210" s="15"/>
      <c r="P1210" s="17">
        <f>IF(N1210&gt;0, O1210/N1210, 0)</f>
        <v>0</v>
      </c>
      <c r="Q1210" s="15">
        <f>N1210-O1210</f>
        <v>8000</v>
      </c>
      <c r="R1210" s="15">
        <f>M1210*N1210</f>
        <v>16000</v>
      </c>
      <c r="S1210" s="15">
        <f>M1210*O1210</f>
        <v>0</v>
      </c>
      <c r="T1210" s="15">
        <f>M1210*Q1210</f>
        <v>16000</v>
      </c>
      <c r="U1210" s="15"/>
      <c r="V1210" s="15">
        <f>M1210*U1210</f>
        <v>0</v>
      </c>
      <c r="W1210" s="15">
        <f>T1210-V1210</f>
        <v>16000</v>
      </c>
      <c r="X1210" s="17">
        <f>IF(T1210&gt;0, W1210/T1210, 0)</f>
        <v>1</v>
      </c>
      <c r="Y1210" s="8" t="s">
        <v>41</v>
      </c>
      <c r="Z1210" s="10" t="s">
        <v>42</v>
      </c>
      <c r="AA1210" s="10" t="s">
        <v>43</v>
      </c>
      <c r="AB1210" s="10" t="s">
        <v>44</v>
      </c>
      <c r="AC1210" s="8" t="s">
        <v>44</v>
      </c>
    </row>
    <row r="1211" spans="1:29">
      <c r="A1211" s="11">
        <v>1204</v>
      </c>
      <c r="B1211" s="11" t="s">
        <v>1526</v>
      </c>
      <c r="C1211" s="11" t="s">
        <v>1521</v>
      </c>
      <c r="D1211" s="11" t="s">
        <v>655</v>
      </c>
      <c r="E1211" s="11" t="s">
        <v>34</v>
      </c>
      <c r="F1211" s="11" t="s">
        <v>35</v>
      </c>
      <c r="G1211" s="9" t="s">
        <v>36</v>
      </c>
      <c r="H1211" s="9" t="s">
        <v>37</v>
      </c>
      <c r="I1211" s="9" t="s">
        <v>38</v>
      </c>
      <c r="J1211" s="11">
        <v>182</v>
      </c>
      <c r="K1211" s="11" t="s">
        <v>338</v>
      </c>
      <c r="L1211" s="11" t="s">
        <v>40</v>
      </c>
      <c r="M1211" s="13">
        <v>1</v>
      </c>
      <c r="N1211" s="16">
        <v>9000.0</v>
      </c>
      <c r="O1211" s="16"/>
      <c r="P1211" s="18">
        <f>IF(N1211&gt;0, O1211/N1211, 0)</f>
        <v>0</v>
      </c>
      <c r="Q1211" s="16">
        <f>N1211-O1211</f>
        <v>9000</v>
      </c>
      <c r="R1211" s="16">
        <f>M1211*N1211</f>
        <v>9000</v>
      </c>
      <c r="S1211" s="16">
        <f>M1211*O1211</f>
        <v>0</v>
      </c>
      <c r="T1211" s="16">
        <f>M1211*Q1211</f>
        <v>9000</v>
      </c>
      <c r="U1211" s="16"/>
      <c r="V1211" s="16">
        <f>M1211*U1211</f>
        <v>0</v>
      </c>
      <c r="W1211" s="16">
        <f>T1211-V1211</f>
        <v>9000</v>
      </c>
      <c r="X1211" s="18">
        <f>IF(T1211&gt;0, W1211/T1211, 0)</f>
        <v>1</v>
      </c>
      <c r="Y1211" s="9" t="s">
        <v>41</v>
      </c>
      <c r="Z1211" s="11" t="s">
        <v>42</v>
      </c>
      <c r="AA1211" s="11" t="s">
        <v>43</v>
      </c>
      <c r="AB1211" s="11" t="s">
        <v>44</v>
      </c>
      <c r="AC1211" s="9" t="s">
        <v>44</v>
      </c>
    </row>
    <row r="1212" spans="1:29">
      <c r="A1212" s="10">
        <v>1205</v>
      </c>
      <c r="B1212" s="10" t="s">
        <v>1527</v>
      </c>
      <c r="C1212" s="10" t="s">
        <v>1521</v>
      </c>
      <c r="D1212" s="10" t="s">
        <v>655</v>
      </c>
      <c r="E1212" s="10" t="s">
        <v>34</v>
      </c>
      <c r="F1212" s="10" t="s">
        <v>35</v>
      </c>
      <c r="G1212" s="8" t="s">
        <v>36</v>
      </c>
      <c r="H1212" s="8" t="s">
        <v>71</v>
      </c>
      <c r="I1212" s="8" t="s">
        <v>71</v>
      </c>
      <c r="J1212" s="10">
        <v>176</v>
      </c>
      <c r="K1212" s="10" t="s">
        <v>206</v>
      </c>
      <c r="L1212" s="10" t="s">
        <v>40</v>
      </c>
      <c r="M1212" s="12">
        <v>1</v>
      </c>
      <c r="N1212" s="15">
        <v>16500.0</v>
      </c>
      <c r="O1212" s="15"/>
      <c r="P1212" s="17">
        <f>IF(N1212&gt;0, O1212/N1212, 0)</f>
        <v>0</v>
      </c>
      <c r="Q1212" s="15">
        <f>N1212-O1212</f>
        <v>16500</v>
      </c>
      <c r="R1212" s="15">
        <f>M1212*N1212</f>
        <v>16500</v>
      </c>
      <c r="S1212" s="15">
        <f>M1212*O1212</f>
        <v>0</v>
      </c>
      <c r="T1212" s="15">
        <f>M1212*Q1212</f>
        <v>16500</v>
      </c>
      <c r="U1212" s="15"/>
      <c r="V1212" s="15">
        <f>M1212*U1212</f>
        <v>0</v>
      </c>
      <c r="W1212" s="15">
        <f>T1212-V1212</f>
        <v>16500</v>
      </c>
      <c r="X1212" s="17">
        <f>IF(T1212&gt;0, W1212/T1212, 0)</f>
        <v>1</v>
      </c>
      <c r="Y1212" s="8" t="s">
        <v>41</v>
      </c>
      <c r="Z1212" s="10" t="s">
        <v>42</v>
      </c>
      <c r="AA1212" s="10" t="s">
        <v>43</v>
      </c>
      <c r="AB1212" s="10" t="s">
        <v>44</v>
      </c>
      <c r="AC1212" s="8" t="s">
        <v>44</v>
      </c>
    </row>
    <row r="1213" spans="1:29">
      <c r="A1213" s="11">
        <v>1206</v>
      </c>
      <c r="B1213" s="11" t="s">
        <v>1528</v>
      </c>
      <c r="C1213" s="11" t="s">
        <v>1521</v>
      </c>
      <c r="D1213" s="11" t="s">
        <v>655</v>
      </c>
      <c r="E1213" s="11" t="s">
        <v>34</v>
      </c>
      <c r="F1213" s="11" t="s">
        <v>35</v>
      </c>
      <c r="G1213" s="9" t="s">
        <v>36</v>
      </c>
      <c r="H1213" s="9" t="s">
        <v>37</v>
      </c>
      <c r="I1213" s="9" t="s">
        <v>75</v>
      </c>
      <c r="J1213" s="11">
        <v>170</v>
      </c>
      <c r="K1213" s="11" t="s">
        <v>651</v>
      </c>
      <c r="L1213" s="11" t="s">
        <v>40</v>
      </c>
      <c r="M1213" s="13">
        <v>1</v>
      </c>
      <c r="N1213" s="16">
        <v>9000.0</v>
      </c>
      <c r="O1213" s="16"/>
      <c r="P1213" s="18">
        <f>IF(N1213&gt;0, O1213/N1213, 0)</f>
        <v>0</v>
      </c>
      <c r="Q1213" s="16">
        <f>N1213-O1213</f>
        <v>9000</v>
      </c>
      <c r="R1213" s="16">
        <f>M1213*N1213</f>
        <v>9000</v>
      </c>
      <c r="S1213" s="16">
        <f>M1213*O1213</f>
        <v>0</v>
      </c>
      <c r="T1213" s="16">
        <f>M1213*Q1213</f>
        <v>9000</v>
      </c>
      <c r="U1213" s="16"/>
      <c r="V1213" s="16">
        <f>M1213*U1213</f>
        <v>0</v>
      </c>
      <c r="W1213" s="16">
        <f>T1213-V1213</f>
        <v>9000</v>
      </c>
      <c r="X1213" s="18">
        <f>IF(T1213&gt;0, W1213/T1213, 0)</f>
        <v>1</v>
      </c>
      <c r="Y1213" s="9" t="s">
        <v>41</v>
      </c>
      <c r="Z1213" s="11" t="s">
        <v>42</v>
      </c>
      <c r="AA1213" s="11" t="s">
        <v>43</v>
      </c>
      <c r="AB1213" s="11" t="s">
        <v>44</v>
      </c>
      <c r="AC1213" s="9" t="s">
        <v>44</v>
      </c>
    </row>
    <row r="1214" spans="1:29">
      <c r="A1214" s="10">
        <v>1207</v>
      </c>
      <c r="B1214" s="10" t="s">
        <v>1529</v>
      </c>
      <c r="C1214" s="10" t="s">
        <v>1521</v>
      </c>
      <c r="D1214" s="10" t="s">
        <v>655</v>
      </c>
      <c r="E1214" s="10" t="s">
        <v>34</v>
      </c>
      <c r="F1214" s="10" t="s">
        <v>35</v>
      </c>
      <c r="G1214" s="8" t="s">
        <v>36</v>
      </c>
      <c r="H1214" s="8" t="s">
        <v>37</v>
      </c>
      <c r="I1214" s="8" t="s">
        <v>38</v>
      </c>
      <c r="J1214" s="10">
        <v>164</v>
      </c>
      <c r="K1214" s="10" t="s">
        <v>79</v>
      </c>
      <c r="L1214" s="10" t="s">
        <v>40</v>
      </c>
      <c r="M1214" s="12">
        <v>1</v>
      </c>
      <c r="N1214" s="15">
        <v>8000.0</v>
      </c>
      <c r="O1214" s="15"/>
      <c r="P1214" s="17">
        <f>IF(N1214&gt;0, O1214/N1214, 0)</f>
        <v>0</v>
      </c>
      <c r="Q1214" s="15">
        <f>N1214-O1214</f>
        <v>8000</v>
      </c>
      <c r="R1214" s="15">
        <f>M1214*N1214</f>
        <v>8000</v>
      </c>
      <c r="S1214" s="15">
        <f>M1214*O1214</f>
        <v>0</v>
      </c>
      <c r="T1214" s="15">
        <f>M1214*Q1214</f>
        <v>8000</v>
      </c>
      <c r="U1214" s="15"/>
      <c r="V1214" s="15">
        <f>M1214*U1214</f>
        <v>0</v>
      </c>
      <c r="W1214" s="15">
        <f>T1214-V1214</f>
        <v>8000</v>
      </c>
      <c r="X1214" s="17">
        <f>IF(T1214&gt;0, W1214/T1214, 0)</f>
        <v>1</v>
      </c>
      <c r="Y1214" s="8" t="s">
        <v>41</v>
      </c>
      <c r="Z1214" s="10" t="s">
        <v>42</v>
      </c>
      <c r="AA1214" s="10" t="s">
        <v>43</v>
      </c>
      <c r="AB1214" s="10" t="s">
        <v>44</v>
      </c>
      <c r="AC1214" s="8" t="s">
        <v>44</v>
      </c>
    </row>
    <row r="1215" spans="1:29">
      <c r="A1215" s="11">
        <v>1208</v>
      </c>
      <c r="B1215" s="11" t="s">
        <v>1530</v>
      </c>
      <c r="C1215" s="11" t="s">
        <v>1521</v>
      </c>
      <c r="D1215" s="11" t="s">
        <v>655</v>
      </c>
      <c r="E1215" s="11" t="s">
        <v>34</v>
      </c>
      <c r="F1215" s="11" t="s">
        <v>35</v>
      </c>
      <c r="G1215" s="9" t="s">
        <v>52</v>
      </c>
      <c r="H1215" s="9" t="s">
        <v>37</v>
      </c>
      <c r="I1215" s="9" t="s">
        <v>38</v>
      </c>
      <c r="J1215" s="11">
        <v>170</v>
      </c>
      <c r="K1215" s="11" t="s">
        <v>645</v>
      </c>
      <c r="L1215" s="11" t="s">
        <v>55</v>
      </c>
      <c r="M1215" s="13">
        <v>1</v>
      </c>
      <c r="N1215" s="16">
        <v>8000.0</v>
      </c>
      <c r="O1215" s="16"/>
      <c r="P1215" s="18">
        <f>IF(N1215&gt;0, O1215/N1215, 0)</f>
        <v>0</v>
      </c>
      <c r="Q1215" s="16">
        <f>N1215-O1215</f>
        <v>8000</v>
      </c>
      <c r="R1215" s="16">
        <f>M1215*N1215</f>
        <v>8000</v>
      </c>
      <c r="S1215" s="16">
        <f>M1215*O1215</f>
        <v>0</v>
      </c>
      <c r="T1215" s="16">
        <f>M1215*Q1215</f>
        <v>8000</v>
      </c>
      <c r="U1215" s="16"/>
      <c r="V1215" s="16">
        <f>M1215*U1215</f>
        <v>0</v>
      </c>
      <c r="W1215" s="16">
        <f>T1215-V1215</f>
        <v>8000</v>
      </c>
      <c r="X1215" s="18">
        <f>IF(T1215&gt;0, W1215/T1215, 0)</f>
        <v>1</v>
      </c>
      <c r="Y1215" s="9" t="s">
        <v>41</v>
      </c>
      <c r="Z1215" s="11" t="s">
        <v>42</v>
      </c>
      <c r="AA1215" s="11" t="s">
        <v>43</v>
      </c>
      <c r="AB1215" s="11" t="s">
        <v>44</v>
      </c>
      <c r="AC1215" s="9" t="s">
        <v>44</v>
      </c>
    </row>
    <row r="1216" spans="1:29">
      <c r="A1216" s="10">
        <v>1209</v>
      </c>
      <c r="B1216" s="10" t="s">
        <v>1531</v>
      </c>
      <c r="C1216" s="10" t="s">
        <v>1521</v>
      </c>
      <c r="D1216" s="10" t="s">
        <v>655</v>
      </c>
      <c r="E1216" s="10" t="s">
        <v>70</v>
      </c>
      <c r="F1216" s="10" t="s">
        <v>35</v>
      </c>
      <c r="G1216" s="8" t="s">
        <v>52</v>
      </c>
      <c r="H1216" s="8" t="s">
        <v>58</v>
      </c>
      <c r="I1216" s="8" t="s">
        <v>58</v>
      </c>
      <c r="J1216" s="10">
        <v>134</v>
      </c>
      <c r="K1216" s="10" t="s">
        <v>284</v>
      </c>
      <c r="L1216" s="10" t="s">
        <v>40</v>
      </c>
      <c r="M1216" s="12">
        <v>1</v>
      </c>
      <c r="N1216" s="15">
        <v>8000.0</v>
      </c>
      <c r="O1216" s="15"/>
      <c r="P1216" s="17">
        <f>IF(N1216&gt;0, O1216/N1216, 0)</f>
        <v>0</v>
      </c>
      <c r="Q1216" s="15">
        <f>N1216-O1216</f>
        <v>8000</v>
      </c>
      <c r="R1216" s="15">
        <f>M1216*N1216</f>
        <v>8000</v>
      </c>
      <c r="S1216" s="15">
        <f>M1216*O1216</f>
        <v>0</v>
      </c>
      <c r="T1216" s="15">
        <f>M1216*Q1216</f>
        <v>8000</v>
      </c>
      <c r="U1216" s="15"/>
      <c r="V1216" s="15">
        <f>M1216*U1216</f>
        <v>0</v>
      </c>
      <c r="W1216" s="15">
        <f>T1216-V1216</f>
        <v>8000</v>
      </c>
      <c r="X1216" s="17">
        <f>IF(T1216&gt;0, W1216/T1216, 0)</f>
        <v>1</v>
      </c>
      <c r="Y1216" s="8" t="s">
        <v>41</v>
      </c>
      <c r="Z1216" s="10" t="s">
        <v>42</v>
      </c>
      <c r="AA1216" s="10" t="s">
        <v>73</v>
      </c>
      <c r="AB1216" s="10" t="s">
        <v>44</v>
      </c>
      <c r="AC1216" s="8" t="s">
        <v>44</v>
      </c>
    </row>
    <row r="1217" spans="1:29">
      <c r="A1217" s="11">
        <v>1210</v>
      </c>
      <c r="B1217" s="11" t="s">
        <v>1532</v>
      </c>
      <c r="C1217" s="11" t="s">
        <v>1521</v>
      </c>
      <c r="D1217" s="11" t="s">
        <v>655</v>
      </c>
      <c r="E1217" s="11" t="s">
        <v>34</v>
      </c>
      <c r="F1217" s="11" t="s">
        <v>35</v>
      </c>
      <c r="G1217" s="9" t="s">
        <v>52</v>
      </c>
      <c r="H1217" s="9" t="s">
        <v>71</v>
      </c>
      <c r="I1217" s="9" t="s">
        <v>71</v>
      </c>
      <c r="J1217" s="11">
        <v>134</v>
      </c>
      <c r="K1217" s="11" t="s">
        <v>212</v>
      </c>
      <c r="L1217" s="11" t="s">
        <v>40</v>
      </c>
      <c r="M1217" s="13">
        <v>1</v>
      </c>
      <c r="N1217" s="16">
        <v>17000.0</v>
      </c>
      <c r="O1217" s="16"/>
      <c r="P1217" s="18">
        <f>IF(N1217&gt;0, O1217/N1217, 0)</f>
        <v>0</v>
      </c>
      <c r="Q1217" s="16">
        <f>N1217-O1217</f>
        <v>17000</v>
      </c>
      <c r="R1217" s="16">
        <f>M1217*N1217</f>
        <v>17000</v>
      </c>
      <c r="S1217" s="16">
        <f>M1217*O1217</f>
        <v>0</v>
      </c>
      <c r="T1217" s="16">
        <f>M1217*Q1217</f>
        <v>17000</v>
      </c>
      <c r="U1217" s="16"/>
      <c r="V1217" s="16">
        <f>M1217*U1217</f>
        <v>0</v>
      </c>
      <c r="W1217" s="16">
        <f>T1217-V1217</f>
        <v>17000</v>
      </c>
      <c r="X1217" s="18">
        <f>IF(T1217&gt;0, W1217/T1217, 0)</f>
        <v>1</v>
      </c>
      <c r="Y1217" s="9" t="s">
        <v>41</v>
      </c>
      <c r="Z1217" s="11" t="s">
        <v>42</v>
      </c>
      <c r="AA1217" s="11" t="s">
        <v>43</v>
      </c>
      <c r="AB1217" s="11" t="s">
        <v>44</v>
      </c>
      <c r="AC1217" s="9" t="s">
        <v>44</v>
      </c>
    </row>
    <row r="1218" spans="1:29">
      <c r="A1218" s="10">
        <v>1211</v>
      </c>
      <c r="B1218" s="10" t="s">
        <v>1533</v>
      </c>
      <c r="C1218" s="10" t="s">
        <v>1521</v>
      </c>
      <c r="D1218" s="10" t="s">
        <v>655</v>
      </c>
      <c r="E1218" s="10" t="s">
        <v>70</v>
      </c>
      <c r="F1218" s="10" t="s">
        <v>35</v>
      </c>
      <c r="G1218" s="8" t="s">
        <v>52</v>
      </c>
      <c r="H1218" s="8" t="s">
        <v>65</v>
      </c>
      <c r="I1218" s="8" t="s">
        <v>151</v>
      </c>
      <c r="J1218" s="10">
        <v>134</v>
      </c>
      <c r="K1218" s="10" t="s">
        <v>249</v>
      </c>
      <c r="L1218" s="10" t="s">
        <v>40</v>
      </c>
      <c r="M1218" s="12">
        <v>1</v>
      </c>
      <c r="N1218" s="15">
        <v>10000.0</v>
      </c>
      <c r="O1218" s="15"/>
      <c r="P1218" s="17">
        <f>IF(N1218&gt;0, O1218/N1218, 0)</f>
        <v>0</v>
      </c>
      <c r="Q1218" s="15">
        <f>N1218-O1218</f>
        <v>10000</v>
      </c>
      <c r="R1218" s="15">
        <f>M1218*N1218</f>
        <v>10000</v>
      </c>
      <c r="S1218" s="15">
        <f>M1218*O1218</f>
        <v>0</v>
      </c>
      <c r="T1218" s="15">
        <f>M1218*Q1218</f>
        <v>10000</v>
      </c>
      <c r="U1218" s="15"/>
      <c r="V1218" s="15">
        <f>M1218*U1218</f>
        <v>0</v>
      </c>
      <c r="W1218" s="15">
        <f>T1218-V1218</f>
        <v>10000</v>
      </c>
      <c r="X1218" s="17">
        <f>IF(T1218&gt;0, W1218/T1218, 0)</f>
        <v>1</v>
      </c>
      <c r="Y1218" s="8" t="s">
        <v>41</v>
      </c>
      <c r="Z1218" s="10" t="s">
        <v>42</v>
      </c>
      <c r="AA1218" s="10" t="s">
        <v>73</v>
      </c>
      <c r="AB1218" s="10" t="s">
        <v>44</v>
      </c>
      <c r="AC1218" s="8" t="s">
        <v>44</v>
      </c>
    </row>
    <row r="1219" spans="1:29">
      <c r="A1219" s="11">
        <v>1212</v>
      </c>
      <c r="B1219" s="11" t="s">
        <v>1534</v>
      </c>
      <c r="C1219" s="11" t="s">
        <v>1521</v>
      </c>
      <c r="D1219" s="11" t="s">
        <v>655</v>
      </c>
      <c r="E1219" s="11" t="s">
        <v>34</v>
      </c>
      <c r="F1219" s="11" t="s">
        <v>35</v>
      </c>
      <c r="G1219" s="9" t="s">
        <v>52</v>
      </c>
      <c r="H1219" s="9" t="s">
        <v>53</v>
      </c>
      <c r="I1219" s="9" t="s">
        <v>53</v>
      </c>
      <c r="J1219" s="11">
        <v>134</v>
      </c>
      <c r="K1219" s="11" t="s">
        <v>178</v>
      </c>
      <c r="L1219" s="11" t="s">
        <v>55</v>
      </c>
      <c r="M1219" s="13">
        <v>1</v>
      </c>
      <c r="N1219" s="16">
        <v>8000.0</v>
      </c>
      <c r="O1219" s="16"/>
      <c r="P1219" s="18">
        <f>IF(N1219&gt;0, O1219/N1219, 0)</f>
        <v>0</v>
      </c>
      <c r="Q1219" s="16">
        <f>N1219-O1219</f>
        <v>8000</v>
      </c>
      <c r="R1219" s="16">
        <f>M1219*N1219</f>
        <v>8000</v>
      </c>
      <c r="S1219" s="16">
        <f>M1219*O1219</f>
        <v>0</v>
      </c>
      <c r="T1219" s="16">
        <f>M1219*Q1219</f>
        <v>8000</v>
      </c>
      <c r="U1219" s="16"/>
      <c r="V1219" s="16">
        <f>M1219*U1219</f>
        <v>0</v>
      </c>
      <c r="W1219" s="16">
        <f>T1219-V1219</f>
        <v>8000</v>
      </c>
      <c r="X1219" s="18">
        <f>IF(T1219&gt;0, W1219/T1219, 0)</f>
        <v>1</v>
      </c>
      <c r="Y1219" s="9" t="s">
        <v>41</v>
      </c>
      <c r="Z1219" s="11" t="s">
        <v>42</v>
      </c>
      <c r="AA1219" s="11" t="s">
        <v>43</v>
      </c>
      <c r="AB1219" s="11" t="s">
        <v>44</v>
      </c>
      <c r="AC1219" s="9" t="s">
        <v>44</v>
      </c>
    </row>
    <row r="1220" spans="1:29">
      <c r="A1220" s="10">
        <v>1213</v>
      </c>
      <c r="B1220" s="10" t="s">
        <v>1535</v>
      </c>
      <c r="C1220" s="10" t="s">
        <v>1521</v>
      </c>
      <c r="D1220" s="10" t="s">
        <v>655</v>
      </c>
      <c r="E1220" s="10" t="s">
        <v>34</v>
      </c>
      <c r="F1220" s="10" t="s">
        <v>35</v>
      </c>
      <c r="G1220" s="8" t="s">
        <v>52</v>
      </c>
      <c r="H1220" s="8" t="s">
        <v>37</v>
      </c>
      <c r="I1220" s="8" t="s">
        <v>75</v>
      </c>
      <c r="J1220" s="10">
        <v>134</v>
      </c>
      <c r="K1220" s="10" t="s">
        <v>149</v>
      </c>
      <c r="L1220" s="10" t="s">
        <v>55</v>
      </c>
      <c r="M1220" s="12">
        <v>1</v>
      </c>
      <c r="N1220" s="15">
        <v>8000.0</v>
      </c>
      <c r="O1220" s="15"/>
      <c r="P1220" s="17">
        <f>IF(N1220&gt;0, O1220/N1220, 0)</f>
        <v>0</v>
      </c>
      <c r="Q1220" s="15">
        <f>N1220-O1220</f>
        <v>8000</v>
      </c>
      <c r="R1220" s="15">
        <f>M1220*N1220</f>
        <v>8000</v>
      </c>
      <c r="S1220" s="15">
        <f>M1220*O1220</f>
        <v>0</v>
      </c>
      <c r="T1220" s="15">
        <f>M1220*Q1220</f>
        <v>8000</v>
      </c>
      <c r="U1220" s="15"/>
      <c r="V1220" s="15">
        <f>M1220*U1220</f>
        <v>0</v>
      </c>
      <c r="W1220" s="15">
        <f>T1220-V1220</f>
        <v>8000</v>
      </c>
      <c r="X1220" s="17">
        <f>IF(T1220&gt;0, W1220/T1220, 0)</f>
        <v>1</v>
      </c>
      <c r="Y1220" s="8" t="s">
        <v>41</v>
      </c>
      <c r="Z1220" s="10" t="s">
        <v>42</v>
      </c>
      <c r="AA1220" s="10" t="s">
        <v>43</v>
      </c>
      <c r="AB1220" s="10" t="s">
        <v>44</v>
      </c>
      <c r="AC1220" s="8" t="s">
        <v>44</v>
      </c>
    </row>
    <row r="1221" spans="1:29">
      <c r="A1221" s="11">
        <v>1214</v>
      </c>
      <c r="B1221" s="11" t="s">
        <v>1536</v>
      </c>
      <c r="C1221" s="11" t="s">
        <v>1521</v>
      </c>
      <c r="D1221" s="11" t="s">
        <v>655</v>
      </c>
      <c r="E1221" s="11" t="s">
        <v>34</v>
      </c>
      <c r="F1221" s="11" t="s">
        <v>35</v>
      </c>
      <c r="G1221" s="9" t="s">
        <v>52</v>
      </c>
      <c r="H1221" s="9" t="s">
        <v>37</v>
      </c>
      <c r="I1221" s="9" t="s">
        <v>38</v>
      </c>
      <c r="J1221" s="11">
        <v>134</v>
      </c>
      <c r="K1221" s="11" t="s">
        <v>180</v>
      </c>
      <c r="L1221" s="11" t="s">
        <v>55</v>
      </c>
      <c r="M1221" s="13">
        <v>2</v>
      </c>
      <c r="N1221" s="16">
        <v>7000.0</v>
      </c>
      <c r="O1221" s="16"/>
      <c r="P1221" s="18">
        <f>IF(N1221&gt;0, O1221/N1221, 0)</f>
        <v>0</v>
      </c>
      <c r="Q1221" s="16">
        <f>N1221-O1221</f>
        <v>7000</v>
      </c>
      <c r="R1221" s="16">
        <f>M1221*N1221</f>
        <v>14000</v>
      </c>
      <c r="S1221" s="16">
        <f>M1221*O1221</f>
        <v>0</v>
      </c>
      <c r="T1221" s="16">
        <f>M1221*Q1221</f>
        <v>14000</v>
      </c>
      <c r="U1221" s="16"/>
      <c r="V1221" s="16">
        <f>M1221*U1221</f>
        <v>0</v>
      </c>
      <c r="W1221" s="16">
        <f>T1221-V1221</f>
        <v>14000</v>
      </c>
      <c r="X1221" s="18">
        <f>IF(T1221&gt;0, W1221/T1221, 0)</f>
        <v>1</v>
      </c>
      <c r="Y1221" s="9" t="s">
        <v>41</v>
      </c>
      <c r="Z1221" s="11" t="s">
        <v>42</v>
      </c>
      <c r="AA1221" s="11" t="s">
        <v>43</v>
      </c>
      <c r="AB1221" s="11" t="s">
        <v>44</v>
      </c>
      <c r="AC1221" s="9" t="s">
        <v>44</v>
      </c>
    </row>
    <row r="1222" spans="1:29">
      <c r="A1222" s="10">
        <v>1215</v>
      </c>
      <c r="B1222" s="10" t="s">
        <v>1537</v>
      </c>
      <c r="C1222" s="10" t="s">
        <v>1538</v>
      </c>
      <c r="D1222" s="10" t="s">
        <v>655</v>
      </c>
      <c r="E1222" s="10" t="s">
        <v>34</v>
      </c>
      <c r="F1222" s="10" t="s">
        <v>35</v>
      </c>
      <c r="G1222" s="8" t="s">
        <v>36</v>
      </c>
      <c r="H1222" s="8" t="s">
        <v>71</v>
      </c>
      <c r="I1222" s="8" t="s">
        <v>71</v>
      </c>
      <c r="J1222" s="10">
        <v>182</v>
      </c>
      <c r="K1222" s="10" t="s">
        <v>425</v>
      </c>
      <c r="L1222" s="10" t="s">
        <v>40</v>
      </c>
      <c r="M1222" s="12">
        <v>1</v>
      </c>
      <c r="N1222" s="15">
        <v>18000.0</v>
      </c>
      <c r="O1222" s="15"/>
      <c r="P1222" s="17">
        <f>IF(N1222&gt;0, O1222/N1222, 0)</f>
        <v>0</v>
      </c>
      <c r="Q1222" s="15">
        <f>N1222-O1222</f>
        <v>18000</v>
      </c>
      <c r="R1222" s="15">
        <f>M1222*N1222</f>
        <v>18000</v>
      </c>
      <c r="S1222" s="15">
        <f>M1222*O1222</f>
        <v>0</v>
      </c>
      <c r="T1222" s="15">
        <f>M1222*Q1222</f>
        <v>18000</v>
      </c>
      <c r="U1222" s="15"/>
      <c r="V1222" s="15">
        <f>M1222*U1222</f>
        <v>0</v>
      </c>
      <c r="W1222" s="15">
        <f>T1222-V1222</f>
        <v>18000</v>
      </c>
      <c r="X1222" s="17">
        <f>IF(T1222&gt;0, W1222/T1222, 0)</f>
        <v>1</v>
      </c>
      <c r="Y1222" s="8" t="s">
        <v>41</v>
      </c>
      <c r="Z1222" s="10" t="s">
        <v>42</v>
      </c>
      <c r="AA1222" s="10" t="s">
        <v>43</v>
      </c>
      <c r="AB1222" s="10" t="s">
        <v>44</v>
      </c>
      <c r="AC1222" s="8" t="s">
        <v>44</v>
      </c>
    </row>
    <row r="1223" spans="1:29">
      <c r="A1223" s="11">
        <v>1216</v>
      </c>
      <c r="B1223" s="11" t="s">
        <v>1539</v>
      </c>
      <c r="C1223" s="11" t="s">
        <v>1538</v>
      </c>
      <c r="D1223" s="11" t="s">
        <v>655</v>
      </c>
      <c r="E1223" s="11" t="s">
        <v>34</v>
      </c>
      <c r="F1223" s="11" t="s">
        <v>35</v>
      </c>
      <c r="G1223" s="9" t="s">
        <v>36</v>
      </c>
      <c r="H1223" s="9" t="s">
        <v>65</v>
      </c>
      <c r="I1223" s="9" t="s">
        <v>151</v>
      </c>
      <c r="J1223" s="11">
        <v>182</v>
      </c>
      <c r="K1223" s="11" t="s">
        <v>742</v>
      </c>
      <c r="L1223" s="11" t="s">
        <v>40</v>
      </c>
      <c r="M1223" s="13">
        <v>1</v>
      </c>
      <c r="N1223" s="16">
        <v>9500.0</v>
      </c>
      <c r="O1223" s="16"/>
      <c r="P1223" s="18">
        <f>IF(N1223&gt;0, O1223/N1223, 0)</f>
        <v>0</v>
      </c>
      <c r="Q1223" s="16">
        <f>N1223-O1223</f>
        <v>9500</v>
      </c>
      <c r="R1223" s="16">
        <f>M1223*N1223</f>
        <v>9500</v>
      </c>
      <c r="S1223" s="16">
        <f>M1223*O1223</f>
        <v>0</v>
      </c>
      <c r="T1223" s="16">
        <f>M1223*Q1223</f>
        <v>9500</v>
      </c>
      <c r="U1223" s="16"/>
      <c r="V1223" s="16">
        <f>M1223*U1223</f>
        <v>0</v>
      </c>
      <c r="W1223" s="16">
        <f>T1223-V1223</f>
        <v>9500</v>
      </c>
      <c r="X1223" s="18">
        <f>IF(T1223&gt;0, W1223/T1223, 0)</f>
        <v>1</v>
      </c>
      <c r="Y1223" s="9" t="s">
        <v>41</v>
      </c>
      <c r="Z1223" s="11" t="s">
        <v>42</v>
      </c>
      <c r="AA1223" s="11" t="s">
        <v>43</v>
      </c>
      <c r="AB1223" s="11" t="s">
        <v>44</v>
      </c>
      <c r="AC1223" s="9" t="s">
        <v>44</v>
      </c>
    </row>
    <row r="1224" spans="1:29">
      <c r="A1224" s="10">
        <v>1217</v>
      </c>
      <c r="B1224" s="10" t="s">
        <v>1540</v>
      </c>
      <c r="C1224" s="10" t="s">
        <v>1538</v>
      </c>
      <c r="D1224" s="10" t="s">
        <v>655</v>
      </c>
      <c r="E1224" s="10" t="s">
        <v>34</v>
      </c>
      <c r="F1224" s="10" t="s">
        <v>35</v>
      </c>
      <c r="G1224" s="8" t="s">
        <v>36</v>
      </c>
      <c r="H1224" s="8" t="s">
        <v>37</v>
      </c>
      <c r="I1224" s="8" t="s">
        <v>38</v>
      </c>
      <c r="J1224" s="10">
        <v>194</v>
      </c>
      <c r="K1224" s="10" t="s">
        <v>1033</v>
      </c>
      <c r="L1224" s="10" t="s">
        <v>40</v>
      </c>
      <c r="M1224" s="12">
        <v>2</v>
      </c>
      <c r="N1224" s="15">
        <v>8000.0</v>
      </c>
      <c r="O1224" s="15"/>
      <c r="P1224" s="17">
        <f>IF(N1224&gt;0, O1224/N1224, 0)</f>
        <v>0</v>
      </c>
      <c r="Q1224" s="15">
        <f>N1224-O1224</f>
        <v>8000</v>
      </c>
      <c r="R1224" s="15">
        <f>M1224*N1224</f>
        <v>16000</v>
      </c>
      <c r="S1224" s="15">
        <f>M1224*O1224</f>
        <v>0</v>
      </c>
      <c r="T1224" s="15">
        <f>M1224*Q1224</f>
        <v>16000</v>
      </c>
      <c r="U1224" s="15"/>
      <c r="V1224" s="15">
        <f>M1224*U1224</f>
        <v>0</v>
      </c>
      <c r="W1224" s="15">
        <f>T1224-V1224</f>
        <v>16000</v>
      </c>
      <c r="X1224" s="17">
        <f>IF(T1224&gt;0, W1224/T1224, 0)</f>
        <v>1</v>
      </c>
      <c r="Y1224" s="8" t="s">
        <v>41</v>
      </c>
      <c r="Z1224" s="10" t="s">
        <v>42</v>
      </c>
      <c r="AA1224" s="10" t="s">
        <v>43</v>
      </c>
      <c r="AB1224" s="10" t="s">
        <v>44</v>
      </c>
      <c r="AC1224" s="8" t="s">
        <v>44</v>
      </c>
    </row>
    <row r="1225" spans="1:29">
      <c r="A1225" s="11">
        <v>1218</v>
      </c>
      <c r="B1225" s="11" t="s">
        <v>1541</v>
      </c>
      <c r="C1225" s="11" t="s">
        <v>1538</v>
      </c>
      <c r="D1225" s="11" t="s">
        <v>655</v>
      </c>
      <c r="E1225" s="11" t="s">
        <v>34</v>
      </c>
      <c r="F1225" s="11" t="s">
        <v>35</v>
      </c>
      <c r="G1225" s="9" t="s">
        <v>52</v>
      </c>
      <c r="H1225" s="9" t="s">
        <v>37</v>
      </c>
      <c r="I1225" s="9" t="s">
        <v>38</v>
      </c>
      <c r="J1225" s="11">
        <v>134</v>
      </c>
      <c r="K1225" s="11" t="s">
        <v>180</v>
      </c>
      <c r="L1225" s="11" t="s">
        <v>55</v>
      </c>
      <c r="M1225" s="13">
        <v>1</v>
      </c>
      <c r="N1225" s="16">
        <v>8000.0</v>
      </c>
      <c r="O1225" s="16"/>
      <c r="P1225" s="18">
        <f>IF(N1225&gt;0, O1225/N1225, 0)</f>
        <v>0</v>
      </c>
      <c r="Q1225" s="16">
        <f>N1225-O1225</f>
        <v>8000</v>
      </c>
      <c r="R1225" s="16">
        <f>M1225*N1225</f>
        <v>8000</v>
      </c>
      <c r="S1225" s="16">
        <f>M1225*O1225</f>
        <v>0</v>
      </c>
      <c r="T1225" s="16">
        <f>M1225*Q1225</f>
        <v>8000</v>
      </c>
      <c r="U1225" s="16"/>
      <c r="V1225" s="16">
        <f>M1225*U1225</f>
        <v>0</v>
      </c>
      <c r="W1225" s="16">
        <f>T1225-V1225</f>
        <v>8000</v>
      </c>
      <c r="X1225" s="18">
        <f>IF(T1225&gt;0, W1225/T1225, 0)</f>
        <v>1</v>
      </c>
      <c r="Y1225" s="9" t="s">
        <v>41</v>
      </c>
      <c r="Z1225" s="11" t="s">
        <v>42</v>
      </c>
      <c r="AA1225" s="11" t="s">
        <v>43</v>
      </c>
      <c r="AB1225" s="11" t="s">
        <v>44</v>
      </c>
      <c r="AC1225" s="9" t="s">
        <v>44</v>
      </c>
    </row>
    <row r="1226" spans="1:29">
      <c r="A1226" s="10">
        <v>1219</v>
      </c>
      <c r="B1226" s="10" t="s">
        <v>1542</v>
      </c>
      <c r="C1226" s="10" t="s">
        <v>1538</v>
      </c>
      <c r="D1226" s="10" t="s">
        <v>655</v>
      </c>
      <c r="E1226" s="10" t="s">
        <v>70</v>
      </c>
      <c r="F1226" s="10" t="s">
        <v>35</v>
      </c>
      <c r="G1226" s="8" t="s">
        <v>36</v>
      </c>
      <c r="H1226" s="8" t="s">
        <v>65</v>
      </c>
      <c r="I1226" s="8" t="s">
        <v>151</v>
      </c>
      <c r="J1226" s="10">
        <v>164</v>
      </c>
      <c r="K1226" s="10" t="s">
        <v>368</v>
      </c>
      <c r="L1226" s="10" t="s">
        <v>40</v>
      </c>
      <c r="M1226" s="12">
        <v>1</v>
      </c>
      <c r="N1226" s="15">
        <v>11000.0</v>
      </c>
      <c r="O1226" s="15"/>
      <c r="P1226" s="17">
        <f>IF(N1226&gt;0, O1226/N1226, 0)</f>
        <v>0</v>
      </c>
      <c r="Q1226" s="15">
        <f>N1226-O1226</f>
        <v>11000</v>
      </c>
      <c r="R1226" s="15">
        <f>M1226*N1226</f>
        <v>11000</v>
      </c>
      <c r="S1226" s="15">
        <f>M1226*O1226</f>
        <v>0</v>
      </c>
      <c r="T1226" s="15">
        <f>M1226*Q1226</f>
        <v>11000</v>
      </c>
      <c r="U1226" s="15"/>
      <c r="V1226" s="15">
        <f>M1226*U1226</f>
        <v>0</v>
      </c>
      <c r="W1226" s="15">
        <f>T1226-V1226</f>
        <v>11000</v>
      </c>
      <c r="X1226" s="17">
        <f>IF(T1226&gt;0, W1226/T1226, 0)</f>
        <v>1</v>
      </c>
      <c r="Y1226" s="8" t="s">
        <v>41</v>
      </c>
      <c r="Z1226" s="10" t="s">
        <v>42</v>
      </c>
      <c r="AA1226" s="10" t="s">
        <v>73</v>
      </c>
      <c r="AB1226" s="10" t="s">
        <v>44</v>
      </c>
      <c r="AC1226" s="8" t="s">
        <v>44</v>
      </c>
    </row>
    <row r="1227" spans="1:29">
      <c r="A1227" s="11">
        <v>1220</v>
      </c>
      <c r="B1227" s="11" t="s">
        <v>1543</v>
      </c>
      <c r="C1227" s="11" t="s">
        <v>1538</v>
      </c>
      <c r="D1227" s="11" t="s">
        <v>655</v>
      </c>
      <c r="E1227" s="11" t="s">
        <v>34</v>
      </c>
      <c r="F1227" s="11" t="s">
        <v>35</v>
      </c>
      <c r="G1227" s="9" t="s">
        <v>52</v>
      </c>
      <c r="H1227" s="9" t="s">
        <v>58</v>
      </c>
      <c r="I1227" s="9" t="s">
        <v>58</v>
      </c>
      <c r="J1227" s="11">
        <v>164</v>
      </c>
      <c r="K1227" s="11" t="s">
        <v>412</v>
      </c>
      <c r="L1227" s="11" t="s">
        <v>40</v>
      </c>
      <c r="M1227" s="13">
        <v>1</v>
      </c>
      <c r="N1227" s="16">
        <v>9000.0</v>
      </c>
      <c r="O1227" s="16"/>
      <c r="P1227" s="18">
        <f>IF(N1227&gt;0, O1227/N1227, 0)</f>
        <v>0</v>
      </c>
      <c r="Q1227" s="16">
        <f>N1227-O1227</f>
        <v>9000</v>
      </c>
      <c r="R1227" s="16">
        <f>M1227*N1227</f>
        <v>9000</v>
      </c>
      <c r="S1227" s="16">
        <f>M1227*O1227</f>
        <v>0</v>
      </c>
      <c r="T1227" s="16">
        <f>M1227*Q1227</f>
        <v>9000</v>
      </c>
      <c r="U1227" s="16"/>
      <c r="V1227" s="16">
        <f>M1227*U1227</f>
        <v>0</v>
      </c>
      <c r="W1227" s="16">
        <f>T1227-V1227</f>
        <v>9000</v>
      </c>
      <c r="X1227" s="18">
        <f>IF(T1227&gt;0, W1227/T1227, 0)</f>
        <v>1</v>
      </c>
      <c r="Y1227" s="9" t="s">
        <v>41</v>
      </c>
      <c r="Z1227" s="11" t="s">
        <v>42</v>
      </c>
      <c r="AA1227" s="11" t="s">
        <v>43</v>
      </c>
      <c r="AB1227" s="11" t="s">
        <v>44</v>
      </c>
      <c r="AC1227" s="9" t="s">
        <v>44</v>
      </c>
    </row>
    <row r="1228" spans="1:29">
      <c r="A1228" s="10">
        <v>1221</v>
      </c>
      <c r="B1228" s="10" t="s">
        <v>1544</v>
      </c>
      <c r="C1228" s="10" t="s">
        <v>1538</v>
      </c>
      <c r="D1228" s="10" t="s">
        <v>655</v>
      </c>
      <c r="E1228" s="10" t="s">
        <v>34</v>
      </c>
      <c r="F1228" s="10" t="s">
        <v>35</v>
      </c>
      <c r="G1228" s="8" t="s">
        <v>52</v>
      </c>
      <c r="H1228" s="8" t="s">
        <v>53</v>
      </c>
      <c r="I1228" s="8" t="s">
        <v>53</v>
      </c>
      <c r="J1228" s="10">
        <v>146</v>
      </c>
      <c r="K1228" s="10" t="s">
        <v>257</v>
      </c>
      <c r="L1228" s="10" t="s">
        <v>55</v>
      </c>
      <c r="M1228" s="12">
        <v>2</v>
      </c>
      <c r="N1228" s="15">
        <v>8000.0</v>
      </c>
      <c r="O1228" s="15"/>
      <c r="P1228" s="17">
        <f>IF(N1228&gt;0, O1228/N1228, 0)</f>
        <v>0</v>
      </c>
      <c r="Q1228" s="15">
        <f>N1228-O1228</f>
        <v>8000</v>
      </c>
      <c r="R1228" s="15">
        <f>M1228*N1228</f>
        <v>16000</v>
      </c>
      <c r="S1228" s="15">
        <f>M1228*O1228</f>
        <v>0</v>
      </c>
      <c r="T1228" s="15">
        <f>M1228*Q1228</f>
        <v>16000</v>
      </c>
      <c r="U1228" s="15"/>
      <c r="V1228" s="15">
        <f>M1228*U1228</f>
        <v>0</v>
      </c>
      <c r="W1228" s="15">
        <f>T1228-V1228</f>
        <v>16000</v>
      </c>
      <c r="X1228" s="17">
        <f>IF(T1228&gt;0, W1228/T1228, 0)</f>
        <v>1</v>
      </c>
      <c r="Y1228" s="8" t="s">
        <v>41</v>
      </c>
      <c r="Z1228" s="10" t="s">
        <v>42</v>
      </c>
      <c r="AA1228" s="10" t="s">
        <v>43</v>
      </c>
      <c r="AB1228" s="10" t="s">
        <v>44</v>
      </c>
      <c r="AC1228" s="8" t="s">
        <v>44</v>
      </c>
    </row>
    <row r="1229" spans="1:29">
      <c r="A1229" s="11">
        <v>1222</v>
      </c>
      <c r="B1229" s="11" t="s">
        <v>1545</v>
      </c>
      <c r="C1229" s="11" t="s">
        <v>1538</v>
      </c>
      <c r="D1229" s="11" t="s">
        <v>655</v>
      </c>
      <c r="E1229" s="11" t="s">
        <v>34</v>
      </c>
      <c r="F1229" s="11" t="s">
        <v>35</v>
      </c>
      <c r="G1229" s="9" t="s">
        <v>36</v>
      </c>
      <c r="H1229" s="9" t="s">
        <v>47</v>
      </c>
      <c r="I1229" s="9" t="s">
        <v>48</v>
      </c>
      <c r="J1229" s="11">
        <v>152</v>
      </c>
      <c r="K1229" s="11" t="s">
        <v>348</v>
      </c>
      <c r="L1229" s="11" t="s">
        <v>40</v>
      </c>
      <c r="M1229" s="13">
        <v>1</v>
      </c>
      <c r="N1229" s="16">
        <v>18000.0</v>
      </c>
      <c r="O1229" s="16"/>
      <c r="P1229" s="18">
        <f>IF(N1229&gt;0, O1229/N1229, 0)</f>
        <v>0</v>
      </c>
      <c r="Q1229" s="16">
        <f>N1229-O1229</f>
        <v>18000</v>
      </c>
      <c r="R1229" s="16">
        <f>M1229*N1229</f>
        <v>18000</v>
      </c>
      <c r="S1229" s="16">
        <f>M1229*O1229</f>
        <v>0</v>
      </c>
      <c r="T1229" s="16">
        <f>M1229*Q1229</f>
        <v>18000</v>
      </c>
      <c r="U1229" s="16"/>
      <c r="V1229" s="16">
        <f>M1229*U1229</f>
        <v>0</v>
      </c>
      <c r="W1229" s="16">
        <f>T1229-V1229</f>
        <v>18000</v>
      </c>
      <c r="X1229" s="18">
        <f>IF(T1229&gt;0, W1229/T1229, 0)</f>
        <v>1</v>
      </c>
      <c r="Y1229" s="9" t="s">
        <v>41</v>
      </c>
      <c r="Z1229" s="11" t="s">
        <v>42</v>
      </c>
      <c r="AA1229" s="11" t="s">
        <v>43</v>
      </c>
      <c r="AB1229" s="11" t="s">
        <v>44</v>
      </c>
      <c r="AC1229" s="9" t="s">
        <v>44</v>
      </c>
    </row>
    <row r="1230" spans="1:29">
      <c r="A1230" s="10">
        <v>1223</v>
      </c>
      <c r="B1230" s="10" t="s">
        <v>1546</v>
      </c>
      <c r="C1230" s="10" t="s">
        <v>1538</v>
      </c>
      <c r="D1230" s="10" t="s">
        <v>655</v>
      </c>
      <c r="E1230" s="10" t="s">
        <v>34</v>
      </c>
      <c r="F1230" s="10" t="s">
        <v>35</v>
      </c>
      <c r="G1230" s="8" t="s">
        <v>36</v>
      </c>
      <c r="H1230" s="8" t="s">
        <v>37</v>
      </c>
      <c r="I1230" s="8" t="s">
        <v>38</v>
      </c>
      <c r="J1230" s="10">
        <v>152</v>
      </c>
      <c r="K1230" s="10" t="s">
        <v>729</v>
      </c>
      <c r="L1230" s="10" t="s">
        <v>40</v>
      </c>
      <c r="M1230" s="12">
        <v>2</v>
      </c>
      <c r="N1230" s="15">
        <v>8000.0</v>
      </c>
      <c r="O1230" s="15"/>
      <c r="P1230" s="17">
        <f>IF(N1230&gt;0, O1230/N1230, 0)</f>
        <v>0</v>
      </c>
      <c r="Q1230" s="15">
        <f>N1230-O1230</f>
        <v>8000</v>
      </c>
      <c r="R1230" s="15">
        <f>M1230*N1230</f>
        <v>16000</v>
      </c>
      <c r="S1230" s="15">
        <f>M1230*O1230</f>
        <v>0</v>
      </c>
      <c r="T1230" s="15">
        <f>M1230*Q1230</f>
        <v>16000</v>
      </c>
      <c r="U1230" s="15"/>
      <c r="V1230" s="15">
        <f>M1230*U1230</f>
        <v>0</v>
      </c>
      <c r="W1230" s="15">
        <f>T1230-V1230</f>
        <v>16000</v>
      </c>
      <c r="X1230" s="17">
        <f>IF(T1230&gt;0, W1230/T1230, 0)</f>
        <v>1</v>
      </c>
      <c r="Y1230" s="8" t="s">
        <v>41</v>
      </c>
      <c r="Z1230" s="10" t="s">
        <v>42</v>
      </c>
      <c r="AA1230" s="10" t="s">
        <v>43</v>
      </c>
      <c r="AB1230" s="10" t="s">
        <v>44</v>
      </c>
      <c r="AC1230" s="8" t="s">
        <v>44</v>
      </c>
    </row>
    <row r="1231" spans="1:29">
      <c r="A1231" s="11">
        <v>1224</v>
      </c>
      <c r="B1231" s="11" t="s">
        <v>1547</v>
      </c>
      <c r="C1231" s="11" t="s">
        <v>1538</v>
      </c>
      <c r="D1231" s="11" t="s">
        <v>655</v>
      </c>
      <c r="E1231" s="11" t="s">
        <v>34</v>
      </c>
      <c r="F1231" s="11" t="s">
        <v>35</v>
      </c>
      <c r="G1231" s="9" t="s">
        <v>52</v>
      </c>
      <c r="H1231" s="9" t="s">
        <v>47</v>
      </c>
      <c r="I1231" s="9" t="s">
        <v>48</v>
      </c>
      <c r="J1231" s="11">
        <v>170</v>
      </c>
      <c r="K1231" s="11" t="s">
        <v>791</v>
      </c>
      <c r="L1231" s="11" t="s">
        <v>40</v>
      </c>
      <c r="M1231" s="13">
        <v>1</v>
      </c>
      <c r="N1231" s="16">
        <v>18000.0</v>
      </c>
      <c r="O1231" s="16"/>
      <c r="P1231" s="18">
        <f>IF(N1231&gt;0, O1231/N1231, 0)</f>
        <v>0</v>
      </c>
      <c r="Q1231" s="16">
        <f>N1231-O1231</f>
        <v>18000</v>
      </c>
      <c r="R1231" s="16">
        <f>M1231*N1231</f>
        <v>18000</v>
      </c>
      <c r="S1231" s="16">
        <f>M1231*O1231</f>
        <v>0</v>
      </c>
      <c r="T1231" s="16">
        <f>M1231*Q1231</f>
        <v>18000</v>
      </c>
      <c r="U1231" s="16"/>
      <c r="V1231" s="16">
        <f>M1231*U1231</f>
        <v>0</v>
      </c>
      <c r="W1231" s="16">
        <f>T1231-V1231</f>
        <v>18000</v>
      </c>
      <c r="X1231" s="18">
        <f>IF(T1231&gt;0, W1231/T1231, 0)</f>
        <v>1</v>
      </c>
      <c r="Y1231" s="9" t="s">
        <v>41</v>
      </c>
      <c r="Z1231" s="11" t="s">
        <v>42</v>
      </c>
      <c r="AA1231" s="11" t="s">
        <v>43</v>
      </c>
      <c r="AB1231" s="11" t="s">
        <v>44</v>
      </c>
      <c r="AC1231" s="9" t="s">
        <v>44</v>
      </c>
    </row>
    <row r="1232" spans="1:29">
      <c r="A1232" s="10">
        <v>1225</v>
      </c>
      <c r="B1232" s="10" t="s">
        <v>1548</v>
      </c>
      <c r="C1232" s="10" t="s">
        <v>1538</v>
      </c>
      <c r="D1232" s="10" t="s">
        <v>655</v>
      </c>
      <c r="E1232" s="10" t="s">
        <v>34</v>
      </c>
      <c r="F1232" s="10" t="s">
        <v>35</v>
      </c>
      <c r="G1232" s="8" t="s">
        <v>52</v>
      </c>
      <c r="H1232" s="8" t="s">
        <v>58</v>
      </c>
      <c r="I1232" s="8" t="s">
        <v>58</v>
      </c>
      <c r="J1232" s="10">
        <v>158</v>
      </c>
      <c r="K1232" s="10" t="s">
        <v>795</v>
      </c>
      <c r="L1232" s="10" t="s">
        <v>40</v>
      </c>
      <c r="M1232" s="12">
        <v>1</v>
      </c>
      <c r="N1232" s="15">
        <v>7000.0</v>
      </c>
      <c r="O1232" s="15"/>
      <c r="P1232" s="17">
        <f>IF(N1232&gt;0, O1232/N1232, 0)</f>
        <v>0</v>
      </c>
      <c r="Q1232" s="15">
        <f>N1232-O1232</f>
        <v>7000</v>
      </c>
      <c r="R1232" s="15">
        <f>M1232*N1232</f>
        <v>7000</v>
      </c>
      <c r="S1232" s="15">
        <f>M1232*O1232</f>
        <v>0</v>
      </c>
      <c r="T1232" s="15">
        <f>M1232*Q1232</f>
        <v>7000</v>
      </c>
      <c r="U1232" s="15"/>
      <c r="V1232" s="15">
        <f>M1232*U1232</f>
        <v>0</v>
      </c>
      <c r="W1232" s="15">
        <f>T1232-V1232</f>
        <v>7000</v>
      </c>
      <c r="X1232" s="17">
        <f>IF(T1232&gt;0, W1232/T1232, 0)</f>
        <v>1</v>
      </c>
      <c r="Y1232" s="8" t="s">
        <v>41</v>
      </c>
      <c r="Z1232" s="10" t="s">
        <v>42</v>
      </c>
      <c r="AA1232" s="10" t="s">
        <v>43</v>
      </c>
      <c r="AB1232" s="10" t="s">
        <v>44</v>
      </c>
      <c r="AC1232" s="8" t="s">
        <v>44</v>
      </c>
    </row>
    <row r="1233" spans="1:29">
      <c r="A1233" s="11">
        <v>1226</v>
      </c>
      <c r="B1233" s="11" t="s">
        <v>1549</v>
      </c>
      <c r="C1233" s="11" t="s">
        <v>1538</v>
      </c>
      <c r="D1233" s="11" t="s">
        <v>655</v>
      </c>
      <c r="E1233" s="11" t="s">
        <v>34</v>
      </c>
      <c r="F1233" s="11" t="s">
        <v>35</v>
      </c>
      <c r="G1233" s="9" t="s">
        <v>52</v>
      </c>
      <c r="H1233" s="9" t="s">
        <v>65</v>
      </c>
      <c r="I1233" s="9" t="s">
        <v>151</v>
      </c>
      <c r="J1233" s="11">
        <v>164</v>
      </c>
      <c r="K1233" s="11" t="s">
        <v>1550</v>
      </c>
      <c r="L1233" s="11" t="s">
        <v>40</v>
      </c>
      <c r="M1233" s="13">
        <v>1</v>
      </c>
      <c r="N1233" s="16">
        <v>9000.0</v>
      </c>
      <c r="O1233" s="16"/>
      <c r="P1233" s="18">
        <f>IF(N1233&gt;0, O1233/N1233, 0)</f>
        <v>0</v>
      </c>
      <c r="Q1233" s="16">
        <f>N1233-O1233</f>
        <v>9000</v>
      </c>
      <c r="R1233" s="16">
        <f>M1233*N1233</f>
        <v>9000</v>
      </c>
      <c r="S1233" s="16">
        <f>M1233*O1233</f>
        <v>0</v>
      </c>
      <c r="T1233" s="16">
        <f>M1233*Q1233</f>
        <v>9000</v>
      </c>
      <c r="U1233" s="16"/>
      <c r="V1233" s="16">
        <f>M1233*U1233</f>
        <v>0</v>
      </c>
      <c r="W1233" s="16">
        <f>T1233-V1233</f>
        <v>9000</v>
      </c>
      <c r="X1233" s="18">
        <f>IF(T1233&gt;0, W1233/T1233, 0)</f>
        <v>1</v>
      </c>
      <c r="Y1233" s="9" t="s">
        <v>41</v>
      </c>
      <c r="Z1233" s="11" t="s">
        <v>42</v>
      </c>
      <c r="AA1233" s="11" t="s">
        <v>43</v>
      </c>
      <c r="AB1233" s="11" t="s">
        <v>44</v>
      </c>
      <c r="AC1233" s="9" t="s">
        <v>44</v>
      </c>
    </row>
    <row r="1234" spans="1:29">
      <c r="A1234" s="10">
        <v>1227</v>
      </c>
      <c r="B1234" s="10" t="s">
        <v>1551</v>
      </c>
      <c r="C1234" s="10" t="s">
        <v>1538</v>
      </c>
      <c r="D1234" s="10" t="s">
        <v>655</v>
      </c>
      <c r="E1234" s="10" t="s">
        <v>34</v>
      </c>
      <c r="F1234" s="10" t="s">
        <v>35</v>
      </c>
      <c r="G1234" s="8" t="s">
        <v>52</v>
      </c>
      <c r="H1234" s="8" t="s">
        <v>37</v>
      </c>
      <c r="I1234" s="8" t="s">
        <v>38</v>
      </c>
      <c r="J1234" s="10">
        <v>170</v>
      </c>
      <c r="K1234" s="10" t="s">
        <v>645</v>
      </c>
      <c r="L1234" s="10" t="s">
        <v>55</v>
      </c>
      <c r="M1234" s="12">
        <v>4</v>
      </c>
      <c r="N1234" s="15">
        <v>7000.0</v>
      </c>
      <c r="O1234" s="15"/>
      <c r="P1234" s="17">
        <f>IF(N1234&gt;0, O1234/N1234, 0)</f>
        <v>0</v>
      </c>
      <c r="Q1234" s="15">
        <f>N1234-O1234</f>
        <v>7000</v>
      </c>
      <c r="R1234" s="15">
        <f>M1234*N1234</f>
        <v>28000</v>
      </c>
      <c r="S1234" s="15">
        <f>M1234*O1234</f>
        <v>0</v>
      </c>
      <c r="T1234" s="15">
        <f>M1234*Q1234</f>
        <v>28000</v>
      </c>
      <c r="U1234" s="15"/>
      <c r="V1234" s="15">
        <f>M1234*U1234</f>
        <v>0</v>
      </c>
      <c r="W1234" s="15">
        <f>T1234-V1234</f>
        <v>28000</v>
      </c>
      <c r="X1234" s="17">
        <f>IF(T1234&gt;0, W1234/T1234, 0)</f>
        <v>1</v>
      </c>
      <c r="Y1234" s="8" t="s">
        <v>41</v>
      </c>
      <c r="Z1234" s="10" t="s">
        <v>42</v>
      </c>
      <c r="AA1234" s="10" t="s">
        <v>43</v>
      </c>
      <c r="AB1234" s="10" t="s">
        <v>44</v>
      </c>
      <c r="AC1234" s="8" t="s">
        <v>44</v>
      </c>
    </row>
    <row r="1235" spans="1:29">
      <c r="A1235" s="11">
        <v>1228</v>
      </c>
      <c r="B1235" s="11" t="s">
        <v>1552</v>
      </c>
      <c r="C1235" s="11" t="s">
        <v>1538</v>
      </c>
      <c r="D1235" s="11" t="s">
        <v>655</v>
      </c>
      <c r="E1235" s="11" t="s">
        <v>70</v>
      </c>
      <c r="F1235" s="11" t="s">
        <v>35</v>
      </c>
      <c r="G1235" s="9" t="s">
        <v>36</v>
      </c>
      <c r="H1235" s="9" t="s">
        <v>71</v>
      </c>
      <c r="I1235" s="9" t="s">
        <v>71</v>
      </c>
      <c r="J1235" s="11">
        <v>158</v>
      </c>
      <c r="K1235" s="11" t="s">
        <v>263</v>
      </c>
      <c r="L1235" s="11" t="s">
        <v>40</v>
      </c>
      <c r="M1235" s="13">
        <v>1</v>
      </c>
      <c r="N1235" s="16">
        <v>18000.0</v>
      </c>
      <c r="O1235" s="16"/>
      <c r="P1235" s="18">
        <f>IF(N1235&gt;0, O1235/N1235, 0)</f>
        <v>0</v>
      </c>
      <c r="Q1235" s="16">
        <f>N1235-O1235</f>
        <v>18000</v>
      </c>
      <c r="R1235" s="16">
        <f>M1235*N1235</f>
        <v>18000</v>
      </c>
      <c r="S1235" s="16">
        <f>M1235*O1235</f>
        <v>0</v>
      </c>
      <c r="T1235" s="16">
        <f>M1235*Q1235</f>
        <v>18000</v>
      </c>
      <c r="U1235" s="16"/>
      <c r="V1235" s="16">
        <f>M1235*U1235</f>
        <v>0</v>
      </c>
      <c r="W1235" s="16">
        <f>T1235-V1235</f>
        <v>18000</v>
      </c>
      <c r="X1235" s="18">
        <f>IF(T1235&gt;0, W1235/T1235, 0)</f>
        <v>1</v>
      </c>
      <c r="Y1235" s="9" t="s">
        <v>41</v>
      </c>
      <c r="Z1235" s="11" t="s">
        <v>42</v>
      </c>
      <c r="AA1235" s="11" t="s">
        <v>73</v>
      </c>
      <c r="AB1235" s="11" t="s">
        <v>44</v>
      </c>
      <c r="AC1235" s="9" t="s">
        <v>44</v>
      </c>
    </row>
    <row r="1236" spans="1:29">
      <c r="A1236" s="10">
        <v>1229</v>
      </c>
      <c r="B1236" s="10" t="s">
        <v>1553</v>
      </c>
      <c r="C1236" s="10" t="s">
        <v>1538</v>
      </c>
      <c r="D1236" s="10" t="s">
        <v>655</v>
      </c>
      <c r="E1236" s="10" t="s">
        <v>34</v>
      </c>
      <c r="F1236" s="10" t="s">
        <v>35</v>
      </c>
      <c r="G1236" s="8" t="s">
        <v>36</v>
      </c>
      <c r="H1236" s="8" t="s">
        <v>37</v>
      </c>
      <c r="I1236" s="8" t="s">
        <v>38</v>
      </c>
      <c r="J1236" s="10">
        <v>116</v>
      </c>
      <c r="K1236" s="10" t="s">
        <v>1554</v>
      </c>
      <c r="L1236" s="10" t="s">
        <v>40</v>
      </c>
      <c r="M1236" s="12">
        <v>1</v>
      </c>
      <c r="N1236" s="15">
        <v>7000.0</v>
      </c>
      <c r="O1236" s="15"/>
      <c r="P1236" s="17">
        <f>IF(N1236&gt;0, O1236/N1236, 0)</f>
        <v>0</v>
      </c>
      <c r="Q1236" s="15">
        <f>N1236-O1236</f>
        <v>7000</v>
      </c>
      <c r="R1236" s="15">
        <f>M1236*N1236</f>
        <v>7000</v>
      </c>
      <c r="S1236" s="15">
        <f>M1236*O1236</f>
        <v>0</v>
      </c>
      <c r="T1236" s="15">
        <f>M1236*Q1236</f>
        <v>7000</v>
      </c>
      <c r="U1236" s="15"/>
      <c r="V1236" s="15">
        <f>M1236*U1236</f>
        <v>0</v>
      </c>
      <c r="W1236" s="15">
        <f>T1236-V1236</f>
        <v>7000</v>
      </c>
      <c r="X1236" s="17">
        <f>IF(T1236&gt;0, W1236/T1236, 0)</f>
        <v>1</v>
      </c>
      <c r="Y1236" s="8" t="s">
        <v>41</v>
      </c>
      <c r="Z1236" s="10" t="s">
        <v>42</v>
      </c>
      <c r="AA1236" s="10" t="s">
        <v>43</v>
      </c>
      <c r="AB1236" s="10" t="s">
        <v>44</v>
      </c>
      <c r="AC1236" s="8" t="s">
        <v>44</v>
      </c>
    </row>
    <row r="1237" spans="1:29">
      <c r="A1237" s="11">
        <v>1230</v>
      </c>
      <c r="B1237" s="11" t="s">
        <v>1555</v>
      </c>
      <c r="C1237" s="11" t="s">
        <v>1538</v>
      </c>
      <c r="D1237" s="11" t="s">
        <v>655</v>
      </c>
      <c r="E1237" s="11" t="s">
        <v>34</v>
      </c>
      <c r="F1237" s="11" t="s">
        <v>35</v>
      </c>
      <c r="G1237" s="9" t="s">
        <v>36</v>
      </c>
      <c r="H1237" s="9" t="s">
        <v>58</v>
      </c>
      <c r="I1237" s="9" t="s">
        <v>58</v>
      </c>
      <c r="J1237" s="11">
        <v>158</v>
      </c>
      <c r="K1237" s="11" t="s">
        <v>130</v>
      </c>
      <c r="L1237" s="11" t="s">
        <v>40</v>
      </c>
      <c r="M1237" s="13">
        <v>1</v>
      </c>
      <c r="N1237" s="16">
        <v>7000.0</v>
      </c>
      <c r="O1237" s="16"/>
      <c r="P1237" s="18">
        <f>IF(N1237&gt;0, O1237/N1237, 0)</f>
        <v>0</v>
      </c>
      <c r="Q1237" s="16">
        <f>N1237-O1237</f>
        <v>7000</v>
      </c>
      <c r="R1237" s="16">
        <f>M1237*N1237</f>
        <v>7000</v>
      </c>
      <c r="S1237" s="16">
        <f>M1237*O1237</f>
        <v>0</v>
      </c>
      <c r="T1237" s="16">
        <f>M1237*Q1237</f>
        <v>7000</v>
      </c>
      <c r="U1237" s="16"/>
      <c r="V1237" s="16">
        <f>M1237*U1237</f>
        <v>0</v>
      </c>
      <c r="W1237" s="16">
        <f>T1237-V1237</f>
        <v>7000</v>
      </c>
      <c r="X1237" s="18">
        <f>IF(T1237&gt;0, W1237/T1237, 0)</f>
        <v>1</v>
      </c>
      <c r="Y1237" s="9" t="s">
        <v>41</v>
      </c>
      <c r="Z1237" s="11" t="s">
        <v>42</v>
      </c>
      <c r="AA1237" s="11" t="s">
        <v>43</v>
      </c>
      <c r="AB1237" s="11" t="s">
        <v>44</v>
      </c>
      <c r="AC1237" s="9" t="s">
        <v>44</v>
      </c>
    </row>
    <row r="1238" spans="1:29">
      <c r="A1238" s="10">
        <v>1231</v>
      </c>
      <c r="B1238" s="10" t="s">
        <v>1556</v>
      </c>
      <c r="C1238" s="10" t="s">
        <v>1538</v>
      </c>
      <c r="D1238" s="10" t="s">
        <v>655</v>
      </c>
      <c r="E1238" s="10" t="s">
        <v>34</v>
      </c>
      <c r="F1238" s="10" t="s">
        <v>35</v>
      </c>
      <c r="G1238" s="8" t="s">
        <v>36</v>
      </c>
      <c r="H1238" s="8" t="s">
        <v>53</v>
      </c>
      <c r="I1238" s="8" t="s">
        <v>53</v>
      </c>
      <c r="J1238" s="10">
        <v>158</v>
      </c>
      <c r="K1238" s="10" t="s">
        <v>124</v>
      </c>
      <c r="L1238" s="10" t="s">
        <v>40</v>
      </c>
      <c r="M1238" s="12">
        <v>1</v>
      </c>
      <c r="N1238" s="15">
        <v>8000.0</v>
      </c>
      <c r="O1238" s="15"/>
      <c r="P1238" s="17">
        <f>IF(N1238&gt;0, O1238/N1238, 0)</f>
        <v>0</v>
      </c>
      <c r="Q1238" s="15">
        <f>N1238-O1238</f>
        <v>8000</v>
      </c>
      <c r="R1238" s="15">
        <f>M1238*N1238</f>
        <v>8000</v>
      </c>
      <c r="S1238" s="15">
        <f>M1238*O1238</f>
        <v>0</v>
      </c>
      <c r="T1238" s="15">
        <f>M1238*Q1238</f>
        <v>8000</v>
      </c>
      <c r="U1238" s="15"/>
      <c r="V1238" s="15">
        <f>M1238*U1238</f>
        <v>0</v>
      </c>
      <c r="W1238" s="15">
        <f>T1238-V1238</f>
        <v>8000</v>
      </c>
      <c r="X1238" s="17">
        <f>IF(T1238&gt;0, W1238/T1238, 0)</f>
        <v>1</v>
      </c>
      <c r="Y1238" s="8" t="s">
        <v>41</v>
      </c>
      <c r="Z1238" s="10" t="s">
        <v>42</v>
      </c>
      <c r="AA1238" s="10" t="s">
        <v>43</v>
      </c>
      <c r="AB1238" s="10" t="s">
        <v>44</v>
      </c>
      <c r="AC1238" s="8" t="s">
        <v>44</v>
      </c>
    </row>
    <row r="1239" spans="1:29">
      <c r="A1239" s="11">
        <v>1232</v>
      </c>
      <c r="B1239" s="11" t="s">
        <v>1557</v>
      </c>
      <c r="C1239" s="11" t="s">
        <v>1538</v>
      </c>
      <c r="D1239" s="11" t="s">
        <v>655</v>
      </c>
      <c r="E1239" s="11" t="s">
        <v>34</v>
      </c>
      <c r="F1239" s="11" t="s">
        <v>35</v>
      </c>
      <c r="G1239" s="9" t="s">
        <v>36</v>
      </c>
      <c r="H1239" s="9" t="s">
        <v>37</v>
      </c>
      <c r="I1239" s="9" t="s">
        <v>38</v>
      </c>
      <c r="J1239" s="11">
        <v>158</v>
      </c>
      <c r="K1239" s="11" t="s">
        <v>39</v>
      </c>
      <c r="L1239" s="11" t="s">
        <v>40</v>
      </c>
      <c r="M1239" s="13">
        <v>1</v>
      </c>
      <c r="N1239" s="16">
        <v>8000.0</v>
      </c>
      <c r="O1239" s="16"/>
      <c r="P1239" s="18">
        <f>IF(N1239&gt;0, O1239/N1239, 0)</f>
        <v>0</v>
      </c>
      <c r="Q1239" s="16">
        <f>N1239-O1239</f>
        <v>8000</v>
      </c>
      <c r="R1239" s="16">
        <f>M1239*N1239</f>
        <v>8000</v>
      </c>
      <c r="S1239" s="16">
        <f>M1239*O1239</f>
        <v>0</v>
      </c>
      <c r="T1239" s="16">
        <f>M1239*Q1239</f>
        <v>8000</v>
      </c>
      <c r="U1239" s="16"/>
      <c r="V1239" s="16">
        <f>M1239*U1239</f>
        <v>0</v>
      </c>
      <c r="W1239" s="16">
        <f>T1239-V1239</f>
        <v>8000</v>
      </c>
      <c r="X1239" s="18">
        <f>IF(T1239&gt;0, W1239/T1239, 0)</f>
        <v>1</v>
      </c>
      <c r="Y1239" s="9" t="s">
        <v>41</v>
      </c>
      <c r="Z1239" s="11" t="s">
        <v>42</v>
      </c>
      <c r="AA1239" s="11" t="s">
        <v>43</v>
      </c>
      <c r="AB1239" s="11" t="s">
        <v>44</v>
      </c>
      <c r="AC1239" s="9" t="s">
        <v>44</v>
      </c>
    </row>
    <row r="1240" spans="1:29">
      <c r="A1240" s="10">
        <v>1233</v>
      </c>
      <c r="B1240" s="10" t="s">
        <v>1558</v>
      </c>
      <c r="C1240" s="10" t="s">
        <v>1538</v>
      </c>
      <c r="D1240" s="10" t="s">
        <v>655</v>
      </c>
      <c r="E1240" s="10" t="s">
        <v>34</v>
      </c>
      <c r="F1240" s="10" t="s">
        <v>35</v>
      </c>
      <c r="G1240" s="8" t="s">
        <v>36</v>
      </c>
      <c r="H1240" s="8" t="s">
        <v>37</v>
      </c>
      <c r="I1240" s="8" t="s">
        <v>38</v>
      </c>
      <c r="J1240" s="10">
        <v>152</v>
      </c>
      <c r="K1240" s="10" t="s">
        <v>729</v>
      </c>
      <c r="L1240" s="10" t="s">
        <v>40</v>
      </c>
      <c r="M1240" s="12">
        <v>1</v>
      </c>
      <c r="N1240" s="15">
        <v>8000.0</v>
      </c>
      <c r="O1240" s="15"/>
      <c r="P1240" s="17">
        <f>IF(N1240&gt;0, O1240/N1240, 0)</f>
        <v>0</v>
      </c>
      <c r="Q1240" s="15">
        <f>N1240-O1240</f>
        <v>8000</v>
      </c>
      <c r="R1240" s="15">
        <f>M1240*N1240</f>
        <v>8000</v>
      </c>
      <c r="S1240" s="15">
        <f>M1240*O1240</f>
        <v>0</v>
      </c>
      <c r="T1240" s="15">
        <f>M1240*Q1240</f>
        <v>8000</v>
      </c>
      <c r="U1240" s="15"/>
      <c r="V1240" s="15">
        <f>M1240*U1240</f>
        <v>0</v>
      </c>
      <c r="W1240" s="15">
        <f>T1240-V1240</f>
        <v>8000</v>
      </c>
      <c r="X1240" s="17">
        <f>IF(T1240&gt;0, W1240/T1240, 0)</f>
        <v>1</v>
      </c>
      <c r="Y1240" s="8" t="s">
        <v>41</v>
      </c>
      <c r="Z1240" s="10" t="s">
        <v>42</v>
      </c>
      <c r="AA1240" s="10" t="s">
        <v>43</v>
      </c>
      <c r="AB1240" s="10" t="s">
        <v>44</v>
      </c>
      <c r="AC1240" s="8" t="s">
        <v>44</v>
      </c>
    </row>
    <row r="1241" spans="1:29">
      <c r="A1241" s="11">
        <v>1234</v>
      </c>
      <c r="B1241" s="11" t="s">
        <v>1559</v>
      </c>
      <c r="C1241" s="11" t="s">
        <v>1538</v>
      </c>
      <c r="D1241" s="11" t="s">
        <v>655</v>
      </c>
      <c r="E1241" s="11" t="s">
        <v>34</v>
      </c>
      <c r="F1241" s="11" t="s">
        <v>35</v>
      </c>
      <c r="G1241" s="9" t="s">
        <v>52</v>
      </c>
      <c r="H1241" s="9" t="s">
        <v>71</v>
      </c>
      <c r="I1241" s="9" t="s">
        <v>71</v>
      </c>
      <c r="J1241" s="11">
        <v>140</v>
      </c>
      <c r="K1241" s="11" t="s">
        <v>228</v>
      </c>
      <c r="L1241" s="11" t="s">
        <v>40</v>
      </c>
      <c r="M1241" s="13">
        <v>1</v>
      </c>
      <c r="N1241" s="16">
        <v>17000.0</v>
      </c>
      <c r="O1241" s="16"/>
      <c r="P1241" s="18">
        <f>IF(N1241&gt;0, O1241/N1241, 0)</f>
        <v>0</v>
      </c>
      <c r="Q1241" s="16">
        <f>N1241-O1241</f>
        <v>17000</v>
      </c>
      <c r="R1241" s="16">
        <f>M1241*N1241</f>
        <v>17000</v>
      </c>
      <c r="S1241" s="16">
        <f>M1241*O1241</f>
        <v>0</v>
      </c>
      <c r="T1241" s="16">
        <f>M1241*Q1241</f>
        <v>17000</v>
      </c>
      <c r="U1241" s="16"/>
      <c r="V1241" s="16">
        <f>M1241*U1241</f>
        <v>0</v>
      </c>
      <c r="W1241" s="16">
        <f>T1241-V1241</f>
        <v>17000</v>
      </c>
      <c r="X1241" s="18">
        <f>IF(T1241&gt;0, W1241/T1241, 0)</f>
        <v>1</v>
      </c>
      <c r="Y1241" s="9" t="s">
        <v>41</v>
      </c>
      <c r="Z1241" s="11" t="s">
        <v>42</v>
      </c>
      <c r="AA1241" s="11" t="s">
        <v>43</v>
      </c>
      <c r="AB1241" s="11" t="s">
        <v>44</v>
      </c>
      <c r="AC1241" s="9" t="s">
        <v>44</v>
      </c>
    </row>
    <row r="1242" spans="1:29">
      <c r="A1242" s="10">
        <v>1235</v>
      </c>
      <c r="B1242" s="10" t="s">
        <v>1560</v>
      </c>
      <c r="C1242" s="10" t="s">
        <v>1538</v>
      </c>
      <c r="D1242" s="10" t="s">
        <v>655</v>
      </c>
      <c r="E1242" s="10" t="s">
        <v>70</v>
      </c>
      <c r="F1242" s="10" t="s">
        <v>35</v>
      </c>
      <c r="G1242" s="8" t="s">
        <v>52</v>
      </c>
      <c r="H1242" s="8" t="s">
        <v>65</v>
      </c>
      <c r="I1242" s="8" t="s">
        <v>151</v>
      </c>
      <c r="J1242" s="10">
        <v>140</v>
      </c>
      <c r="K1242" s="10" t="s">
        <v>224</v>
      </c>
      <c r="L1242" s="10" t="s">
        <v>40</v>
      </c>
      <c r="M1242" s="12">
        <v>1</v>
      </c>
      <c r="N1242" s="15">
        <v>10000.0</v>
      </c>
      <c r="O1242" s="15"/>
      <c r="P1242" s="17">
        <f>IF(N1242&gt;0, O1242/N1242, 0)</f>
        <v>0</v>
      </c>
      <c r="Q1242" s="15">
        <f>N1242-O1242</f>
        <v>10000</v>
      </c>
      <c r="R1242" s="15">
        <f>M1242*N1242</f>
        <v>10000</v>
      </c>
      <c r="S1242" s="15">
        <f>M1242*O1242</f>
        <v>0</v>
      </c>
      <c r="T1242" s="15">
        <f>M1242*Q1242</f>
        <v>10000</v>
      </c>
      <c r="U1242" s="15"/>
      <c r="V1242" s="15">
        <f>M1242*U1242</f>
        <v>0</v>
      </c>
      <c r="W1242" s="15">
        <f>T1242-V1242</f>
        <v>10000</v>
      </c>
      <c r="X1242" s="17">
        <f>IF(T1242&gt;0, W1242/T1242, 0)</f>
        <v>1</v>
      </c>
      <c r="Y1242" s="8" t="s">
        <v>41</v>
      </c>
      <c r="Z1242" s="10" t="s">
        <v>42</v>
      </c>
      <c r="AA1242" s="10" t="s">
        <v>73</v>
      </c>
      <c r="AB1242" s="10" t="s">
        <v>44</v>
      </c>
      <c r="AC1242" s="8" t="s">
        <v>44</v>
      </c>
    </row>
    <row r="1243" spans="1:29">
      <c r="A1243" s="11">
        <v>1236</v>
      </c>
      <c r="B1243" s="11" t="s">
        <v>1561</v>
      </c>
      <c r="C1243" s="11" t="s">
        <v>1538</v>
      </c>
      <c r="D1243" s="11" t="s">
        <v>655</v>
      </c>
      <c r="E1243" s="11" t="s">
        <v>34</v>
      </c>
      <c r="F1243" s="11" t="s">
        <v>35</v>
      </c>
      <c r="G1243" s="9" t="s">
        <v>52</v>
      </c>
      <c r="H1243" s="9" t="s">
        <v>37</v>
      </c>
      <c r="I1243" s="9" t="s">
        <v>38</v>
      </c>
      <c r="J1243" s="11">
        <v>140</v>
      </c>
      <c r="K1243" s="11" t="s">
        <v>226</v>
      </c>
      <c r="L1243" s="11" t="s">
        <v>55</v>
      </c>
      <c r="M1243" s="13">
        <v>2</v>
      </c>
      <c r="N1243" s="16">
        <v>7000.0</v>
      </c>
      <c r="O1243" s="16"/>
      <c r="P1243" s="18">
        <f>IF(N1243&gt;0, O1243/N1243, 0)</f>
        <v>0</v>
      </c>
      <c r="Q1243" s="16">
        <f>N1243-O1243</f>
        <v>7000</v>
      </c>
      <c r="R1243" s="16">
        <f>M1243*N1243</f>
        <v>14000</v>
      </c>
      <c r="S1243" s="16">
        <f>M1243*O1243</f>
        <v>0</v>
      </c>
      <c r="T1243" s="16">
        <f>M1243*Q1243</f>
        <v>14000</v>
      </c>
      <c r="U1243" s="16"/>
      <c r="V1243" s="16">
        <f>M1243*U1243</f>
        <v>0</v>
      </c>
      <c r="W1243" s="16">
        <f>T1243-V1243</f>
        <v>14000</v>
      </c>
      <c r="X1243" s="18">
        <f>IF(T1243&gt;0, W1243/T1243, 0)</f>
        <v>1</v>
      </c>
      <c r="Y1243" s="9" t="s">
        <v>41</v>
      </c>
      <c r="Z1243" s="11" t="s">
        <v>42</v>
      </c>
      <c r="AA1243" s="11" t="s">
        <v>43</v>
      </c>
      <c r="AB1243" s="11" t="s">
        <v>44</v>
      </c>
      <c r="AC1243" s="9" t="s">
        <v>44</v>
      </c>
    </row>
    <row r="1244" spans="1:29">
      <c r="A1244" s="10">
        <v>1237</v>
      </c>
      <c r="B1244" s="10" t="s">
        <v>1562</v>
      </c>
      <c r="C1244" s="10" t="s">
        <v>1538</v>
      </c>
      <c r="D1244" s="10" t="s">
        <v>655</v>
      </c>
      <c r="E1244" s="10" t="s">
        <v>34</v>
      </c>
      <c r="F1244" s="10" t="s">
        <v>35</v>
      </c>
      <c r="G1244" s="8" t="s">
        <v>52</v>
      </c>
      <c r="H1244" s="8" t="s">
        <v>53</v>
      </c>
      <c r="I1244" s="8" t="s">
        <v>53</v>
      </c>
      <c r="J1244" s="10">
        <v>140</v>
      </c>
      <c r="K1244" s="10" t="s">
        <v>282</v>
      </c>
      <c r="L1244" s="10" t="s">
        <v>55</v>
      </c>
      <c r="M1244" s="12">
        <v>1</v>
      </c>
      <c r="N1244" s="15">
        <v>8000.0</v>
      </c>
      <c r="O1244" s="15"/>
      <c r="P1244" s="17">
        <f>IF(N1244&gt;0, O1244/N1244, 0)</f>
        <v>0</v>
      </c>
      <c r="Q1244" s="15">
        <f>N1244-O1244</f>
        <v>8000</v>
      </c>
      <c r="R1244" s="15">
        <f>M1244*N1244</f>
        <v>8000</v>
      </c>
      <c r="S1244" s="15">
        <f>M1244*O1244</f>
        <v>0</v>
      </c>
      <c r="T1244" s="15">
        <f>M1244*Q1244</f>
        <v>8000</v>
      </c>
      <c r="U1244" s="15"/>
      <c r="V1244" s="15">
        <f>M1244*U1244</f>
        <v>0</v>
      </c>
      <c r="W1244" s="15">
        <f>T1244-V1244</f>
        <v>8000</v>
      </c>
      <c r="X1244" s="17">
        <f>IF(T1244&gt;0, W1244/T1244, 0)</f>
        <v>1</v>
      </c>
      <c r="Y1244" s="8" t="s">
        <v>41</v>
      </c>
      <c r="Z1244" s="10" t="s">
        <v>42</v>
      </c>
      <c r="AA1244" s="10" t="s">
        <v>43</v>
      </c>
      <c r="AB1244" s="10" t="s">
        <v>44</v>
      </c>
      <c r="AC1244" s="8" t="s">
        <v>44</v>
      </c>
    </row>
    <row r="1245" spans="1:29">
      <c r="A1245" s="11">
        <v>1238</v>
      </c>
      <c r="B1245" s="11" t="s">
        <v>1563</v>
      </c>
      <c r="C1245" s="11" t="s">
        <v>1538</v>
      </c>
      <c r="D1245" s="11" t="s">
        <v>655</v>
      </c>
      <c r="E1245" s="11" t="s">
        <v>34</v>
      </c>
      <c r="F1245" s="11" t="s">
        <v>35</v>
      </c>
      <c r="G1245" s="9" t="s">
        <v>52</v>
      </c>
      <c r="H1245" s="9" t="s">
        <v>47</v>
      </c>
      <c r="I1245" s="9" t="s">
        <v>48</v>
      </c>
      <c r="J1245" s="11">
        <v>140</v>
      </c>
      <c r="K1245" s="11" t="s">
        <v>417</v>
      </c>
      <c r="L1245" s="11" t="s">
        <v>40</v>
      </c>
      <c r="M1245" s="13">
        <v>1</v>
      </c>
      <c r="N1245" s="16">
        <v>18000.0</v>
      </c>
      <c r="O1245" s="16"/>
      <c r="P1245" s="18">
        <f>IF(N1245&gt;0, O1245/N1245, 0)</f>
        <v>0</v>
      </c>
      <c r="Q1245" s="16">
        <f>N1245-O1245</f>
        <v>18000</v>
      </c>
      <c r="R1245" s="16">
        <f>M1245*N1245</f>
        <v>18000</v>
      </c>
      <c r="S1245" s="16">
        <f>M1245*O1245</f>
        <v>0</v>
      </c>
      <c r="T1245" s="16">
        <f>M1245*Q1245</f>
        <v>18000</v>
      </c>
      <c r="U1245" s="16"/>
      <c r="V1245" s="16">
        <f>M1245*U1245</f>
        <v>0</v>
      </c>
      <c r="W1245" s="16">
        <f>T1245-V1245</f>
        <v>18000</v>
      </c>
      <c r="X1245" s="18">
        <f>IF(T1245&gt;0, W1245/T1245, 0)</f>
        <v>1</v>
      </c>
      <c r="Y1245" s="9" t="s">
        <v>41</v>
      </c>
      <c r="Z1245" s="11" t="s">
        <v>42</v>
      </c>
      <c r="AA1245" s="11" t="s">
        <v>43</v>
      </c>
      <c r="AB1245" s="11" t="s">
        <v>44</v>
      </c>
      <c r="AC1245" s="9" t="s">
        <v>44</v>
      </c>
    </row>
    <row r="1246" spans="1:29">
      <c r="A1246" s="10">
        <v>1239</v>
      </c>
      <c r="B1246" s="10" t="s">
        <v>1564</v>
      </c>
      <c r="C1246" s="10" t="s">
        <v>1538</v>
      </c>
      <c r="D1246" s="10" t="s">
        <v>655</v>
      </c>
      <c r="E1246" s="10" t="s">
        <v>70</v>
      </c>
      <c r="F1246" s="10" t="s">
        <v>35</v>
      </c>
      <c r="G1246" s="8" t="s">
        <v>52</v>
      </c>
      <c r="H1246" s="8" t="s">
        <v>37</v>
      </c>
      <c r="I1246" s="8" t="s">
        <v>38</v>
      </c>
      <c r="J1246" s="10">
        <v>140</v>
      </c>
      <c r="K1246" s="10" t="s">
        <v>226</v>
      </c>
      <c r="L1246" s="10" t="s">
        <v>55</v>
      </c>
      <c r="M1246" s="12">
        <v>1</v>
      </c>
      <c r="N1246" s="15">
        <v>9000.0</v>
      </c>
      <c r="O1246" s="15"/>
      <c r="P1246" s="17">
        <f>IF(N1246&gt;0, O1246/N1246, 0)</f>
        <v>0</v>
      </c>
      <c r="Q1246" s="15">
        <f>N1246-O1246</f>
        <v>9000</v>
      </c>
      <c r="R1246" s="15">
        <f>M1246*N1246</f>
        <v>9000</v>
      </c>
      <c r="S1246" s="15">
        <f>M1246*O1246</f>
        <v>0</v>
      </c>
      <c r="T1246" s="15">
        <f>M1246*Q1246</f>
        <v>9000</v>
      </c>
      <c r="U1246" s="15"/>
      <c r="V1246" s="15">
        <f>M1246*U1246</f>
        <v>0</v>
      </c>
      <c r="W1246" s="15">
        <f>T1246-V1246</f>
        <v>9000</v>
      </c>
      <c r="X1246" s="17">
        <f>IF(T1246&gt;0, W1246/T1246, 0)</f>
        <v>1</v>
      </c>
      <c r="Y1246" s="8" t="s">
        <v>41</v>
      </c>
      <c r="Z1246" s="10" t="s">
        <v>42</v>
      </c>
      <c r="AA1246" s="10" t="s">
        <v>73</v>
      </c>
      <c r="AB1246" s="10" t="s">
        <v>44</v>
      </c>
      <c r="AC1246" s="8" t="s">
        <v>44</v>
      </c>
    </row>
    <row r="1247" spans="1:29">
      <c r="A1247" s="11">
        <v>1240</v>
      </c>
      <c r="B1247" s="11" t="s">
        <v>1565</v>
      </c>
      <c r="C1247" s="11" t="s">
        <v>1538</v>
      </c>
      <c r="D1247" s="11" t="s">
        <v>655</v>
      </c>
      <c r="E1247" s="11" t="s">
        <v>34</v>
      </c>
      <c r="F1247" s="11" t="s">
        <v>35</v>
      </c>
      <c r="G1247" s="9" t="s">
        <v>52</v>
      </c>
      <c r="H1247" s="9" t="s">
        <v>71</v>
      </c>
      <c r="I1247" s="9" t="s">
        <v>71</v>
      </c>
      <c r="J1247" s="11">
        <v>134</v>
      </c>
      <c r="K1247" s="11" t="s">
        <v>212</v>
      </c>
      <c r="L1247" s="11" t="s">
        <v>40</v>
      </c>
      <c r="M1247" s="13">
        <v>1</v>
      </c>
      <c r="N1247" s="16">
        <v>17000.0</v>
      </c>
      <c r="O1247" s="16"/>
      <c r="P1247" s="18">
        <f>IF(N1247&gt;0, O1247/N1247, 0)</f>
        <v>0</v>
      </c>
      <c r="Q1247" s="16">
        <f>N1247-O1247</f>
        <v>17000</v>
      </c>
      <c r="R1247" s="16">
        <f>M1247*N1247</f>
        <v>17000</v>
      </c>
      <c r="S1247" s="16">
        <f>M1247*O1247</f>
        <v>0</v>
      </c>
      <c r="T1247" s="16">
        <f>M1247*Q1247</f>
        <v>17000</v>
      </c>
      <c r="U1247" s="16"/>
      <c r="V1247" s="16">
        <f>M1247*U1247</f>
        <v>0</v>
      </c>
      <c r="W1247" s="16">
        <f>T1247-V1247</f>
        <v>17000</v>
      </c>
      <c r="X1247" s="18">
        <f>IF(T1247&gt;0, W1247/T1247, 0)</f>
        <v>1</v>
      </c>
      <c r="Y1247" s="9" t="s">
        <v>41</v>
      </c>
      <c r="Z1247" s="11" t="s">
        <v>42</v>
      </c>
      <c r="AA1247" s="11" t="s">
        <v>43</v>
      </c>
      <c r="AB1247" s="11" t="s">
        <v>44</v>
      </c>
      <c r="AC1247" s="9" t="s">
        <v>44</v>
      </c>
    </row>
    <row r="1248" spans="1:29">
      <c r="A1248" s="10">
        <v>1241</v>
      </c>
      <c r="B1248" s="10" t="s">
        <v>1566</v>
      </c>
      <c r="C1248" s="10" t="s">
        <v>1538</v>
      </c>
      <c r="D1248" s="10" t="s">
        <v>655</v>
      </c>
      <c r="E1248" s="10" t="s">
        <v>34</v>
      </c>
      <c r="F1248" s="10" t="s">
        <v>35</v>
      </c>
      <c r="G1248" s="8" t="s">
        <v>52</v>
      </c>
      <c r="H1248" s="8" t="s">
        <v>37</v>
      </c>
      <c r="I1248" s="8" t="s">
        <v>38</v>
      </c>
      <c r="J1248" s="10">
        <v>140</v>
      </c>
      <c r="K1248" s="10" t="s">
        <v>226</v>
      </c>
      <c r="L1248" s="10" t="s">
        <v>55</v>
      </c>
      <c r="M1248" s="12">
        <v>1</v>
      </c>
      <c r="N1248" s="15">
        <v>7000.0</v>
      </c>
      <c r="O1248" s="15"/>
      <c r="P1248" s="17">
        <f>IF(N1248&gt;0, O1248/N1248, 0)</f>
        <v>0</v>
      </c>
      <c r="Q1248" s="15">
        <f>N1248-O1248</f>
        <v>7000</v>
      </c>
      <c r="R1248" s="15">
        <f>M1248*N1248</f>
        <v>7000</v>
      </c>
      <c r="S1248" s="15">
        <f>M1248*O1248</f>
        <v>0</v>
      </c>
      <c r="T1248" s="15">
        <f>M1248*Q1248</f>
        <v>7000</v>
      </c>
      <c r="U1248" s="15"/>
      <c r="V1248" s="15">
        <f>M1248*U1248</f>
        <v>0</v>
      </c>
      <c r="W1248" s="15">
        <f>T1248-V1248</f>
        <v>7000</v>
      </c>
      <c r="X1248" s="17">
        <f>IF(T1248&gt;0, W1248/T1248, 0)</f>
        <v>1</v>
      </c>
      <c r="Y1248" s="8" t="s">
        <v>41</v>
      </c>
      <c r="Z1248" s="10" t="s">
        <v>42</v>
      </c>
      <c r="AA1248" s="10" t="s">
        <v>43</v>
      </c>
      <c r="AB1248" s="10" t="s">
        <v>44</v>
      </c>
      <c r="AC1248" s="8" t="s">
        <v>44</v>
      </c>
    </row>
    <row r="1249" spans="1:29">
      <c r="A1249" s="11">
        <v>1242</v>
      </c>
      <c r="B1249" s="11" t="s">
        <v>1567</v>
      </c>
      <c r="C1249" s="11" t="s">
        <v>1538</v>
      </c>
      <c r="D1249" s="11" t="s">
        <v>655</v>
      </c>
      <c r="E1249" s="11" t="s">
        <v>34</v>
      </c>
      <c r="F1249" s="11" t="s">
        <v>35</v>
      </c>
      <c r="G1249" s="9" t="s">
        <v>52</v>
      </c>
      <c r="H1249" s="9" t="s">
        <v>53</v>
      </c>
      <c r="I1249" s="9" t="s">
        <v>53</v>
      </c>
      <c r="J1249" s="11">
        <v>134</v>
      </c>
      <c r="K1249" s="11" t="s">
        <v>178</v>
      </c>
      <c r="L1249" s="11" t="s">
        <v>55</v>
      </c>
      <c r="M1249" s="13">
        <v>1</v>
      </c>
      <c r="N1249" s="16">
        <v>8000.0</v>
      </c>
      <c r="O1249" s="16"/>
      <c r="P1249" s="18">
        <f>IF(N1249&gt;0, O1249/N1249, 0)</f>
        <v>0</v>
      </c>
      <c r="Q1249" s="16">
        <f>N1249-O1249</f>
        <v>8000</v>
      </c>
      <c r="R1249" s="16">
        <f>M1249*N1249</f>
        <v>8000</v>
      </c>
      <c r="S1249" s="16">
        <f>M1249*O1249</f>
        <v>0</v>
      </c>
      <c r="T1249" s="16">
        <f>M1249*Q1249</f>
        <v>8000</v>
      </c>
      <c r="U1249" s="16"/>
      <c r="V1249" s="16">
        <f>M1249*U1249</f>
        <v>0</v>
      </c>
      <c r="W1249" s="16">
        <f>T1249-V1249</f>
        <v>8000</v>
      </c>
      <c r="X1249" s="18">
        <f>IF(T1249&gt;0, W1249/T1249, 0)</f>
        <v>1</v>
      </c>
      <c r="Y1249" s="9" t="s">
        <v>41</v>
      </c>
      <c r="Z1249" s="11" t="s">
        <v>42</v>
      </c>
      <c r="AA1249" s="11" t="s">
        <v>43</v>
      </c>
      <c r="AB1249" s="11" t="s">
        <v>44</v>
      </c>
      <c r="AC1249" s="9" t="s">
        <v>44</v>
      </c>
    </row>
    <row r="1250" spans="1:29">
      <c r="A1250" s="10">
        <v>1243</v>
      </c>
      <c r="B1250" s="10" t="s">
        <v>1568</v>
      </c>
      <c r="C1250" s="10" t="s">
        <v>1538</v>
      </c>
      <c r="D1250" s="10" t="s">
        <v>655</v>
      </c>
      <c r="E1250" s="10" t="s">
        <v>70</v>
      </c>
      <c r="F1250" s="10" t="s">
        <v>35</v>
      </c>
      <c r="G1250" s="8" t="s">
        <v>52</v>
      </c>
      <c r="H1250" s="8" t="s">
        <v>65</v>
      </c>
      <c r="I1250" s="8" t="s">
        <v>151</v>
      </c>
      <c r="J1250" s="10">
        <v>122</v>
      </c>
      <c r="K1250" s="10" t="s">
        <v>244</v>
      </c>
      <c r="L1250" s="10" t="s">
        <v>40</v>
      </c>
      <c r="M1250" s="12">
        <v>1</v>
      </c>
      <c r="N1250" s="15">
        <v>10000.0</v>
      </c>
      <c r="O1250" s="15"/>
      <c r="P1250" s="17">
        <f>IF(N1250&gt;0, O1250/N1250, 0)</f>
        <v>0</v>
      </c>
      <c r="Q1250" s="15">
        <f>N1250-O1250</f>
        <v>10000</v>
      </c>
      <c r="R1250" s="15">
        <f>M1250*N1250</f>
        <v>10000</v>
      </c>
      <c r="S1250" s="15">
        <f>M1250*O1250</f>
        <v>0</v>
      </c>
      <c r="T1250" s="15">
        <f>M1250*Q1250</f>
        <v>10000</v>
      </c>
      <c r="U1250" s="15"/>
      <c r="V1250" s="15">
        <f>M1250*U1250</f>
        <v>0</v>
      </c>
      <c r="W1250" s="15">
        <f>T1250-V1250</f>
        <v>10000</v>
      </c>
      <c r="X1250" s="17">
        <f>IF(T1250&gt;0, W1250/T1250, 0)</f>
        <v>1</v>
      </c>
      <c r="Y1250" s="8" t="s">
        <v>41</v>
      </c>
      <c r="Z1250" s="10" t="s">
        <v>42</v>
      </c>
      <c r="AA1250" s="10" t="s">
        <v>73</v>
      </c>
      <c r="AB1250" s="10" t="s">
        <v>44</v>
      </c>
      <c r="AC1250" s="8" t="s">
        <v>44</v>
      </c>
    </row>
    <row r="1251" spans="1:29">
      <c r="A1251" s="11">
        <v>1244</v>
      </c>
      <c r="B1251" s="11" t="s">
        <v>1569</v>
      </c>
      <c r="C1251" s="11" t="s">
        <v>1538</v>
      </c>
      <c r="D1251" s="11" t="s">
        <v>655</v>
      </c>
      <c r="E1251" s="11" t="s">
        <v>34</v>
      </c>
      <c r="F1251" s="11" t="s">
        <v>35</v>
      </c>
      <c r="G1251" s="9" t="s">
        <v>52</v>
      </c>
      <c r="H1251" s="9" t="s">
        <v>53</v>
      </c>
      <c r="I1251" s="9" t="s">
        <v>53</v>
      </c>
      <c r="J1251" s="11">
        <v>122</v>
      </c>
      <c r="K1251" s="11" t="s">
        <v>84</v>
      </c>
      <c r="L1251" s="11" t="s">
        <v>55</v>
      </c>
      <c r="M1251" s="13">
        <v>1</v>
      </c>
      <c r="N1251" s="16">
        <v>9000.0</v>
      </c>
      <c r="O1251" s="16"/>
      <c r="P1251" s="18">
        <f>IF(N1251&gt;0, O1251/N1251, 0)</f>
        <v>0</v>
      </c>
      <c r="Q1251" s="16">
        <f>N1251-O1251</f>
        <v>9000</v>
      </c>
      <c r="R1251" s="16">
        <f>M1251*N1251</f>
        <v>9000</v>
      </c>
      <c r="S1251" s="16">
        <f>M1251*O1251</f>
        <v>0</v>
      </c>
      <c r="T1251" s="16">
        <f>M1251*Q1251</f>
        <v>9000</v>
      </c>
      <c r="U1251" s="16"/>
      <c r="V1251" s="16">
        <f>M1251*U1251</f>
        <v>0</v>
      </c>
      <c r="W1251" s="16">
        <f>T1251-V1251</f>
        <v>9000</v>
      </c>
      <c r="X1251" s="18">
        <f>IF(T1251&gt;0, W1251/T1251, 0)</f>
        <v>1</v>
      </c>
      <c r="Y1251" s="9" t="s">
        <v>41</v>
      </c>
      <c r="Z1251" s="11" t="s">
        <v>42</v>
      </c>
      <c r="AA1251" s="11" t="s">
        <v>43</v>
      </c>
      <c r="AB1251" s="11" t="s">
        <v>44</v>
      </c>
      <c r="AC1251" s="9" t="s">
        <v>44</v>
      </c>
    </row>
    <row r="1252" spans="1:29">
      <c r="A1252" s="10">
        <v>1245</v>
      </c>
      <c r="B1252" s="10" t="s">
        <v>1570</v>
      </c>
      <c r="C1252" s="10" t="s">
        <v>1538</v>
      </c>
      <c r="D1252" s="10" t="s">
        <v>655</v>
      </c>
      <c r="E1252" s="10" t="s">
        <v>70</v>
      </c>
      <c r="F1252" s="10" t="s">
        <v>35</v>
      </c>
      <c r="G1252" s="8" t="s">
        <v>52</v>
      </c>
      <c r="H1252" s="8" t="s">
        <v>37</v>
      </c>
      <c r="I1252" s="8" t="s">
        <v>38</v>
      </c>
      <c r="J1252" s="10">
        <v>122</v>
      </c>
      <c r="K1252" s="10" t="s">
        <v>107</v>
      </c>
      <c r="L1252" s="10" t="s">
        <v>55</v>
      </c>
      <c r="M1252" s="12">
        <v>1</v>
      </c>
      <c r="N1252" s="15">
        <v>9000.0</v>
      </c>
      <c r="O1252" s="15"/>
      <c r="P1252" s="17">
        <f>IF(N1252&gt;0, O1252/N1252, 0)</f>
        <v>0</v>
      </c>
      <c r="Q1252" s="15">
        <f>N1252-O1252</f>
        <v>9000</v>
      </c>
      <c r="R1252" s="15">
        <f>M1252*N1252</f>
        <v>9000</v>
      </c>
      <c r="S1252" s="15">
        <f>M1252*O1252</f>
        <v>0</v>
      </c>
      <c r="T1252" s="15">
        <f>M1252*Q1252</f>
        <v>9000</v>
      </c>
      <c r="U1252" s="15"/>
      <c r="V1252" s="15">
        <f>M1252*U1252</f>
        <v>0</v>
      </c>
      <c r="W1252" s="15">
        <f>T1252-V1252</f>
        <v>9000</v>
      </c>
      <c r="X1252" s="17">
        <f>IF(T1252&gt;0, W1252/T1252, 0)</f>
        <v>1</v>
      </c>
      <c r="Y1252" s="8" t="s">
        <v>41</v>
      </c>
      <c r="Z1252" s="10" t="s">
        <v>42</v>
      </c>
      <c r="AA1252" s="10" t="s">
        <v>73</v>
      </c>
      <c r="AB1252" s="10" t="s">
        <v>44</v>
      </c>
      <c r="AC1252" s="8" t="s">
        <v>44</v>
      </c>
    </row>
    <row r="1253" spans="1:29">
      <c r="A1253" s="11">
        <v>1246</v>
      </c>
      <c r="B1253" s="11" t="s">
        <v>1571</v>
      </c>
      <c r="C1253" s="11" t="s">
        <v>1538</v>
      </c>
      <c r="D1253" s="11" t="s">
        <v>655</v>
      </c>
      <c r="E1253" s="11" t="s">
        <v>34</v>
      </c>
      <c r="F1253" s="11" t="s">
        <v>35</v>
      </c>
      <c r="G1253" s="9" t="s">
        <v>52</v>
      </c>
      <c r="H1253" s="9" t="s">
        <v>65</v>
      </c>
      <c r="I1253" s="9" t="s">
        <v>151</v>
      </c>
      <c r="J1253" s="11">
        <v>122</v>
      </c>
      <c r="K1253" s="11" t="s">
        <v>244</v>
      </c>
      <c r="L1253" s="11" t="s">
        <v>40</v>
      </c>
      <c r="M1253" s="13">
        <v>1</v>
      </c>
      <c r="N1253" s="16">
        <v>9000.0</v>
      </c>
      <c r="O1253" s="16"/>
      <c r="P1253" s="18">
        <f>IF(N1253&gt;0, O1253/N1253, 0)</f>
        <v>0</v>
      </c>
      <c r="Q1253" s="16">
        <f>N1253-O1253</f>
        <v>9000</v>
      </c>
      <c r="R1253" s="16">
        <f>M1253*N1253</f>
        <v>9000</v>
      </c>
      <c r="S1253" s="16">
        <f>M1253*O1253</f>
        <v>0</v>
      </c>
      <c r="T1253" s="16">
        <f>M1253*Q1253</f>
        <v>9000</v>
      </c>
      <c r="U1253" s="16"/>
      <c r="V1253" s="16">
        <f>M1253*U1253</f>
        <v>0</v>
      </c>
      <c r="W1253" s="16">
        <f>T1253-V1253</f>
        <v>9000</v>
      </c>
      <c r="X1253" s="18">
        <f>IF(T1253&gt;0, W1253/T1253, 0)</f>
        <v>1</v>
      </c>
      <c r="Y1253" s="9" t="s">
        <v>41</v>
      </c>
      <c r="Z1253" s="11" t="s">
        <v>42</v>
      </c>
      <c r="AA1253" s="11" t="s">
        <v>43</v>
      </c>
      <c r="AB1253" s="11" t="s">
        <v>44</v>
      </c>
      <c r="AC1253" s="9" t="s">
        <v>44</v>
      </c>
    </row>
    <row r="1254" spans="1:29">
      <c r="A1254" s="10">
        <v>1247</v>
      </c>
      <c r="B1254" s="10" t="s">
        <v>1572</v>
      </c>
      <c r="C1254" s="10" t="s">
        <v>1538</v>
      </c>
      <c r="D1254" s="10" t="s">
        <v>655</v>
      </c>
      <c r="E1254" s="10" t="s">
        <v>34</v>
      </c>
      <c r="F1254" s="10" t="s">
        <v>35</v>
      </c>
      <c r="G1254" s="8" t="s">
        <v>52</v>
      </c>
      <c r="H1254" s="8" t="s">
        <v>37</v>
      </c>
      <c r="I1254" s="8" t="s">
        <v>38</v>
      </c>
      <c r="J1254" s="10">
        <v>134</v>
      </c>
      <c r="K1254" s="10" t="s">
        <v>180</v>
      </c>
      <c r="L1254" s="10" t="s">
        <v>55</v>
      </c>
      <c r="M1254" s="12">
        <v>1</v>
      </c>
      <c r="N1254" s="15">
        <v>7000.0</v>
      </c>
      <c r="O1254" s="15"/>
      <c r="P1254" s="17">
        <f>IF(N1254&gt;0, O1254/N1254, 0)</f>
        <v>0</v>
      </c>
      <c r="Q1254" s="15">
        <f>N1254-O1254</f>
        <v>7000</v>
      </c>
      <c r="R1254" s="15">
        <f>M1254*N1254</f>
        <v>7000</v>
      </c>
      <c r="S1254" s="15">
        <f>M1254*O1254</f>
        <v>0</v>
      </c>
      <c r="T1254" s="15">
        <f>M1254*Q1254</f>
        <v>7000</v>
      </c>
      <c r="U1254" s="15"/>
      <c r="V1254" s="15">
        <f>M1254*U1254</f>
        <v>0</v>
      </c>
      <c r="W1254" s="15">
        <f>T1254-V1254</f>
        <v>7000</v>
      </c>
      <c r="X1254" s="17">
        <f>IF(T1254&gt;0, W1254/T1254, 0)</f>
        <v>1</v>
      </c>
      <c r="Y1254" s="8" t="s">
        <v>41</v>
      </c>
      <c r="Z1254" s="10" t="s">
        <v>42</v>
      </c>
      <c r="AA1254" s="10" t="s">
        <v>43</v>
      </c>
      <c r="AB1254" s="10" t="s">
        <v>44</v>
      </c>
      <c r="AC1254" s="8" t="s">
        <v>44</v>
      </c>
    </row>
    <row r="1255" spans="1:29">
      <c r="A1255" s="11">
        <v>1248</v>
      </c>
      <c r="B1255" s="11" t="s">
        <v>1573</v>
      </c>
      <c r="C1255" s="11" t="s">
        <v>1538</v>
      </c>
      <c r="D1255" s="11" t="s">
        <v>655</v>
      </c>
      <c r="E1255" s="11" t="s">
        <v>34</v>
      </c>
      <c r="F1255" s="11" t="s">
        <v>35</v>
      </c>
      <c r="G1255" s="9" t="s">
        <v>52</v>
      </c>
      <c r="H1255" s="9" t="s">
        <v>53</v>
      </c>
      <c r="I1255" s="9" t="s">
        <v>53</v>
      </c>
      <c r="J1255" s="11">
        <v>134</v>
      </c>
      <c r="K1255" s="11" t="s">
        <v>178</v>
      </c>
      <c r="L1255" s="11" t="s">
        <v>55</v>
      </c>
      <c r="M1255" s="13">
        <v>1</v>
      </c>
      <c r="N1255" s="16">
        <v>8000.0</v>
      </c>
      <c r="O1255" s="16"/>
      <c r="P1255" s="18">
        <f>IF(N1255&gt;0, O1255/N1255, 0)</f>
        <v>0</v>
      </c>
      <c r="Q1255" s="16">
        <f>N1255-O1255</f>
        <v>8000</v>
      </c>
      <c r="R1255" s="16">
        <f>M1255*N1255</f>
        <v>8000</v>
      </c>
      <c r="S1255" s="16">
        <f>M1255*O1255</f>
        <v>0</v>
      </c>
      <c r="T1255" s="16">
        <f>M1255*Q1255</f>
        <v>8000</v>
      </c>
      <c r="U1255" s="16"/>
      <c r="V1255" s="16">
        <f>M1255*U1255</f>
        <v>0</v>
      </c>
      <c r="W1255" s="16">
        <f>T1255-V1255</f>
        <v>8000</v>
      </c>
      <c r="X1255" s="18">
        <f>IF(T1255&gt;0, W1255/T1255, 0)</f>
        <v>1</v>
      </c>
      <c r="Y1255" s="9" t="s">
        <v>41</v>
      </c>
      <c r="Z1255" s="11" t="s">
        <v>42</v>
      </c>
      <c r="AA1255" s="11" t="s">
        <v>43</v>
      </c>
      <c r="AB1255" s="11" t="s">
        <v>44</v>
      </c>
      <c r="AC1255" s="9" t="s">
        <v>44</v>
      </c>
    </row>
    <row r="1256" spans="1:29">
      <c r="A1256" s="10">
        <v>1249</v>
      </c>
      <c r="B1256" s="10" t="s">
        <v>1574</v>
      </c>
      <c r="C1256" s="10" t="s">
        <v>1538</v>
      </c>
      <c r="D1256" s="10" t="s">
        <v>655</v>
      </c>
      <c r="E1256" s="10" t="s">
        <v>34</v>
      </c>
      <c r="F1256" s="10" t="s">
        <v>35</v>
      </c>
      <c r="G1256" s="8" t="s">
        <v>52</v>
      </c>
      <c r="H1256" s="8" t="s">
        <v>37</v>
      </c>
      <c r="I1256" s="8" t="s">
        <v>38</v>
      </c>
      <c r="J1256" s="10">
        <v>140</v>
      </c>
      <c r="K1256" s="10" t="s">
        <v>226</v>
      </c>
      <c r="L1256" s="10" t="s">
        <v>55</v>
      </c>
      <c r="M1256" s="12">
        <v>2</v>
      </c>
      <c r="N1256" s="15">
        <v>7000.0</v>
      </c>
      <c r="O1256" s="15"/>
      <c r="P1256" s="17">
        <f>IF(N1256&gt;0, O1256/N1256, 0)</f>
        <v>0</v>
      </c>
      <c r="Q1256" s="15">
        <f>N1256-O1256</f>
        <v>7000</v>
      </c>
      <c r="R1256" s="15">
        <f>M1256*N1256</f>
        <v>14000</v>
      </c>
      <c r="S1256" s="15">
        <f>M1256*O1256</f>
        <v>0</v>
      </c>
      <c r="T1256" s="15">
        <f>M1256*Q1256</f>
        <v>14000</v>
      </c>
      <c r="U1256" s="15"/>
      <c r="V1256" s="15">
        <f>M1256*U1256</f>
        <v>0</v>
      </c>
      <c r="W1256" s="15">
        <f>T1256-V1256</f>
        <v>14000</v>
      </c>
      <c r="X1256" s="17">
        <f>IF(T1256&gt;0, W1256/T1256, 0)</f>
        <v>1</v>
      </c>
      <c r="Y1256" s="8" t="s">
        <v>41</v>
      </c>
      <c r="Z1256" s="10" t="s">
        <v>42</v>
      </c>
      <c r="AA1256" s="10" t="s">
        <v>43</v>
      </c>
      <c r="AB1256" s="10" t="s">
        <v>44</v>
      </c>
      <c r="AC1256" s="8" t="s">
        <v>44</v>
      </c>
    </row>
    <row r="1257" spans="1:29">
      <c r="A1257" s="11">
        <v>1250</v>
      </c>
      <c r="B1257" s="11" t="s">
        <v>1575</v>
      </c>
      <c r="C1257" s="11" t="s">
        <v>1538</v>
      </c>
      <c r="D1257" s="11" t="s">
        <v>655</v>
      </c>
      <c r="E1257" s="11" t="s">
        <v>34</v>
      </c>
      <c r="F1257" s="11" t="s">
        <v>35</v>
      </c>
      <c r="G1257" s="9" t="s">
        <v>52</v>
      </c>
      <c r="H1257" s="9" t="s">
        <v>47</v>
      </c>
      <c r="I1257" s="9" t="s">
        <v>48</v>
      </c>
      <c r="J1257" s="11">
        <v>140</v>
      </c>
      <c r="K1257" s="11" t="s">
        <v>417</v>
      </c>
      <c r="L1257" s="11" t="s">
        <v>40</v>
      </c>
      <c r="M1257" s="13">
        <v>1</v>
      </c>
      <c r="N1257" s="16">
        <v>18000.0</v>
      </c>
      <c r="O1257" s="16"/>
      <c r="P1257" s="18">
        <f>IF(N1257&gt;0, O1257/N1257, 0)</f>
        <v>0</v>
      </c>
      <c r="Q1257" s="16">
        <f>N1257-O1257</f>
        <v>18000</v>
      </c>
      <c r="R1257" s="16">
        <f>M1257*N1257</f>
        <v>18000</v>
      </c>
      <c r="S1257" s="16">
        <f>M1257*O1257</f>
        <v>0</v>
      </c>
      <c r="T1257" s="16">
        <f>M1257*Q1257</f>
        <v>18000</v>
      </c>
      <c r="U1257" s="16"/>
      <c r="V1257" s="16">
        <f>M1257*U1257</f>
        <v>0</v>
      </c>
      <c r="W1257" s="16">
        <f>T1257-V1257</f>
        <v>18000</v>
      </c>
      <c r="X1257" s="18">
        <f>IF(T1257&gt;0, W1257/T1257, 0)</f>
        <v>1</v>
      </c>
      <c r="Y1257" s="9" t="s">
        <v>41</v>
      </c>
      <c r="Z1257" s="11" t="s">
        <v>42</v>
      </c>
      <c r="AA1257" s="11" t="s">
        <v>43</v>
      </c>
      <c r="AB1257" s="11" t="s">
        <v>44</v>
      </c>
      <c r="AC1257" s="9" t="s">
        <v>44</v>
      </c>
    </row>
    <row r="1258" spans="1:29">
      <c r="A1258" s="10">
        <v>1251</v>
      </c>
      <c r="B1258" s="10" t="s">
        <v>1576</v>
      </c>
      <c r="C1258" s="10" t="s">
        <v>1538</v>
      </c>
      <c r="D1258" s="10" t="s">
        <v>655</v>
      </c>
      <c r="E1258" s="10" t="s">
        <v>34</v>
      </c>
      <c r="F1258" s="10" t="s">
        <v>35</v>
      </c>
      <c r="G1258" s="8" t="s">
        <v>52</v>
      </c>
      <c r="H1258" s="8" t="s">
        <v>47</v>
      </c>
      <c r="I1258" s="8" t="s">
        <v>48</v>
      </c>
      <c r="J1258" s="10">
        <v>122</v>
      </c>
      <c r="K1258" s="10" t="s">
        <v>479</v>
      </c>
      <c r="L1258" s="10" t="s">
        <v>40</v>
      </c>
      <c r="M1258" s="12">
        <v>1</v>
      </c>
      <c r="N1258" s="15">
        <v>18000.0</v>
      </c>
      <c r="O1258" s="15"/>
      <c r="P1258" s="17">
        <f>IF(N1258&gt;0, O1258/N1258, 0)</f>
        <v>0</v>
      </c>
      <c r="Q1258" s="15">
        <f>N1258-O1258</f>
        <v>18000</v>
      </c>
      <c r="R1258" s="15">
        <f>M1258*N1258</f>
        <v>18000</v>
      </c>
      <c r="S1258" s="15">
        <f>M1258*O1258</f>
        <v>0</v>
      </c>
      <c r="T1258" s="15">
        <f>M1258*Q1258</f>
        <v>18000</v>
      </c>
      <c r="U1258" s="15"/>
      <c r="V1258" s="15">
        <f>M1258*U1258</f>
        <v>0</v>
      </c>
      <c r="W1258" s="15">
        <f>T1258-V1258</f>
        <v>18000</v>
      </c>
      <c r="X1258" s="17">
        <f>IF(T1258&gt;0, W1258/T1258, 0)</f>
        <v>1</v>
      </c>
      <c r="Y1258" s="8" t="s">
        <v>41</v>
      </c>
      <c r="Z1258" s="10" t="s">
        <v>42</v>
      </c>
      <c r="AA1258" s="10" t="s">
        <v>43</v>
      </c>
      <c r="AB1258" s="10" t="s">
        <v>44</v>
      </c>
      <c r="AC1258" s="8" t="s">
        <v>44</v>
      </c>
    </row>
    <row r="1259" spans="1:29">
      <c r="A1259" s="11">
        <v>1252</v>
      </c>
      <c r="B1259" s="11" t="s">
        <v>1577</v>
      </c>
      <c r="C1259" s="11" t="s">
        <v>1538</v>
      </c>
      <c r="D1259" s="11" t="s">
        <v>655</v>
      </c>
      <c r="E1259" s="11" t="s">
        <v>34</v>
      </c>
      <c r="F1259" s="11" t="s">
        <v>35</v>
      </c>
      <c r="G1259" s="9" t="s">
        <v>52</v>
      </c>
      <c r="H1259" s="9" t="s">
        <v>47</v>
      </c>
      <c r="I1259" s="9" t="s">
        <v>48</v>
      </c>
      <c r="J1259" s="11">
        <v>146</v>
      </c>
      <c r="K1259" s="11" t="s">
        <v>142</v>
      </c>
      <c r="L1259" s="11" t="s">
        <v>40</v>
      </c>
      <c r="M1259" s="13">
        <v>1</v>
      </c>
      <c r="N1259" s="16">
        <v>18000.0</v>
      </c>
      <c r="O1259" s="16"/>
      <c r="P1259" s="18">
        <f>IF(N1259&gt;0, O1259/N1259, 0)</f>
        <v>0</v>
      </c>
      <c r="Q1259" s="16">
        <f>N1259-O1259</f>
        <v>18000</v>
      </c>
      <c r="R1259" s="16">
        <f>M1259*N1259</f>
        <v>18000</v>
      </c>
      <c r="S1259" s="16">
        <f>M1259*O1259</f>
        <v>0</v>
      </c>
      <c r="T1259" s="16">
        <f>M1259*Q1259</f>
        <v>18000</v>
      </c>
      <c r="U1259" s="16"/>
      <c r="V1259" s="16">
        <f>M1259*U1259</f>
        <v>0</v>
      </c>
      <c r="W1259" s="16">
        <f>T1259-V1259</f>
        <v>18000</v>
      </c>
      <c r="X1259" s="18">
        <f>IF(T1259&gt;0, W1259/T1259, 0)</f>
        <v>1</v>
      </c>
      <c r="Y1259" s="9" t="s">
        <v>41</v>
      </c>
      <c r="Z1259" s="11" t="s">
        <v>42</v>
      </c>
      <c r="AA1259" s="11" t="s">
        <v>43</v>
      </c>
      <c r="AB1259" s="11" t="s">
        <v>44</v>
      </c>
      <c r="AC1259" s="9" t="s">
        <v>44</v>
      </c>
    </row>
    <row r="1260" spans="1:29">
      <c r="A1260" s="10">
        <v>1253</v>
      </c>
      <c r="B1260" s="10" t="s">
        <v>1578</v>
      </c>
      <c r="C1260" s="10" t="s">
        <v>1538</v>
      </c>
      <c r="D1260" s="10" t="s">
        <v>655</v>
      </c>
      <c r="E1260" s="10" t="s">
        <v>34</v>
      </c>
      <c r="F1260" s="10" t="s">
        <v>35</v>
      </c>
      <c r="G1260" s="8" t="s">
        <v>52</v>
      </c>
      <c r="H1260" s="8" t="s">
        <v>53</v>
      </c>
      <c r="I1260" s="8" t="s">
        <v>53</v>
      </c>
      <c r="J1260" s="10">
        <v>146</v>
      </c>
      <c r="K1260" s="10" t="s">
        <v>257</v>
      </c>
      <c r="L1260" s="10" t="s">
        <v>55</v>
      </c>
      <c r="M1260" s="12">
        <v>1</v>
      </c>
      <c r="N1260" s="15">
        <v>8000.0</v>
      </c>
      <c r="O1260" s="15"/>
      <c r="P1260" s="17">
        <f>IF(N1260&gt;0, O1260/N1260, 0)</f>
        <v>0</v>
      </c>
      <c r="Q1260" s="15">
        <f>N1260-O1260</f>
        <v>8000</v>
      </c>
      <c r="R1260" s="15">
        <f>M1260*N1260</f>
        <v>8000</v>
      </c>
      <c r="S1260" s="15">
        <f>M1260*O1260</f>
        <v>0</v>
      </c>
      <c r="T1260" s="15">
        <f>M1260*Q1260</f>
        <v>8000</v>
      </c>
      <c r="U1260" s="15"/>
      <c r="V1260" s="15">
        <f>M1260*U1260</f>
        <v>0</v>
      </c>
      <c r="W1260" s="15">
        <f>T1260-V1260</f>
        <v>8000</v>
      </c>
      <c r="X1260" s="17">
        <f>IF(T1260&gt;0, W1260/T1260, 0)</f>
        <v>1</v>
      </c>
      <c r="Y1260" s="8" t="s">
        <v>41</v>
      </c>
      <c r="Z1260" s="10" t="s">
        <v>42</v>
      </c>
      <c r="AA1260" s="10" t="s">
        <v>43</v>
      </c>
      <c r="AB1260" s="10" t="s">
        <v>44</v>
      </c>
      <c r="AC1260" s="8" t="s">
        <v>44</v>
      </c>
    </row>
    <row r="1261" spans="1:29">
      <c r="A1261" s="11">
        <v>1254</v>
      </c>
      <c r="B1261" s="11" t="s">
        <v>1579</v>
      </c>
      <c r="C1261" s="11" t="s">
        <v>1538</v>
      </c>
      <c r="D1261" s="11" t="s">
        <v>655</v>
      </c>
      <c r="E1261" s="11" t="s">
        <v>34</v>
      </c>
      <c r="F1261" s="11" t="s">
        <v>35</v>
      </c>
      <c r="G1261" s="9" t="s">
        <v>52</v>
      </c>
      <c r="H1261" s="9" t="s">
        <v>37</v>
      </c>
      <c r="I1261" s="9" t="s">
        <v>38</v>
      </c>
      <c r="J1261" s="11">
        <v>146</v>
      </c>
      <c r="K1261" s="11" t="s">
        <v>260</v>
      </c>
      <c r="L1261" s="11" t="s">
        <v>55</v>
      </c>
      <c r="M1261" s="13">
        <v>2</v>
      </c>
      <c r="N1261" s="16">
        <v>7000.0</v>
      </c>
      <c r="O1261" s="16"/>
      <c r="P1261" s="18">
        <f>IF(N1261&gt;0, O1261/N1261, 0)</f>
        <v>0</v>
      </c>
      <c r="Q1261" s="16">
        <f>N1261-O1261</f>
        <v>7000</v>
      </c>
      <c r="R1261" s="16">
        <f>M1261*N1261</f>
        <v>14000</v>
      </c>
      <c r="S1261" s="16">
        <f>M1261*O1261</f>
        <v>0</v>
      </c>
      <c r="T1261" s="16">
        <f>M1261*Q1261</f>
        <v>14000</v>
      </c>
      <c r="U1261" s="16"/>
      <c r="V1261" s="16">
        <f>M1261*U1261</f>
        <v>0</v>
      </c>
      <c r="W1261" s="16">
        <f>T1261-V1261</f>
        <v>14000</v>
      </c>
      <c r="X1261" s="18">
        <f>IF(T1261&gt;0, W1261/T1261, 0)</f>
        <v>1</v>
      </c>
      <c r="Y1261" s="9" t="s">
        <v>41</v>
      </c>
      <c r="Z1261" s="11" t="s">
        <v>42</v>
      </c>
      <c r="AA1261" s="11" t="s">
        <v>43</v>
      </c>
      <c r="AB1261" s="11" t="s">
        <v>44</v>
      </c>
      <c r="AC1261" s="9" t="s">
        <v>44</v>
      </c>
    </row>
    <row r="1262" spans="1:29">
      <c r="A1262" s="10">
        <v>1255</v>
      </c>
      <c r="B1262" s="10" t="s">
        <v>1580</v>
      </c>
      <c r="C1262" s="10" t="s">
        <v>1581</v>
      </c>
      <c r="D1262" s="10" t="s">
        <v>655</v>
      </c>
      <c r="E1262" s="10" t="s">
        <v>34</v>
      </c>
      <c r="F1262" s="10" t="s">
        <v>35</v>
      </c>
      <c r="G1262" s="8" t="s">
        <v>52</v>
      </c>
      <c r="H1262" s="8" t="s">
        <v>58</v>
      </c>
      <c r="I1262" s="8" t="s">
        <v>58</v>
      </c>
      <c r="J1262" s="10">
        <v>122</v>
      </c>
      <c r="K1262" s="10" t="s">
        <v>115</v>
      </c>
      <c r="L1262" s="10" t="s">
        <v>40</v>
      </c>
      <c r="M1262" s="12">
        <v>2</v>
      </c>
      <c r="N1262" s="15">
        <v>8000.0</v>
      </c>
      <c r="O1262" s="15"/>
      <c r="P1262" s="17">
        <f>IF(N1262&gt;0, O1262/N1262, 0)</f>
        <v>0</v>
      </c>
      <c r="Q1262" s="15">
        <f>N1262-O1262</f>
        <v>8000</v>
      </c>
      <c r="R1262" s="15">
        <f>M1262*N1262</f>
        <v>16000</v>
      </c>
      <c r="S1262" s="15">
        <f>M1262*O1262</f>
        <v>0</v>
      </c>
      <c r="T1262" s="15">
        <f>M1262*Q1262</f>
        <v>16000</v>
      </c>
      <c r="U1262" s="15"/>
      <c r="V1262" s="15">
        <f>M1262*U1262</f>
        <v>0</v>
      </c>
      <c r="W1262" s="15">
        <f>T1262-V1262</f>
        <v>16000</v>
      </c>
      <c r="X1262" s="17">
        <f>IF(T1262&gt;0, W1262/T1262, 0)</f>
        <v>1</v>
      </c>
      <c r="Y1262" s="8" t="s">
        <v>41</v>
      </c>
      <c r="Z1262" s="10" t="s">
        <v>42</v>
      </c>
      <c r="AA1262" s="10" t="s">
        <v>43</v>
      </c>
      <c r="AB1262" s="10" t="s">
        <v>44</v>
      </c>
      <c r="AC1262" s="8" t="s">
        <v>44</v>
      </c>
    </row>
    <row r="1263" spans="1:29">
      <c r="A1263" s="11">
        <v>1256</v>
      </c>
      <c r="B1263" s="11" t="s">
        <v>1582</v>
      </c>
      <c r="C1263" s="11" t="s">
        <v>1581</v>
      </c>
      <c r="D1263" s="11" t="s">
        <v>655</v>
      </c>
      <c r="E1263" s="11" t="s">
        <v>70</v>
      </c>
      <c r="F1263" s="11" t="s">
        <v>35</v>
      </c>
      <c r="G1263" s="9" t="s">
        <v>52</v>
      </c>
      <c r="H1263" s="9" t="s">
        <v>53</v>
      </c>
      <c r="I1263" s="9" t="s">
        <v>53</v>
      </c>
      <c r="J1263" s="11">
        <v>116</v>
      </c>
      <c r="K1263" s="11" t="s">
        <v>467</v>
      </c>
      <c r="L1263" s="11" t="s">
        <v>55</v>
      </c>
      <c r="M1263" s="13">
        <v>1</v>
      </c>
      <c r="N1263" s="16">
        <v>9000.0</v>
      </c>
      <c r="O1263" s="16"/>
      <c r="P1263" s="18">
        <f>IF(N1263&gt;0, O1263/N1263, 0)</f>
        <v>0</v>
      </c>
      <c r="Q1263" s="16">
        <f>N1263-O1263</f>
        <v>9000</v>
      </c>
      <c r="R1263" s="16">
        <f>M1263*N1263</f>
        <v>9000</v>
      </c>
      <c r="S1263" s="16">
        <f>M1263*O1263</f>
        <v>0</v>
      </c>
      <c r="T1263" s="16">
        <f>M1263*Q1263</f>
        <v>9000</v>
      </c>
      <c r="U1263" s="16"/>
      <c r="V1263" s="16">
        <f>M1263*U1263</f>
        <v>0</v>
      </c>
      <c r="W1263" s="16">
        <f>T1263-V1263</f>
        <v>9000</v>
      </c>
      <c r="X1263" s="18">
        <f>IF(T1263&gt;0, W1263/T1263, 0)</f>
        <v>1</v>
      </c>
      <c r="Y1263" s="9" t="s">
        <v>41</v>
      </c>
      <c r="Z1263" s="11" t="s">
        <v>42</v>
      </c>
      <c r="AA1263" s="11" t="s">
        <v>73</v>
      </c>
      <c r="AB1263" s="11" t="s">
        <v>44</v>
      </c>
      <c r="AC1263" s="9" t="s">
        <v>44</v>
      </c>
    </row>
    <row r="1264" spans="1:29">
      <c r="A1264" s="10">
        <v>1257</v>
      </c>
      <c r="B1264" s="10" t="s">
        <v>1583</v>
      </c>
      <c r="C1264" s="10" t="s">
        <v>1581</v>
      </c>
      <c r="D1264" s="10" t="s">
        <v>655</v>
      </c>
      <c r="E1264" s="10" t="s">
        <v>34</v>
      </c>
      <c r="F1264" s="10" t="s">
        <v>35</v>
      </c>
      <c r="G1264" s="8" t="s">
        <v>52</v>
      </c>
      <c r="H1264" s="8" t="s">
        <v>47</v>
      </c>
      <c r="I1264" s="8" t="s">
        <v>48</v>
      </c>
      <c r="J1264" s="10">
        <v>140</v>
      </c>
      <c r="K1264" s="10" t="s">
        <v>417</v>
      </c>
      <c r="L1264" s="10" t="s">
        <v>40</v>
      </c>
      <c r="M1264" s="12">
        <v>1</v>
      </c>
      <c r="N1264" s="15">
        <v>18000.0</v>
      </c>
      <c r="O1264" s="15"/>
      <c r="P1264" s="17">
        <f>IF(N1264&gt;0, O1264/N1264, 0)</f>
        <v>0</v>
      </c>
      <c r="Q1264" s="15">
        <f>N1264-O1264</f>
        <v>18000</v>
      </c>
      <c r="R1264" s="15">
        <f>M1264*N1264</f>
        <v>18000</v>
      </c>
      <c r="S1264" s="15">
        <f>M1264*O1264</f>
        <v>0</v>
      </c>
      <c r="T1264" s="15">
        <f>M1264*Q1264</f>
        <v>18000</v>
      </c>
      <c r="U1264" s="15"/>
      <c r="V1264" s="15">
        <f>M1264*U1264</f>
        <v>0</v>
      </c>
      <c r="W1264" s="15">
        <f>T1264-V1264</f>
        <v>18000</v>
      </c>
      <c r="X1264" s="17">
        <f>IF(T1264&gt;0, W1264/T1264, 0)</f>
        <v>1</v>
      </c>
      <c r="Y1264" s="8" t="s">
        <v>41</v>
      </c>
      <c r="Z1264" s="10" t="s">
        <v>42</v>
      </c>
      <c r="AA1264" s="10" t="s">
        <v>43</v>
      </c>
      <c r="AB1264" s="10" t="s">
        <v>44</v>
      </c>
      <c r="AC1264" s="8" t="s">
        <v>44</v>
      </c>
    </row>
    <row r="1265" spans="1:29">
      <c r="A1265" s="11">
        <v>1258</v>
      </c>
      <c r="B1265" s="11" t="s">
        <v>1584</v>
      </c>
      <c r="C1265" s="11" t="s">
        <v>1581</v>
      </c>
      <c r="D1265" s="11" t="s">
        <v>655</v>
      </c>
      <c r="E1265" s="11" t="s">
        <v>34</v>
      </c>
      <c r="F1265" s="11" t="s">
        <v>35</v>
      </c>
      <c r="G1265" s="9" t="s">
        <v>52</v>
      </c>
      <c r="H1265" s="9" t="s">
        <v>53</v>
      </c>
      <c r="I1265" s="9" t="s">
        <v>53</v>
      </c>
      <c r="J1265" s="11">
        <v>134</v>
      </c>
      <c r="K1265" s="11" t="s">
        <v>178</v>
      </c>
      <c r="L1265" s="11" t="s">
        <v>55</v>
      </c>
      <c r="M1265" s="13">
        <v>2</v>
      </c>
      <c r="N1265" s="16">
        <v>8000.0</v>
      </c>
      <c r="O1265" s="16"/>
      <c r="P1265" s="18">
        <f>IF(N1265&gt;0, O1265/N1265, 0)</f>
        <v>0</v>
      </c>
      <c r="Q1265" s="16">
        <f>N1265-O1265</f>
        <v>8000</v>
      </c>
      <c r="R1265" s="16">
        <f>M1265*N1265</f>
        <v>16000</v>
      </c>
      <c r="S1265" s="16">
        <f>M1265*O1265</f>
        <v>0</v>
      </c>
      <c r="T1265" s="16">
        <f>M1265*Q1265</f>
        <v>16000</v>
      </c>
      <c r="U1265" s="16"/>
      <c r="V1265" s="16">
        <f>M1265*U1265</f>
        <v>0</v>
      </c>
      <c r="W1265" s="16">
        <f>T1265-V1265</f>
        <v>16000</v>
      </c>
      <c r="X1265" s="18">
        <f>IF(T1265&gt;0, W1265/T1265, 0)</f>
        <v>1</v>
      </c>
      <c r="Y1265" s="9" t="s">
        <v>41</v>
      </c>
      <c r="Z1265" s="11" t="s">
        <v>42</v>
      </c>
      <c r="AA1265" s="11" t="s">
        <v>43</v>
      </c>
      <c r="AB1265" s="11" t="s">
        <v>44</v>
      </c>
      <c r="AC1265" s="9" t="s">
        <v>44</v>
      </c>
    </row>
    <row r="1266" spans="1:29">
      <c r="A1266" s="10">
        <v>1259</v>
      </c>
      <c r="B1266" s="10" t="s">
        <v>1585</v>
      </c>
      <c r="C1266" s="10" t="s">
        <v>1581</v>
      </c>
      <c r="D1266" s="10" t="s">
        <v>655</v>
      </c>
      <c r="E1266" s="10" t="s">
        <v>34</v>
      </c>
      <c r="F1266" s="10" t="s">
        <v>35</v>
      </c>
      <c r="G1266" s="8" t="s">
        <v>52</v>
      </c>
      <c r="H1266" s="8" t="s">
        <v>65</v>
      </c>
      <c r="I1266" s="8" t="s">
        <v>151</v>
      </c>
      <c r="J1266" s="10">
        <v>122</v>
      </c>
      <c r="K1266" s="10" t="s">
        <v>244</v>
      </c>
      <c r="L1266" s="10" t="s">
        <v>40</v>
      </c>
      <c r="M1266" s="12">
        <v>2</v>
      </c>
      <c r="N1266" s="15">
        <v>9000.0</v>
      </c>
      <c r="O1266" s="15"/>
      <c r="P1266" s="17">
        <f>IF(N1266&gt;0, O1266/N1266, 0)</f>
        <v>0</v>
      </c>
      <c r="Q1266" s="15">
        <f>N1266-O1266</f>
        <v>9000</v>
      </c>
      <c r="R1266" s="15">
        <f>M1266*N1266</f>
        <v>18000</v>
      </c>
      <c r="S1266" s="15">
        <f>M1266*O1266</f>
        <v>0</v>
      </c>
      <c r="T1266" s="15">
        <f>M1266*Q1266</f>
        <v>18000</v>
      </c>
      <c r="U1266" s="15"/>
      <c r="V1266" s="15">
        <f>M1266*U1266</f>
        <v>0</v>
      </c>
      <c r="W1266" s="15">
        <f>T1266-V1266</f>
        <v>18000</v>
      </c>
      <c r="X1266" s="17">
        <f>IF(T1266&gt;0, W1266/T1266, 0)</f>
        <v>1</v>
      </c>
      <c r="Y1266" s="8" t="s">
        <v>41</v>
      </c>
      <c r="Z1266" s="10" t="s">
        <v>42</v>
      </c>
      <c r="AA1266" s="10" t="s">
        <v>43</v>
      </c>
      <c r="AB1266" s="10" t="s">
        <v>44</v>
      </c>
      <c r="AC1266" s="8" t="s">
        <v>44</v>
      </c>
    </row>
    <row r="1267" spans="1:29">
      <c r="A1267" s="11">
        <v>1260</v>
      </c>
      <c r="B1267" s="11" t="s">
        <v>1586</v>
      </c>
      <c r="C1267" s="11" t="s">
        <v>1581</v>
      </c>
      <c r="D1267" s="11" t="s">
        <v>655</v>
      </c>
      <c r="E1267" s="11" t="s">
        <v>34</v>
      </c>
      <c r="F1267" s="11" t="s">
        <v>35</v>
      </c>
      <c r="G1267" s="9" t="s">
        <v>52</v>
      </c>
      <c r="H1267" s="9" t="s">
        <v>37</v>
      </c>
      <c r="I1267" s="9" t="s">
        <v>75</v>
      </c>
      <c r="J1267" s="11">
        <v>128</v>
      </c>
      <c r="K1267" s="11" t="s">
        <v>188</v>
      </c>
      <c r="L1267" s="11" t="s">
        <v>55</v>
      </c>
      <c r="M1267" s="13">
        <v>3</v>
      </c>
      <c r="N1267" s="16">
        <v>8000.0</v>
      </c>
      <c r="O1267" s="16"/>
      <c r="P1267" s="18">
        <f>IF(N1267&gt;0, O1267/N1267, 0)</f>
        <v>0</v>
      </c>
      <c r="Q1267" s="16">
        <f>N1267-O1267</f>
        <v>8000</v>
      </c>
      <c r="R1267" s="16">
        <f>M1267*N1267</f>
        <v>24000</v>
      </c>
      <c r="S1267" s="16">
        <f>M1267*O1267</f>
        <v>0</v>
      </c>
      <c r="T1267" s="16">
        <f>M1267*Q1267</f>
        <v>24000</v>
      </c>
      <c r="U1267" s="16"/>
      <c r="V1267" s="16">
        <f>M1267*U1267</f>
        <v>0</v>
      </c>
      <c r="W1267" s="16">
        <f>T1267-V1267</f>
        <v>24000</v>
      </c>
      <c r="X1267" s="18">
        <f>IF(T1267&gt;0, W1267/T1267, 0)</f>
        <v>1</v>
      </c>
      <c r="Y1267" s="9" t="s">
        <v>41</v>
      </c>
      <c r="Z1267" s="11" t="s">
        <v>42</v>
      </c>
      <c r="AA1267" s="11" t="s">
        <v>43</v>
      </c>
      <c r="AB1267" s="11" t="s">
        <v>44</v>
      </c>
      <c r="AC1267" s="9" t="s">
        <v>44</v>
      </c>
    </row>
    <row r="1268" spans="1:29">
      <c r="A1268" s="10">
        <v>1261</v>
      </c>
      <c r="B1268" s="10" t="s">
        <v>1587</v>
      </c>
      <c r="C1268" s="10" t="s">
        <v>1581</v>
      </c>
      <c r="D1268" s="10" t="s">
        <v>655</v>
      </c>
      <c r="E1268" s="10" t="s">
        <v>34</v>
      </c>
      <c r="F1268" s="10" t="s">
        <v>35</v>
      </c>
      <c r="G1268" s="8" t="s">
        <v>52</v>
      </c>
      <c r="H1268" s="8" t="s">
        <v>37</v>
      </c>
      <c r="I1268" s="8" t="s">
        <v>38</v>
      </c>
      <c r="J1268" s="10">
        <v>134</v>
      </c>
      <c r="K1268" s="10" t="s">
        <v>180</v>
      </c>
      <c r="L1268" s="10" t="s">
        <v>55</v>
      </c>
      <c r="M1268" s="12">
        <v>4</v>
      </c>
      <c r="N1268" s="15">
        <v>7000.0</v>
      </c>
      <c r="O1268" s="15"/>
      <c r="P1268" s="17">
        <f>IF(N1268&gt;0, O1268/N1268, 0)</f>
        <v>0</v>
      </c>
      <c r="Q1268" s="15">
        <f>N1268-O1268</f>
        <v>7000</v>
      </c>
      <c r="R1268" s="15">
        <f>M1268*N1268</f>
        <v>28000</v>
      </c>
      <c r="S1268" s="15">
        <f>M1268*O1268</f>
        <v>0</v>
      </c>
      <c r="T1268" s="15">
        <f>M1268*Q1268</f>
        <v>28000</v>
      </c>
      <c r="U1268" s="15"/>
      <c r="V1268" s="15">
        <f>M1268*U1268</f>
        <v>0</v>
      </c>
      <c r="W1268" s="15">
        <f>T1268-V1268</f>
        <v>28000</v>
      </c>
      <c r="X1268" s="17">
        <f>IF(T1268&gt;0, W1268/T1268, 0)</f>
        <v>1</v>
      </c>
      <c r="Y1268" s="8" t="s">
        <v>41</v>
      </c>
      <c r="Z1268" s="10" t="s">
        <v>42</v>
      </c>
      <c r="AA1268" s="10" t="s">
        <v>43</v>
      </c>
      <c r="AB1268" s="10" t="s">
        <v>44</v>
      </c>
      <c r="AC1268" s="8" t="s">
        <v>44</v>
      </c>
    </row>
    <row r="1269" spans="1:29">
      <c r="A1269" s="11">
        <v>1262</v>
      </c>
      <c r="B1269" s="11" t="s">
        <v>1588</v>
      </c>
      <c r="C1269" s="11" t="s">
        <v>1581</v>
      </c>
      <c r="D1269" s="11" t="s">
        <v>655</v>
      </c>
      <c r="E1269" s="11" t="s">
        <v>34</v>
      </c>
      <c r="F1269" s="11" t="s">
        <v>35</v>
      </c>
      <c r="G1269" s="9" t="s">
        <v>52</v>
      </c>
      <c r="H1269" s="9" t="s">
        <v>47</v>
      </c>
      <c r="I1269" s="9" t="s">
        <v>48</v>
      </c>
      <c r="J1269" s="11">
        <v>116</v>
      </c>
      <c r="K1269" s="11" t="s">
        <v>597</v>
      </c>
      <c r="L1269" s="11" t="s">
        <v>40</v>
      </c>
      <c r="M1269" s="13">
        <v>1</v>
      </c>
      <c r="N1269" s="16">
        <v>18000.0</v>
      </c>
      <c r="O1269" s="16"/>
      <c r="P1269" s="18">
        <f>IF(N1269&gt;0, O1269/N1269, 0)</f>
        <v>0</v>
      </c>
      <c r="Q1269" s="16">
        <f>N1269-O1269</f>
        <v>18000</v>
      </c>
      <c r="R1269" s="16">
        <f>M1269*N1269</f>
        <v>18000</v>
      </c>
      <c r="S1269" s="16">
        <f>M1269*O1269</f>
        <v>0</v>
      </c>
      <c r="T1269" s="16">
        <f>M1269*Q1269</f>
        <v>18000</v>
      </c>
      <c r="U1269" s="16"/>
      <c r="V1269" s="16">
        <f>M1269*U1269</f>
        <v>0</v>
      </c>
      <c r="W1269" s="16">
        <f>T1269-V1269</f>
        <v>18000</v>
      </c>
      <c r="X1269" s="18">
        <f>IF(T1269&gt;0, W1269/T1269, 0)</f>
        <v>1</v>
      </c>
      <c r="Y1269" s="9" t="s">
        <v>41</v>
      </c>
      <c r="Z1269" s="11" t="s">
        <v>42</v>
      </c>
      <c r="AA1269" s="11" t="s">
        <v>43</v>
      </c>
      <c r="AB1269" s="11" t="s">
        <v>44</v>
      </c>
      <c r="AC1269" s="9" t="s">
        <v>44</v>
      </c>
    </row>
    <row r="1270" spans="1:29">
      <c r="A1270" s="10">
        <v>1263</v>
      </c>
      <c r="B1270" s="10" t="s">
        <v>1589</v>
      </c>
      <c r="C1270" s="10" t="s">
        <v>1581</v>
      </c>
      <c r="D1270" s="10" t="s">
        <v>655</v>
      </c>
      <c r="E1270" s="10" t="s">
        <v>34</v>
      </c>
      <c r="F1270" s="10" t="s">
        <v>35</v>
      </c>
      <c r="G1270" s="8" t="s">
        <v>52</v>
      </c>
      <c r="H1270" s="8" t="s">
        <v>53</v>
      </c>
      <c r="I1270" s="8" t="s">
        <v>53</v>
      </c>
      <c r="J1270" s="10">
        <v>116</v>
      </c>
      <c r="K1270" s="10" t="s">
        <v>467</v>
      </c>
      <c r="L1270" s="10" t="s">
        <v>55</v>
      </c>
      <c r="M1270" s="12">
        <v>1</v>
      </c>
      <c r="N1270" s="15">
        <v>8000.0</v>
      </c>
      <c r="O1270" s="15"/>
      <c r="P1270" s="17">
        <f>IF(N1270&gt;0, O1270/N1270, 0)</f>
        <v>0</v>
      </c>
      <c r="Q1270" s="15">
        <f>N1270-O1270</f>
        <v>8000</v>
      </c>
      <c r="R1270" s="15">
        <f>M1270*N1270</f>
        <v>8000</v>
      </c>
      <c r="S1270" s="15">
        <f>M1270*O1270</f>
        <v>0</v>
      </c>
      <c r="T1270" s="15">
        <f>M1270*Q1270</f>
        <v>8000</v>
      </c>
      <c r="U1270" s="15"/>
      <c r="V1270" s="15">
        <f>M1270*U1270</f>
        <v>0</v>
      </c>
      <c r="W1270" s="15">
        <f>T1270-V1270</f>
        <v>8000</v>
      </c>
      <c r="X1270" s="17">
        <f>IF(T1270&gt;0, W1270/T1270, 0)</f>
        <v>1</v>
      </c>
      <c r="Y1270" s="8" t="s">
        <v>41</v>
      </c>
      <c r="Z1270" s="10" t="s">
        <v>42</v>
      </c>
      <c r="AA1270" s="10" t="s">
        <v>43</v>
      </c>
      <c r="AB1270" s="10" t="s">
        <v>44</v>
      </c>
      <c r="AC1270" s="8" t="s">
        <v>44</v>
      </c>
    </row>
    <row r="1271" spans="1:29">
      <c r="A1271" s="11">
        <v>1264</v>
      </c>
      <c r="B1271" s="11" t="s">
        <v>1590</v>
      </c>
      <c r="C1271" s="11" t="s">
        <v>1581</v>
      </c>
      <c r="D1271" s="11" t="s">
        <v>655</v>
      </c>
      <c r="E1271" s="11" t="s">
        <v>34</v>
      </c>
      <c r="F1271" s="11" t="s">
        <v>35</v>
      </c>
      <c r="G1271" s="9" t="s">
        <v>52</v>
      </c>
      <c r="H1271" s="9" t="s">
        <v>58</v>
      </c>
      <c r="I1271" s="9" t="s">
        <v>58</v>
      </c>
      <c r="J1271" s="11">
        <v>110</v>
      </c>
      <c r="K1271" s="11" t="s">
        <v>961</v>
      </c>
      <c r="L1271" s="11" t="s">
        <v>40</v>
      </c>
      <c r="M1271" s="13">
        <v>1</v>
      </c>
      <c r="N1271" s="16">
        <v>7000.0</v>
      </c>
      <c r="O1271" s="16"/>
      <c r="P1271" s="18">
        <f>IF(N1271&gt;0, O1271/N1271, 0)</f>
        <v>0</v>
      </c>
      <c r="Q1271" s="16">
        <f>N1271-O1271</f>
        <v>7000</v>
      </c>
      <c r="R1271" s="16">
        <f>M1271*N1271</f>
        <v>7000</v>
      </c>
      <c r="S1271" s="16">
        <f>M1271*O1271</f>
        <v>0</v>
      </c>
      <c r="T1271" s="16">
        <f>M1271*Q1271</f>
        <v>7000</v>
      </c>
      <c r="U1271" s="16"/>
      <c r="V1271" s="16">
        <f>M1271*U1271</f>
        <v>0</v>
      </c>
      <c r="W1271" s="16">
        <f>T1271-V1271</f>
        <v>7000</v>
      </c>
      <c r="X1271" s="18">
        <f>IF(T1271&gt;0, W1271/T1271, 0)</f>
        <v>1</v>
      </c>
      <c r="Y1271" s="9" t="s">
        <v>41</v>
      </c>
      <c r="Z1271" s="11" t="s">
        <v>42</v>
      </c>
      <c r="AA1271" s="11" t="s">
        <v>43</v>
      </c>
      <c r="AB1271" s="11" t="s">
        <v>44</v>
      </c>
      <c r="AC1271" s="9" t="s">
        <v>44</v>
      </c>
    </row>
    <row r="1272" spans="1:29">
      <c r="A1272" s="10">
        <v>1265</v>
      </c>
      <c r="B1272" s="10" t="s">
        <v>1591</v>
      </c>
      <c r="C1272" s="10" t="s">
        <v>1581</v>
      </c>
      <c r="D1272" s="10" t="s">
        <v>655</v>
      </c>
      <c r="E1272" s="10" t="s">
        <v>34</v>
      </c>
      <c r="F1272" s="10" t="s">
        <v>35</v>
      </c>
      <c r="G1272" s="8" t="s">
        <v>52</v>
      </c>
      <c r="H1272" s="8" t="s">
        <v>71</v>
      </c>
      <c r="I1272" s="8" t="s">
        <v>71</v>
      </c>
      <c r="J1272" s="10">
        <v>116</v>
      </c>
      <c r="K1272" s="10" t="s">
        <v>89</v>
      </c>
      <c r="L1272" s="10" t="s">
        <v>40</v>
      </c>
      <c r="M1272" s="12">
        <v>1</v>
      </c>
      <c r="N1272" s="15">
        <v>16000.0</v>
      </c>
      <c r="O1272" s="15"/>
      <c r="P1272" s="17">
        <f>IF(N1272&gt;0, O1272/N1272, 0)</f>
        <v>0</v>
      </c>
      <c r="Q1272" s="15">
        <f>N1272-O1272</f>
        <v>16000</v>
      </c>
      <c r="R1272" s="15">
        <f>M1272*N1272</f>
        <v>16000</v>
      </c>
      <c r="S1272" s="15">
        <f>M1272*O1272</f>
        <v>0</v>
      </c>
      <c r="T1272" s="15">
        <f>M1272*Q1272</f>
        <v>16000</v>
      </c>
      <c r="U1272" s="15"/>
      <c r="V1272" s="15">
        <f>M1272*U1272</f>
        <v>0</v>
      </c>
      <c r="W1272" s="15">
        <f>T1272-V1272</f>
        <v>16000</v>
      </c>
      <c r="X1272" s="17">
        <f>IF(T1272&gt;0, W1272/T1272, 0)</f>
        <v>1</v>
      </c>
      <c r="Y1272" s="8" t="s">
        <v>41</v>
      </c>
      <c r="Z1272" s="10" t="s">
        <v>42</v>
      </c>
      <c r="AA1272" s="10" t="s">
        <v>43</v>
      </c>
      <c r="AB1272" s="10" t="s">
        <v>44</v>
      </c>
      <c r="AC1272" s="8" t="s">
        <v>44</v>
      </c>
    </row>
    <row r="1273" spans="1:29">
      <c r="A1273" s="11">
        <v>1266</v>
      </c>
      <c r="B1273" s="11" t="s">
        <v>1592</v>
      </c>
      <c r="C1273" s="11" t="s">
        <v>1581</v>
      </c>
      <c r="D1273" s="11" t="s">
        <v>655</v>
      </c>
      <c r="E1273" s="11" t="s">
        <v>34</v>
      </c>
      <c r="F1273" s="11" t="s">
        <v>35</v>
      </c>
      <c r="G1273" s="9" t="s">
        <v>52</v>
      </c>
      <c r="H1273" s="9" t="s">
        <v>65</v>
      </c>
      <c r="I1273" s="9" t="s">
        <v>151</v>
      </c>
      <c r="J1273" s="11">
        <v>116</v>
      </c>
      <c r="K1273" s="11" t="s">
        <v>1258</v>
      </c>
      <c r="L1273" s="11" t="s">
        <v>40</v>
      </c>
      <c r="M1273" s="13">
        <v>1</v>
      </c>
      <c r="N1273" s="16">
        <v>9000.0</v>
      </c>
      <c r="O1273" s="16"/>
      <c r="P1273" s="18">
        <f>IF(N1273&gt;0, O1273/N1273, 0)</f>
        <v>0</v>
      </c>
      <c r="Q1273" s="16">
        <f>N1273-O1273</f>
        <v>9000</v>
      </c>
      <c r="R1273" s="16">
        <f>M1273*N1273</f>
        <v>9000</v>
      </c>
      <c r="S1273" s="16">
        <f>M1273*O1273</f>
        <v>0</v>
      </c>
      <c r="T1273" s="16">
        <f>M1273*Q1273</f>
        <v>9000</v>
      </c>
      <c r="U1273" s="16"/>
      <c r="V1273" s="16">
        <f>M1273*U1273</f>
        <v>0</v>
      </c>
      <c r="W1273" s="16">
        <f>T1273-V1273</f>
        <v>9000</v>
      </c>
      <c r="X1273" s="18">
        <f>IF(T1273&gt;0, W1273/T1273, 0)</f>
        <v>1</v>
      </c>
      <c r="Y1273" s="9" t="s">
        <v>41</v>
      </c>
      <c r="Z1273" s="11" t="s">
        <v>42</v>
      </c>
      <c r="AA1273" s="11" t="s">
        <v>43</v>
      </c>
      <c r="AB1273" s="11" t="s">
        <v>44</v>
      </c>
      <c r="AC1273" s="9" t="s">
        <v>44</v>
      </c>
    </row>
    <row r="1274" spans="1:29">
      <c r="A1274" s="10">
        <v>1267</v>
      </c>
      <c r="B1274" s="10" t="s">
        <v>1593</v>
      </c>
      <c r="C1274" s="10" t="s">
        <v>1581</v>
      </c>
      <c r="D1274" s="10" t="s">
        <v>655</v>
      </c>
      <c r="E1274" s="10" t="s">
        <v>34</v>
      </c>
      <c r="F1274" s="10" t="s">
        <v>35</v>
      </c>
      <c r="G1274" s="8" t="s">
        <v>52</v>
      </c>
      <c r="H1274" s="8" t="s">
        <v>37</v>
      </c>
      <c r="I1274" s="8" t="s">
        <v>75</v>
      </c>
      <c r="J1274" s="10">
        <v>116</v>
      </c>
      <c r="K1274" s="10" t="s">
        <v>91</v>
      </c>
      <c r="L1274" s="10" t="s">
        <v>55</v>
      </c>
      <c r="M1274" s="12">
        <v>4</v>
      </c>
      <c r="N1274" s="15">
        <v>8000.0</v>
      </c>
      <c r="O1274" s="15"/>
      <c r="P1274" s="17">
        <f>IF(N1274&gt;0, O1274/N1274, 0)</f>
        <v>0</v>
      </c>
      <c r="Q1274" s="15">
        <f>N1274-O1274</f>
        <v>8000</v>
      </c>
      <c r="R1274" s="15">
        <f>M1274*N1274</f>
        <v>32000</v>
      </c>
      <c r="S1274" s="15">
        <f>M1274*O1274</f>
        <v>0</v>
      </c>
      <c r="T1274" s="15">
        <f>M1274*Q1274</f>
        <v>32000</v>
      </c>
      <c r="U1274" s="15"/>
      <c r="V1274" s="15">
        <f>M1274*U1274</f>
        <v>0</v>
      </c>
      <c r="W1274" s="15">
        <f>T1274-V1274</f>
        <v>32000</v>
      </c>
      <c r="X1274" s="17">
        <f>IF(T1274&gt;0, W1274/T1274, 0)</f>
        <v>1</v>
      </c>
      <c r="Y1274" s="8" t="s">
        <v>41</v>
      </c>
      <c r="Z1274" s="10" t="s">
        <v>42</v>
      </c>
      <c r="AA1274" s="10" t="s">
        <v>43</v>
      </c>
      <c r="AB1274" s="10" t="s">
        <v>44</v>
      </c>
      <c r="AC1274" s="8" t="s">
        <v>44</v>
      </c>
    </row>
    <row r="1275" spans="1:29">
      <c r="A1275" s="11">
        <v>1268</v>
      </c>
      <c r="B1275" s="11" t="s">
        <v>1594</v>
      </c>
      <c r="C1275" s="11" t="s">
        <v>1581</v>
      </c>
      <c r="D1275" s="11" t="s">
        <v>655</v>
      </c>
      <c r="E1275" s="11" t="s">
        <v>34</v>
      </c>
      <c r="F1275" s="11" t="s">
        <v>35</v>
      </c>
      <c r="G1275" s="9" t="s">
        <v>52</v>
      </c>
      <c r="H1275" s="9" t="s">
        <v>37</v>
      </c>
      <c r="I1275" s="9" t="s">
        <v>38</v>
      </c>
      <c r="J1275" s="11">
        <v>116</v>
      </c>
      <c r="K1275" s="11" t="s">
        <v>94</v>
      </c>
      <c r="L1275" s="11" t="s">
        <v>55</v>
      </c>
      <c r="M1275" s="13">
        <v>2</v>
      </c>
      <c r="N1275" s="16">
        <v>7000.0</v>
      </c>
      <c r="O1275" s="16"/>
      <c r="P1275" s="18">
        <f>IF(N1275&gt;0, O1275/N1275, 0)</f>
        <v>0</v>
      </c>
      <c r="Q1275" s="16">
        <f>N1275-O1275</f>
        <v>7000</v>
      </c>
      <c r="R1275" s="16">
        <f>M1275*N1275</f>
        <v>14000</v>
      </c>
      <c r="S1275" s="16">
        <f>M1275*O1275</f>
        <v>0</v>
      </c>
      <c r="T1275" s="16">
        <f>M1275*Q1275</f>
        <v>14000</v>
      </c>
      <c r="U1275" s="16"/>
      <c r="V1275" s="16">
        <f>M1275*U1275</f>
        <v>0</v>
      </c>
      <c r="W1275" s="16">
        <f>T1275-V1275</f>
        <v>14000</v>
      </c>
      <c r="X1275" s="18">
        <f>IF(T1275&gt;0, W1275/T1275, 0)</f>
        <v>1</v>
      </c>
      <c r="Y1275" s="9" t="s">
        <v>41</v>
      </c>
      <c r="Z1275" s="11" t="s">
        <v>42</v>
      </c>
      <c r="AA1275" s="11" t="s">
        <v>43</v>
      </c>
      <c r="AB1275" s="11" t="s">
        <v>44</v>
      </c>
      <c r="AC1275" s="9" t="s">
        <v>44</v>
      </c>
    </row>
    <row r="1276" spans="1:29">
      <c r="A1276" s="10">
        <v>1269</v>
      </c>
      <c r="B1276" s="10" t="s">
        <v>1595</v>
      </c>
      <c r="C1276" s="10" t="s">
        <v>1581</v>
      </c>
      <c r="D1276" s="10" t="s">
        <v>655</v>
      </c>
      <c r="E1276" s="10" t="s">
        <v>70</v>
      </c>
      <c r="F1276" s="10" t="s">
        <v>35</v>
      </c>
      <c r="G1276" s="8" t="s">
        <v>52</v>
      </c>
      <c r="H1276" s="8" t="s">
        <v>65</v>
      </c>
      <c r="I1276" s="8" t="s">
        <v>151</v>
      </c>
      <c r="J1276" s="10">
        <v>146</v>
      </c>
      <c r="K1276" s="10" t="s">
        <v>170</v>
      </c>
      <c r="L1276" s="10" t="s">
        <v>40</v>
      </c>
      <c r="M1276" s="12">
        <v>1</v>
      </c>
      <c r="N1276" s="15">
        <v>10000.0</v>
      </c>
      <c r="O1276" s="15"/>
      <c r="P1276" s="17">
        <f>IF(N1276&gt;0, O1276/N1276, 0)</f>
        <v>0</v>
      </c>
      <c r="Q1276" s="15">
        <f>N1276-O1276</f>
        <v>10000</v>
      </c>
      <c r="R1276" s="15">
        <f>M1276*N1276</f>
        <v>10000</v>
      </c>
      <c r="S1276" s="15">
        <f>M1276*O1276</f>
        <v>0</v>
      </c>
      <c r="T1276" s="15">
        <f>M1276*Q1276</f>
        <v>10000</v>
      </c>
      <c r="U1276" s="15"/>
      <c r="V1276" s="15">
        <f>M1276*U1276</f>
        <v>0</v>
      </c>
      <c r="W1276" s="15">
        <f>T1276-V1276</f>
        <v>10000</v>
      </c>
      <c r="X1276" s="17">
        <f>IF(T1276&gt;0, W1276/T1276, 0)</f>
        <v>1</v>
      </c>
      <c r="Y1276" s="8" t="s">
        <v>41</v>
      </c>
      <c r="Z1276" s="10" t="s">
        <v>42</v>
      </c>
      <c r="AA1276" s="10" t="s">
        <v>73</v>
      </c>
      <c r="AB1276" s="10" t="s">
        <v>44</v>
      </c>
      <c r="AC1276" s="8" t="s">
        <v>44</v>
      </c>
    </row>
    <row r="1277" spans="1:29">
      <c r="A1277" s="11">
        <v>1270</v>
      </c>
      <c r="B1277" s="11" t="s">
        <v>1596</v>
      </c>
      <c r="C1277" s="11" t="s">
        <v>1581</v>
      </c>
      <c r="D1277" s="11" t="s">
        <v>655</v>
      </c>
      <c r="E1277" s="11" t="s">
        <v>34</v>
      </c>
      <c r="F1277" s="11" t="s">
        <v>35</v>
      </c>
      <c r="G1277" s="9" t="s">
        <v>36</v>
      </c>
      <c r="H1277" s="9" t="s">
        <v>47</v>
      </c>
      <c r="I1277" s="9" t="s">
        <v>48</v>
      </c>
      <c r="J1277" s="11">
        <v>176</v>
      </c>
      <c r="K1277" s="11" t="s">
        <v>427</v>
      </c>
      <c r="L1277" s="11" t="s">
        <v>40</v>
      </c>
      <c r="M1277" s="13">
        <v>1</v>
      </c>
      <c r="N1277" s="16">
        <v>18000.0</v>
      </c>
      <c r="O1277" s="16"/>
      <c r="P1277" s="18">
        <f>IF(N1277&gt;0, O1277/N1277, 0)</f>
        <v>0</v>
      </c>
      <c r="Q1277" s="16">
        <f>N1277-O1277</f>
        <v>18000</v>
      </c>
      <c r="R1277" s="16">
        <f>M1277*N1277</f>
        <v>18000</v>
      </c>
      <c r="S1277" s="16">
        <f>M1277*O1277</f>
        <v>0</v>
      </c>
      <c r="T1277" s="16">
        <f>M1277*Q1277</f>
        <v>18000</v>
      </c>
      <c r="U1277" s="16"/>
      <c r="V1277" s="16">
        <f>M1277*U1277</f>
        <v>0</v>
      </c>
      <c r="W1277" s="16">
        <f>T1277-V1277</f>
        <v>18000</v>
      </c>
      <c r="X1277" s="18">
        <f>IF(T1277&gt;0, W1277/T1277, 0)</f>
        <v>1</v>
      </c>
      <c r="Y1277" s="9" t="s">
        <v>41</v>
      </c>
      <c r="Z1277" s="11" t="s">
        <v>42</v>
      </c>
      <c r="AA1277" s="11" t="s">
        <v>43</v>
      </c>
      <c r="AB1277" s="11" t="s">
        <v>44</v>
      </c>
      <c r="AC1277" s="9" t="s">
        <v>44</v>
      </c>
    </row>
    <row r="1278" spans="1:29">
      <c r="A1278" s="10">
        <v>1271</v>
      </c>
      <c r="B1278" s="10" t="s">
        <v>1597</v>
      </c>
      <c r="C1278" s="10" t="s">
        <v>1581</v>
      </c>
      <c r="D1278" s="10" t="s">
        <v>655</v>
      </c>
      <c r="E1278" s="10" t="s">
        <v>34</v>
      </c>
      <c r="F1278" s="10" t="s">
        <v>35</v>
      </c>
      <c r="G1278" s="8" t="s">
        <v>36</v>
      </c>
      <c r="H1278" s="8" t="s">
        <v>58</v>
      </c>
      <c r="I1278" s="8" t="s">
        <v>58</v>
      </c>
      <c r="J1278" s="10">
        <v>170</v>
      </c>
      <c r="K1278" s="10" t="s">
        <v>215</v>
      </c>
      <c r="L1278" s="10" t="s">
        <v>40</v>
      </c>
      <c r="M1278" s="12">
        <v>1</v>
      </c>
      <c r="N1278" s="15">
        <v>7500.0</v>
      </c>
      <c r="O1278" s="15"/>
      <c r="P1278" s="17">
        <f>IF(N1278&gt;0, O1278/N1278, 0)</f>
        <v>0</v>
      </c>
      <c r="Q1278" s="15">
        <f>N1278-O1278</f>
        <v>7500</v>
      </c>
      <c r="R1278" s="15">
        <f>M1278*N1278</f>
        <v>7500</v>
      </c>
      <c r="S1278" s="15">
        <f>M1278*O1278</f>
        <v>0</v>
      </c>
      <c r="T1278" s="15">
        <f>M1278*Q1278</f>
        <v>7500</v>
      </c>
      <c r="U1278" s="15"/>
      <c r="V1278" s="15">
        <f>M1278*U1278</f>
        <v>0</v>
      </c>
      <c r="W1278" s="15">
        <f>T1278-V1278</f>
        <v>7500</v>
      </c>
      <c r="X1278" s="17">
        <f>IF(T1278&gt;0, W1278/T1278, 0)</f>
        <v>1</v>
      </c>
      <c r="Y1278" s="8" t="s">
        <v>41</v>
      </c>
      <c r="Z1278" s="10" t="s">
        <v>42</v>
      </c>
      <c r="AA1278" s="10" t="s">
        <v>43</v>
      </c>
      <c r="AB1278" s="10" t="s">
        <v>44</v>
      </c>
      <c r="AC1278" s="8" t="s">
        <v>44</v>
      </c>
    </row>
    <row r="1279" spans="1:29">
      <c r="A1279" s="11">
        <v>1272</v>
      </c>
      <c r="B1279" s="11" t="s">
        <v>1598</v>
      </c>
      <c r="C1279" s="11" t="s">
        <v>1581</v>
      </c>
      <c r="D1279" s="11" t="s">
        <v>655</v>
      </c>
      <c r="E1279" s="11" t="s">
        <v>34</v>
      </c>
      <c r="F1279" s="11" t="s">
        <v>35</v>
      </c>
      <c r="G1279" s="9" t="s">
        <v>36</v>
      </c>
      <c r="H1279" s="9" t="s">
        <v>53</v>
      </c>
      <c r="I1279" s="9" t="s">
        <v>53</v>
      </c>
      <c r="J1279" s="11">
        <v>176</v>
      </c>
      <c r="K1279" s="11" t="s">
        <v>421</v>
      </c>
      <c r="L1279" s="11" t="s">
        <v>40</v>
      </c>
      <c r="M1279" s="13">
        <v>1</v>
      </c>
      <c r="N1279" s="16">
        <v>8500.0</v>
      </c>
      <c r="O1279" s="16"/>
      <c r="P1279" s="18">
        <f>IF(N1279&gt;0, O1279/N1279, 0)</f>
        <v>0</v>
      </c>
      <c r="Q1279" s="16">
        <f>N1279-O1279</f>
        <v>8500</v>
      </c>
      <c r="R1279" s="16">
        <f>M1279*N1279</f>
        <v>8500</v>
      </c>
      <c r="S1279" s="16">
        <f>M1279*O1279</f>
        <v>0</v>
      </c>
      <c r="T1279" s="16">
        <f>M1279*Q1279</f>
        <v>8500</v>
      </c>
      <c r="U1279" s="16"/>
      <c r="V1279" s="16">
        <f>M1279*U1279</f>
        <v>0</v>
      </c>
      <c r="W1279" s="16">
        <f>T1279-V1279</f>
        <v>8500</v>
      </c>
      <c r="X1279" s="18">
        <f>IF(T1279&gt;0, W1279/T1279, 0)</f>
        <v>1</v>
      </c>
      <c r="Y1279" s="9" t="s">
        <v>41</v>
      </c>
      <c r="Z1279" s="11" t="s">
        <v>42</v>
      </c>
      <c r="AA1279" s="11" t="s">
        <v>43</v>
      </c>
      <c r="AB1279" s="11" t="s">
        <v>44</v>
      </c>
      <c r="AC1279" s="9" t="s">
        <v>44</v>
      </c>
    </row>
    <row r="1280" spans="1:29">
      <c r="A1280" s="10">
        <v>1273</v>
      </c>
      <c r="B1280" s="10" t="s">
        <v>1599</v>
      </c>
      <c r="C1280" s="10" t="s">
        <v>1581</v>
      </c>
      <c r="D1280" s="10" t="s">
        <v>655</v>
      </c>
      <c r="E1280" s="10" t="s">
        <v>34</v>
      </c>
      <c r="F1280" s="10" t="s">
        <v>35</v>
      </c>
      <c r="G1280" s="8" t="s">
        <v>36</v>
      </c>
      <c r="H1280" s="8" t="s">
        <v>37</v>
      </c>
      <c r="I1280" s="8" t="s">
        <v>38</v>
      </c>
      <c r="J1280" s="10">
        <v>176</v>
      </c>
      <c r="K1280" s="10" t="s">
        <v>355</v>
      </c>
      <c r="L1280" s="10" t="s">
        <v>40</v>
      </c>
      <c r="M1280" s="12">
        <v>1</v>
      </c>
      <c r="N1280" s="15">
        <v>8000.0</v>
      </c>
      <c r="O1280" s="15"/>
      <c r="P1280" s="17">
        <f>IF(N1280&gt;0, O1280/N1280, 0)</f>
        <v>0</v>
      </c>
      <c r="Q1280" s="15">
        <f>N1280-O1280</f>
        <v>8000</v>
      </c>
      <c r="R1280" s="15">
        <f>M1280*N1280</f>
        <v>8000</v>
      </c>
      <c r="S1280" s="15">
        <f>M1280*O1280</f>
        <v>0</v>
      </c>
      <c r="T1280" s="15">
        <f>M1280*Q1280</f>
        <v>8000</v>
      </c>
      <c r="U1280" s="15"/>
      <c r="V1280" s="15">
        <f>M1280*U1280</f>
        <v>0</v>
      </c>
      <c r="W1280" s="15">
        <f>T1280-V1280</f>
        <v>8000</v>
      </c>
      <c r="X1280" s="17">
        <f>IF(T1280&gt;0, W1280/T1280, 0)</f>
        <v>1</v>
      </c>
      <c r="Y1280" s="8" t="s">
        <v>41</v>
      </c>
      <c r="Z1280" s="10" t="s">
        <v>42</v>
      </c>
      <c r="AA1280" s="10" t="s">
        <v>43</v>
      </c>
      <c r="AB1280" s="10" t="s">
        <v>44</v>
      </c>
      <c r="AC1280" s="8" t="s">
        <v>44</v>
      </c>
    </row>
    <row r="1281" spans="1:29">
      <c r="A1281" s="11">
        <v>1274</v>
      </c>
      <c r="B1281" s="11" t="s">
        <v>1600</v>
      </c>
      <c r="C1281" s="11" t="s">
        <v>1581</v>
      </c>
      <c r="D1281" s="11" t="s">
        <v>655</v>
      </c>
      <c r="E1281" s="11" t="s">
        <v>34</v>
      </c>
      <c r="F1281" s="11" t="s">
        <v>35</v>
      </c>
      <c r="G1281" s="9" t="s">
        <v>36</v>
      </c>
      <c r="H1281" s="9" t="s">
        <v>37</v>
      </c>
      <c r="I1281" s="9" t="s">
        <v>75</v>
      </c>
      <c r="J1281" s="11">
        <v>176</v>
      </c>
      <c r="K1281" s="11" t="s">
        <v>423</v>
      </c>
      <c r="L1281" s="11" t="s">
        <v>40</v>
      </c>
      <c r="M1281" s="13">
        <v>1</v>
      </c>
      <c r="N1281" s="16">
        <v>9000.0</v>
      </c>
      <c r="O1281" s="16"/>
      <c r="P1281" s="18">
        <f>IF(N1281&gt;0, O1281/N1281, 0)</f>
        <v>0</v>
      </c>
      <c r="Q1281" s="16">
        <f>N1281-O1281</f>
        <v>9000</v>
      </c>
      <c r="R1281" s="16">
        <f>M1281*N1281</f>
        <v>9000</v>
      </c>
      <c r="S1281" s="16">
        <f>M1281*O1281</f>
        <v>0</v>
      </c>
      <c r="T1281" s="16">
        <f>M1281*Q1281</f>
        <v>9000</v>
      </c>
      <c r="U1281" s="16"/>
      <c r="V1281" s="16">
        <f>M1281*U1281</f>
        <v>0</v>
      </c>
      <c r="W1281" s="16">
        <f>T1281-V1281</f>
        <v>9000</v>
      </c>
      <c r="X1281" s="18">
        <f>IF(T1281&gt;0, W1281/T1281, 0)</f>
        <v>1</v>
      </c>
      <c r="Y1281" s="9" t="s">
        <v>41</v>
      </c>
      <c r="Z1281" s="11" t="s">
        <v>42</v>
      </c>
      <c r="AA1281" s="11" t="s">
        <v>43</v>
      </c>
      <c r="AB1281" s="11" t="s">
        <v>44</v>
      </c>
      <c r="AC1281" s="9" t="s">
        <v>44</v>
      </c>
    </row>
    <row r="1282" spans="1:29">
      <c r="A1282" s="10">
        <v>1275</v>
      </c>
      <c r="B1282" s="10" t="s">
        <v>1601</v>
      </c>
      <c r="C1282" s="10" t="s">
        <v>1581</v>
      </c>
      <c r="D1282" s="10" t="s">
        <v>655</v>
      </c>
      <c r="E1282" s="10" t="s">
        <v>34</v>
      </c>
      <c r="F1282" s="10" t="s">
        <v>35</v>
      </c>
      <c r="G1282" s="8" t="s">
        <v>36</v>
      </c>
      <c r="H1282" s="8" t="s">
        <v>58</v>
      </c>
      <c r="I1282" s="8" t="s">
        <v>58</v>
      </c>
      <c r="J1282" s="10">
        <v>158</v>
      </c>
      <c r="K1282" s="10" t="s">
        <v>130</v>
      </c>
      <c r="L1282" s="10" t="s">
        <v>40</v>
      </c>
      <c r="M1282" s="12">
        <v>1</v>
      </c>
      <c r="N1282" s="15">
        <v>7500.0</v>
      </c>
      <c r="O1282" s="15"/>
      <c r="P1282" s="17">
        <f>IF(N1282&gt;0, O1282/N1282, 0)</f>
        <v>0</v>
      </c>
      <c r="Q1282" s="15">
        <f>N1282-O1282</f>
        <v>7500</v>
      </c>
      <c r="R1282" s="15">
        <f>M1282*N1282</f>
        <v>7500</v>
      </c>
      <c r="S1282" s="15">
        <f>M1282*O1282</f>
        <v>0</v>
      </c>
      <c r="T1282" s="15">
        <f>M1282*Q1282</f>
        <v>7500</v>
      </c>
      <c r="U1282" s="15"/>
      <c r="V1282" s="15">
        <f>M1282*U1282</f>
        <v>0</v>
      </c>
      <c r="W1282" s="15">
        <f>T1282-V1282</f>
        <v>7500</v>
      </c>
      <c r="X1282" s="17">
        <f>IF(T1282&gt;0, W1282/T1282, 0)</f>
        <v>1</v>
      </c>
      <c r="Y1282" s="8" t="s">
        <v>41</v>
      </c>
      <c r="Z1282" s="10" t="s">
        <v>42</v>
      </c>
      <c r="AA1282" s="10" t="s">
        <v>43</v>
      </c>
      <c r="AB1282" s="10" t="s">
        <v>44</v>
      </c>
      <c r="AC1282" s="8" t="s">
        <v>44</v>
      </c>
    </row>
    <row r="1283" spans="1:29">
      <c r="A1283" s="11">
        <v>1276</v>
      </c>
      <c r="B1283" s="11" t="s">
        <v>1602</v>
      </c>
      <c r="C1283" s="11" t="s">
        <v>1581</v>
      </c>
      <c r="D1283" s="11" t="s">
        <v>655</v>
      </c>
      <c r="E1283" s="11" t="s">
        <v>34</v>
      </c>
      <c r="F1283" s="11" t="s">
        <v>35</v>
      </c>
      <c r="G1283" s="9" t="s">
        <v>36</v>
      </c>
      <c r="H1283" s="9" t="s">
        <v>65</v>
      </c>
      <c r="I1283" s="9" t="s">
        <v>151</v>
      </c>
      <c r="J1283" s="11">
        <v>164</v>
      </c>
      <c r="K1283" s="11" t="s">
        <v>368</v>
      </c>
      <c r="L1283" s="11" t="s">
        <v>40</v>
      </c>
      <c r="M1283" s="13">
        <v>1</v>
      </c>
      <c r="N1283" s="16">
        <v>9500.0</v>
      </c>
      <c r="O1283" s="16"/>
      <c r="P1283" s="18">
        <f>IF(N1283&gt;0, O1283/N1283, 0)</f>
        <v>0</v>
      </c>
      <c r="Q1283" s="16">
        <f>N1283-O1283</f>
        <v>9500</v>
      </c>
      <c r="R1283" s="16">
        <f>M1283*N1283</f>
        <v>9500</v>
      </c>
      <c r="S1283" s="16">
        <f>M1283*O1283</f>
        <v>0</v>
      </c>
      <c r="T1283" s="16">
        <f>M1283*Q1283</f>
        <v>9500</v>
      </c>
      <c r="U1283" s="16"/>
      <c r="V1283" s="16">
        <f>M1283*U1283</f>
        <v>0</v>
      </c>
      <c r="W1283" s="16">
        <f>T1283-V1283</f>
        <v>9500</v>
      </c>
      <c r="X1283" s="18">
        <f>IF(T1283&gt;0, W1283/T1283, 0)</f>
        <v>1</v>
      </c>
      <c r="Y1283" s="9" t="s">
        <v>41</v>
      </c>
      <c r="Z1283" s="11" t="s">
        <v>42</v>
      </c>
      <c r="AA1283" s="11" t="s">
        <v>43</v>
      </c>
      <c r="AB1283" s="11" t="s">
        <v>44</v>
      </c>
      <c r="AC1283" s="9" t="s">
        <v>44</v>
      </c>
    </row>
    <row r="1284" spans="1:29">
      <c r="A1284" s="10">
        <v>1277</v>
      </c>
      <c r="B1284" s="10" t="s">
        <v>1603</v>
      </c>
      <c r="C1284" s="10" t="s">
        <v>1581</v>
      </c>
      <c r="D1284" s="10" t="s">
        <v>655</v>
      </c>
      <c r="E1284" s="10" t="s">
        <v>34</v>
      </c>
      <c r="F1284" s="10" t="s">
        <v>35</v>
      </c>
      <c r="G1284" s="8" t="s">
        <v>36</v>
      </c>
      <c r="H1284" s="8" t="s">
        <v>37</v>
      </c>
      <c r="I1284" s="8" t="s">
        <v>75</v>
      </c>
      <c r="J1284" s="10">
        <v>170</v>
      </c>
      <c r="K1284" s="10" t="s">
        <v>651</v>
      </c>
      <c r="L1284" s="10" t="s">
        <v>40</v>
      </c>
      <c r="M1284" s="12">
        <v>1</v>
      </c>
      <c r="N1284" s="15">
        <v>9000.0</v>
      </c>
      <c r="O1284" s="15"/>
      <c r="P1284" s="17">
        <f>IF(N1284&gt;0, O1284/N1284, 0)</f>
        <v>0</v>
      </c>
      <c r="Q1284" s="15">
        <f>N1284-O1284</f>
        <v>9000</v>
      </c>
      <c r="R1284" s="15">
        <f>M1284*N1284</f>
        <v>9000</v>
      </c>
      <c r="S1284" s="15">
        <f>M1284*O1284</f>
        <v>0</v>
      </c>
      <c r="T1284" s="15">
        <f>M1284*Q1284</f>
        <v>9000</v>
      </c>
      <c r="U1284" s="15"/>
      <c r="V1284" s="15">
        <f>M1284*U1284</f>
        <v>0</v>
      </c>
      <c r="W1284" s="15">
        <f>T1284-V1284</f>
        <v>9000</v>
      </c>
      <c r="X1284" s="17">
        <f>IF(T1284&gt;0, W1284/T1284, 0)</f>
        <v>1</v>
      </c>
      <c r="Y1284" s="8" t="s">
        <v>41</v>
      </c>
      <c r="Z1284" s="10" t="s">
        <v>42</v>
      </c>
      <c r="AA1284" s="10" t="s">
        <v>43</v>
      </c>
      <c r="AB1284" s="10" t="s">
        <v>44</v>
      </c>
      <c r="AC1284" s="8" t="s">
        <v>44</v>
      </c>
    </row>
    <row r="1285" spans="1:29">
      <c r="A1285" s="11">
        <v>1278</v>
      </c>
      <c r="B1285" s="11" t="s">
        <v>1604</v>
      </c>
      <c r="C1285" s="11" t="s">
        <v>1581</v>
      </c>
      <c r="D1285" s="11" t="s">
        <v>655</v>
      </c>
      <c r="E1285" s="11" t="s">
        <v>34</v>
      </c>
      <c r="F1285" s="11" t="s">
        <v>35</v>
      </c>
      <c r="G1285" s="9" t="s">
        <v>36</v>
      </c>
      <c r="H1285" s="9" t="s">
        <v>37</v>
      </c>
      <c r="I1285" s="9" t="s">
        <v>38</v>
      </c>
      <c r="J1285" s="11">
        <v>170</v>
      </c>
      <c r="K1285" s="11" t="s">
        <v>145</v>
      </c>
      <c r="L1285" s="11" t="s">
        <v>40</v>
      </c>
      <c r="M1285" s="13">
        <v>1</v>
      </c>
      <c r="N1285" s="16">
        <v>8000.0</v>
      </c>
      <c r="O1285" s="16"/>
      <c r="P1285" s="18">
        <f>IF(N1285&gt;0, O1285/N1285, 0)</f>
        <v>0</v>
      </c>
      <c r="Q1285" s="16">
        <f>N1285-O1285</f>
        <v>8000</v>
      </c>
      <c r="R1285" s="16">
        <f>M1285*N1285</f>
        <v>8000</v>
      </c>
      <c r="S1285" s="16">
        <f>M1285*O1285</f>
        <v>0</v>
      </c>
      <c r="T1285" s="16">
        <f>M1285*Q1285</f>
        <v>8000</v>
      </c>
      <c r="U1285" s="16"/>
      <c r="V1285" s="16">
        <f>M1285*U1285</f>
        <v>0</v>
      </c>
      <c r="W1285" s="16">
        <f>T1285-V1285</f>
        <v>8000</v>
      </c>
      <c r="X1285" s="18">
        <f>IF(T1285&gt;0, W1285/T1285, 0)</f>
        <v>1</v>
      </c>
      <c r="Y1285" s="9" t="s">
        <v>41</v>
      </c>
      <c r="Z1285" s="11" t="s">
        <v>42</v>
      </c>
      <c r="AA1285" s="11" t="s">
        <v>43</v>
      </c>
      <c r="AB1285" s="11" t="s">
        <v>44</v>
      </c>
      <c r="AC1285" s="9" t="s">
        <v>44</v>
      </c>
    </row>
    <row r="1286" spans="1:29">
      <c r="A1286" s="10">
        <v>1279</v>
      </c>
      <c r="B1286" s="10" t="s">
        <v>1605</v>
      </c>
      <c r="C1286" s="10" t="s">
        <v>1581</v>
      </c>
      <c r="D1286" s="10" t="s">
        <v>655</v>
      </c>
      <c r="E1286" s="10" t="s">
        <v>34</v>
      </c>
      <c r="F1286" s="10" t="s">
        <v>35</v>
      </c>
      <c r="G1286" s="8" t="s">
        <v>52</v>
      </c>
      <c r="H1286" s="8" t="s">
        <v>53</v>
      </c>
      <c r="I1286" s="8" t="s">
        <v>53</v>
      </c>
      <c r="J1286" s="10">
        <v>158</v>
      </c>
      <c r="K1286" s="10" t="s">
        <v>127</v>
      </c>
      <c r="L1286" s="10" t="s">
        <v>55</v>
      </c>
      <c r="M1286" s="12">
        <v>2</v>
      </c>
      <c r="N1286" s="15">
        <v>8000.0</v>
      </c>
      <c r="O1286" s="15"/>
      <c r="P1286" s="17">
        <f>IF(N1286&gt;0, O1286/N1286, 0)</f>
        <v>0</v>
      </c>
      <c r="Q1286" s="15">
        <f>N1286-O1286</f>
        <v>8000</v>
      </c>
      <c r="R1286" s="15">
        <f>M1286*N1286</f>
        <v>16000</v>
      </c>
      <c r="S1286" s="15">
        <f>M1286*O1286</f>
        <v>0</v>
      </c>
      <c r="T1286" s="15">
        <f>M1286*Q1286</f>
        <v>16000</v>
      </c>
      <c r="U1286" s="15"/>
      <c r="V1286" s="15">
        <f>M1286*U1286</f>
        <v>0</v>
      </c>
      <c r="W1286" s="15">
        <f>T1286-V1286</f>
        <v>16000</v>
      </c>
      <c r="X1286" s="17">
        <f>IF(T1286&gt;0, W1286/T1286, 0)</f>
        <v>1</v>
      </c>
      <c r="Y1286" s="8" t="s">
        <v>41</v>
      </c>
      <c r="Z1286" s="10" t="s">
        <v>42</v>
      </c>
      <c r="AA1286" s="10" t="s">
        <v>43</v>
      </c>
      <c r="AB1286" s="10" t="s">
        <v>44</v>
      </c>
      <c r="AC1286" s="8" t="s">
        <v>44</v>
      </c>
    </row>
    <row r="1287" spans="1:29">
      <c r="A1287" s="11">
        <v>1280</v>
      </c>
      <c r="B1287" s="11" t="s">
        <v>1606</v>
      </c>
      <c r="C1287" s="11" t="s">
        <v>1581</v>
      </c>
      <c r="D1287" s="11" t="s">
        <v>655</v>
      </c>
      <c r="E1287" s="11" t="s">
        <v>34</v>
      </c>
      <c r="F1287" s="11" t="s">
        <v>35</v>
      </c>
      <c r="G1287" s="9" t="s">
        <v>52</v>
      </c>
      <c r="H1287" s="9" t="s">
        <v>37</v>
      </c>
      <c r="I1287" s="9" t="s">
        <v>38</v>
      </c>
      <c r="J1287" s="11">
        <v>158</v>
      </c>
      <c r="K1287" s="11" t="s">
        <v>132</v>
      </c>
      <c r="L1287" s="11" t="s">
        <v>55</v>
      </c>
      <c r="M1287" s="13">
        <v>2</v>
      </c>
      <c r="N1287" s="16">
        <v>7000.0</v>
      </c>
      <c r="O1287" s="16"/>
      <c r="P1287" s="18">
        <f>IF(N1287&gt;0, O1287/N1287, 0)</f>
        <v>0</v>
      </c>
      <c r="Q1287" s="16">
        <f>N1287-O1287</f>
        <v>7000</v>
      </c>
      <c r="R1287" s="16">
        <f>M1287*N1287</f>
        <v>14000</v>
      </c>
      <c r="S1287" s="16">
        <f>M1287*O1287</f>
        <v>0</v>
      </c>
      <c r="T1287" s="16">
        <f>M1287*Q1287</f>
        <v>14000</v>
      </c>
      <c r="U1287" s="16"/>
      <c r="V1287" s="16">
        <f>M1287*U1287</f>
        <v>0</v>
      </c>
      <c r="W1287" s="16">
        <f>T1287-V1287</f>
        <v>14000</v>
      </c>
      <c r="X1287" s="18">
        <f>IF(T1287&gt;0, W1287/T1287, 0)</f>
        <v>1</v>
      </c>
      <c r="Y1287" s="9" t="s">
        <v>41</v>
      </c>
      <c r="Z1287" s="11" t="s">
        <v>42</v>
      </c>
      <c r="AA1287" s="11" t="s">
        <v>43</v>
      </c>
      <c r="AB1287" s="11" t="s">
        <v>44</v>
      </c>
      <c r="AC1287" s="9" t="s">
        <v>44</v>
      </c>
    </row>
    <row r="1288" spans="1:29">
      <c r="A1288" s="10">
        <v>1281</v>
      </c>
      <c r="B1288" s="10" t="s">
        <v>1607</v>
      </c>
      <c r="C1288" s="10" t="s">
        <v>1581</v>
      </c>
      <c r="D1288" s="10" t="s">
        <v>655</v>
      </c>
      <c r="E1288" s="10" t="s">
        <v>34</v>
      </c>
      <c r="F1288" s="10" t="s">
        <v>35</v>
      </c>
      <c r="G1288" s="8" t="s">
        <v>52</v>
      </c>
      <c r="H1288" s="8" t="s">
        <v>37</v>
      </c>
      <c r="I1288" s="8" t="s">
        <v>75</v>
      </c>
      <c r="J1288" s="10">
        <v>152</v>
      </c>
      <c r="K1288" s="10" t="s">
        <v>608</v>
      </c>
      <c r="L1288" s="10" t="s">
        <v>55</v>
      </c>
      <c r="M1288" s="12">
        <v>1</v>
      </c>
      <c r="N1288" s="15">
        <v>8000.0</v>
      </c>
      <c r="O1288" s="15"/>
      <c r="P1288" s="17">
        <f>IF(N1288&gt;0, O1288/N1288, 0)</f>
        <v>0</v>
      </c>
      <c r="Q1288" s="15">
        <f>N1288-O1288</f>
        <v>8000</v>
      </c>
      <c r="R1288" s="15">
        <f>M1288*N1288</f>
        <v>8000</v>
      </c>
      <c r="S1288" s="15">
        <f>M1288*O1288</f>
        <v>0</v>
      </c>
      <c r="T1288" s="15">
        <f>M1288*Q1288</f>
        <v>8000</v>
      </c>
      <c r="U1288" s="15"/>
      <c r="V1288" s="15">
        <f>M1288*U1288</f>
        <v>0</v>
      </c>
      <c r="W1288" s="15">
        <f>T1288-V1288</f>
        <v>8000</v>
      </c>
      <c r="X1288" s="17">
        <f>IF(T1288&gt;0, W1288/T1288, 0)</f>
        <v>1</v>
      </c>
      <c r="Y1288" s="8" t="s">
        <v>41</v>
      </c>
      <c r="Z1288" s="10" t="s">
        <v>42</v>
      </c>
      <c r="AA1288" s="10" t="s">
        <v>43</v>
      </c>
      <c r="AB1288" s="10" t="s">
        <v>44</v>
      </c>
      <c r="AC1288" s="8" t="s">
        <v>44</v>
      </c>
    </row>
    <row r="1289" spans="1:29">
      <c r="A1289" s="11">
        <v>1282</v>
      </c>
      <c r="B1289" s="11" t="s">
        <v>1608</v>
      </c>
      <c r="C1289" s="11" t="s">
        <v>1581</v>
      </c>
      <c r="D1289" s="11" t="s">
        <v>655</v>
      </c>
      <c r="E1289" s="11" t="s">
        <v>34</v>
      </c>
      <c r="F1289" s="11" t="s">
        <v>35</v>
      </c>
      <c r="G1289" s="9" t="s">
        <v>52</v>
      </c>
      <c r="H1289" s="9" t="s">
        <v>47</v>
      </c>
      <c r="I1289" s="9" t="s">
        <v>48</v>
      </c>
      <c r="J1289" s="11">
        <v>152</v>
      </c>
      <c r="K1289" s="11" t="s">
        <v>414</v>
      </c>
      <c r="L1289" s="11" t="s">
        <v>40</v>
      </c>
      <c r="M1289" s="13">
        <v>1</v>
      </c>
      <c r="N1289" s="16">
        <v>18000.0</v>
      </c>
      <c r="O1289" s="16"/>
      <c r="P1289" s="18">
        <f>IF(N1289&gt;0, O1289/N1289, 0)</f>
        <v>0</v>
      </c>
      <c r="Q1289" s="16">
        <f>N1289-O1289</f>
        <v>18000</v>
      </c>
      <c r="R1289" s="16">
        <f>M1289*N1289</f>
        <v>18000</v>
      </c>
      <c r="S1289" s="16">
        <f>M1289*O1289</f>
        <v>0</v>
      </c>
      <c r="T1289" s="16">
        <f>M1289*Q1289</f>
        <v>18000</v>
      </c>
      <c r="U1289" s="16"/>
      <c r="V1289" s="16">
        <f>M1289*U1289</f>
        <v>0</v>
      </c>
      <c r="W1289" s="16">
        <f>T1289-V1289</f>
        <v>18000</v>
      </c>
      <c r="X1289" s="18">
        <f>IF(T1289&gt;0, W1289/T1289, 0)</f>
        <v>1</v>
      </c>
      <c r="Y1289" s="9" t="s">
        <v>41</v>
      </c>
      <c r="Z1289" s="11" t="s">
        <v>42</v>
      </c>
      <c r="AA1289" s="11" t="s">
        <v>43</v>
      </c>
      <c r="AB1289" s="11" t="s">
        <v>44</v>
      </c>
      <c r="AC1289" s="9" t="s">
        <v>44</v>
      </c>
    </row>
    <row r="1290" spans="1:29">
      <c r="A1290" s="10">
        <v>1283</v>
      </c>
      <c r="B1290" s="10" t="s">
        <v>1609</v>
      </c>
      <c r="C1290" s="10" t="s">
        <v>1581</v>
      </c>
      <c r="D1290" s="10" t="s">
        <v>655</v>
      </c>
      <c r="E1290" s="10" t="s">
        <v>34</v>
      </c>
      <c r="F1290" s="10" t="s">
        <v>35</v>
      </c>
      <c r="G1290" s="8" t="s">
        <v>52</v>
      </c>
      <c r="H1290" s="8" t="s">
        <v>58</v>
      </c>
      <c r="I1290" s="8" t="s">
        <v>58</v>
      </c>
      <c r="J1290" s="10">
        <v>152</v>
      </c>
      <c r="K1290" s="10" t="s">
        <v>314</v>
      </c>
      <c r="L1290" s="10" t="s">
        <v>40</v>
      </c>
      <c r="M1290" s="12">
        <v>1</v>
      </c>
      <c r="N1290" s="15">
        <v>7000.0</v>
      </c>
      <c r="O1290" s="15"/>
      <c r="P1290" s="17">
        <f>IF(N1290&gt;0, O1290/N1290, 0)</f>
        <v>0</v>
      </c>
      <c r="Q1290" s="15">
        <f>N1290-O1290</f>
        <v>7000</v>
      </c>
      <c r="R1290" s="15">
        <f>M1290*N1290</f>
        <v>7000</v>
      </c>
      <c r="S1290" s="15">
        <f>M1290*O1290</f>
        <v>0</v>
      </c>
      <c r="T1290" s="15">
        <f>M1290*Q1290</f>
        <v>7000</v>
      </c>
      <c r="U1290" s="15"/>
      <c r="V1290" s="15">
        <f>M1290*U1290</f>
        <v>0</v>
      </c>
      <c r="W1290" s="15">
        <f>T1290-V1290</f>
        <v>7000</v>
      </c>
      <c r="X1290" s="17">
        <f>IF(T1290&gt;0, W1290/T1290, 0)</f>
        <v>1</v>
      </c>
      <c r="Y1290" s="8" t="s">
        <v>41</v>
      </c>
      <c r="Z1290" s="10" t="s">
        <v>42</v>
      </c>
      <c r="AA1290" s="10" t="s">
        <v>43</v>
      </c>
      <c r="AB1290" s="10" t="s">
        <v>44</v>
      </c>
      <c r="AC1290" s="8" t="s">
        <v>44</v>
      </c>
    </row>
    <row r="1291" spans="1:29">
      <c r="A1291" s="11">
        <v>1284</v>
      </c>
      <c r="B1291" s="11" t="s">
        <v>1610</v>
      </c>
      <c r="C1291" s="11" t="s">
        <v>1581</v>
      </c>
      <c r="D1291" s="11" t="s">
        <v>655</v>
      </c>
      <c r="E1291" s="11" t="s">
        <v>34</v>
      </c>
      <c r="F1291" s="11" t="s">
        <v>35</v>
      </c>
      <c r="G1291" s="9" t="s">
        <v>52</v>
      </c>
      <c r="H1291" s="9" t="s">
        <v>65</v>
      </c>
      <c r="I1291" s="9" t="s">
        <v>151</v>
      </c>
      <c r="J1291" s="11">
        <v>152</v>
      </c>
      <c r="K1291" s="11" t="s">
        <v>254</v>
      </c>
      <c r="L1291" s="11" t="s">
        <v>40</v>
      </c>
      <c r="M1291" s="13">
        <v>1</v>
      </c>
      <c r="N1291" s="16">
        <v>9000.0</v>
      </c>
      <c r="O1291" s="16"/>
      <c r="P1291" s="18">
        <f>IF(N1291&gt;0, O1291/N1291, 0)</f>
        <v>0</v>
      </c>
      <c r="Q1291" s="16">
        <f>N1291-O1291</f>
        <v>9000</v>
      </c>
      <c r="R1291" s="16">
        <f>M1291*N1291</f>
        <v>9000</v>
      </c>
      <c r="S1291" s="16">
        <f>M1291*O1291</f>
        <v>0</v>
      </c>
      <c r="T1291" s="16">
        <f>M1291*Q1291</f>
        <v>9000</v>
      </c>
      <c r="U1291" s="16"/>
      <c r="V1291" s="16">
        <f>M1291*U1291</f>
        <v>0</v>
      </c>
      <c r="W1291" s="16">
        <f>T1291-V1291</f>
        <v>9000</v>
      </c>
      <c r="X1291" s="18">
        <f>IF(T1291&gt;0, W1291/T1291, 0)</f>
        <v>1</v>
      </c>
      <c r="Y1291" s="9" t="s">
        <v>41</v>
      </c>
      <c r="Z1291" s="11" t="s">
        <v>42</v>
      </c>
      <c r="AA1291" s="11" t="s">
        <v>43</v>
      </c>
      <c r="AB1291" s="11" t="s">
        <v>44</v>
      </c>
      <c r="AC1291" s="9" t="s">
        <v>44</v>
      </c>
    </row>
    <row r="1292" spans="1:29">
      <c r="A1292" s="10">
        <v>1285</v>
      </c>
      <c r="B1292" s="10" t="s">
        <v>1611</v>
      </c>
      <c r="C1292" s="10" t="s">
        <v>1581</v>
      </c>
      <c r="D1292" s="10" t="s">
        <v>655</v>
      </c>
      <c r="E1292" s="10" t="s">
        <v>70</v>
      </c>
      <c r="F1292" s="10" t="s">
        <v>35</v>
      </c>
      <c r="G1292" s="8" t="s">
        <v>36</v>
      </c>
      <c r="H1292" s="8" t="s">
        <v>71</v>
      </c>
      <c r="I1292" s="8" t="s">
        <v>71</v>
      </c>
      <c r="J1292" s="10">
        <v>158</v>
      </c>
      <c r="K1292" s="10" t="s">
        <v>263</v>
      </c>
      <c r="L1292" s="10" t="s">
        <v>40</v>
      </c>
      <c r="M1292" s="12">
        <v>1</v>
      </c>
      <c r="N1292" s="15">
        <v>18000.0</v>
      </c>
      <c r="O1292" s="15"/>
      <c r="P1292" s="17">
        <f>IF(N1292&gt;0, O1292/N1292, 0)</f>
        <v>0</v>
      </c>
      <c r="Q1292" s="15">
        <f>N1292-O1292</f>
        <v>18000</v>
      </c>
      <c r="R1292" s="15">
        <f>M1292*N1292</f>
        <v>18000</v>
      </c>
      <c r="S1292" s="15">
        <f>M1292*O1292</f>
        <v>0</v>
      </c>
      <c r="T1292" s="15">
        <f>M1292*Q1292</f>
        <v>18000</v>
      </c>
      <c r="U1292" s="15"/>
      <c r="V1292" s="15">
        <f>M1292*U1292</f>
        <v>0</v>
      </c>
      <c r="W1292" s="15">
        <f>T1292-V1292</f>
        <v>18000</v>
      </c>
      <c r="X1292" s="17">
        <f>IF(T1292&gt;0, W1292/T1292, 0)</f>
        <v>1</v>
      </c>
      <c r="Y1292" s="8" t="s">
        <v>41</v>
      </c>
      <c r="Z1292" s="10" t="s">
        <v>42</v>
      </c>
      <c r="AA1292" s="10" t="s">
        <v>73</v>
      </c>
      <c r="AB1292" s="10" t="s">
        <v>44</v>
      </c>
      <c r="AC1292" s="8" t="s">
        <v>44</v>
      </c>
    </row>
    <row r="1293" spans="1:29">
      <c r="A1293" s="11">
        <v>1286</v>
      </c>
      <c r="B1293" s="11" t="s">
        <v>1612</v>
      </c>
      <c r="C1293" s="11" t="s">
        <v>1581</v>
      </c>
      <c r="D1293" s="11" t="s">
        <v>655</v>
      </c>
      <c r="E1293" s="11" t="s">
        <v>70</v>
      </c>
      <c r="F1293" s="11" t="s">
        <v>35</v>
      </c>
      <c r="G1293" s="9" t="s">
        <v>36</v>
      </c>
      <c r="H1293" s="9" t="s">
        <v>65</v>
      </c>
      <c r="I1293" s="9" t="s">
        <v>151</v>
      </c>
      <c r="J1293" s="11">
        <v>158</v>
      </c>
      <c r="K1293" s="11" t="s">
        <v>220</v>
      </c>
      <c r="L1293" s="11" t="s">
        <v>40</v>
      </c>
      <c r="M1293" s="13">
        <v>1</v>
      </c>
      <c r="N1293" s="16">
        <v>11000.0</v>
      </c>
      <c r="O1293" s="16"/>
      <c r="P1293" s="18">
        <f>IF(N1293&gt;0, O1293/N1293, 0)</f>
        <v>0</v>
      </c>
      <c r="Q1293" s="16">
        <f>N1293-O1293</f>
        <v>11000</v>
      </c>
      <c r="R1293" s="16">
        <f>M1293*N1293</f>
        <v>11000</v>
      </c>
      <c r="S1293" s="16">
        <f>M1293*O1293</f>
        <v>0</v>
      </c>
      <c r="T1293" s="16">
        <f>M1293*Q1293</f>
        <v>11000</v>
      </c>
      <c r="U1293" s="16"/>
      <c r="V1293" s="16">
        <f>M1293*U1293</f>
        <v>0</v>
      </c>
      <c r="W1293" s="16">
        <f>T1293-V1293</f>
        <v>11000</v>
      </c>
      <c r="X1293" s="18">
        <f>IF(T1293&gt;0, W1293/T1293, 0)</f>
        <v>1</v>
      </c>
      <c r="Y1293" s="9" t="s">
        <v>41</v>
      </c>
      <c r="Z1293" s="11" t="s">
        <v>42</v>
      </c>
      <c r="AA1293" s="11" t="s">
        <v>73</v>
      </c>
      <c r="AB1293" s="11" t="s">
        <v>44</v>
      </c>
      <c r="AC1293" s="9" t="s">
        <v>44</v>
      </c>
    </row>
    <row r="1294" spans="1:29">
      <c r="A1294" s="10">
        <v>1287</v>
      </c>
      <c r="B1294" s="10" t="s">
        <v>1613</v>
      </c>
      <c r="C1294" s="10" t="s">
        <v>1581</v>
      </c>
      <c r="D1294" s="10" t="s">
        <v>655</v>
      </c>
      <c r="E1294" s="10" t="s">
        <v>34</v>
      </c>
      <c r="F1294" s="10" t="s">
        <v>35</v>
      </c>
      <c r="G1294" s="8" t="s">
        <v>36</v>
      </c>
      <c r="H1294" s="8" t="s">
        <v>53</v>
      </c>
      <c r="I1294" s="8" t="s">
        <v>53</v>
      </c>
      <c r="J1294" s="10">
        <v>158</v>
      </c>
      <c r="K1294" s="10" t="s">
        <v>124</v>
      </c>
      <c r="L1294" s="10" t="s">
        <v>40</v>
      </c>
      <c r="M1294" s="12">
        <v>2</v>
      </c>
      <c r="N1294" s="15">
        <v>8500.0</v>
      </c>
      <c r="O1294" s="15"/>
      <c r="P1294" s="17">
        <f>IF(N1294&gt;0, O1294/N1294, 0)</f>
        <v>0</v>
      </c>
      <c r="Q1294" s="15">
        <f>N1294-O1294</f>
        <v>8500</v>
      </c>
      <c r="R1294" s="15">
        <f>M1294*N1294</f>
        <v>17000</v>
      </c>
      <c r="S1294" s="15">
        <f>M1294*O1294</f>
        <v>0</v>
      </c>
      <c r="T1294" s="15">
        <f>M1294*Q1294</f>
        <v>17000</v>
      </c>
      <c r="U1294" s="15"/>
      <c r="V1294" s="15">
        <f>M1294*U1294</f>
        <v>0</v>
      </c>
      <c r="W1294" s="15">
        <f>T1294-V1294</f>
        <v>17000</v>
      </c>
      <c r="X1294" s="17">
        <f>IF(T1294&gt;0, W1294/T1294, 0)</f>
        <v>1</v>
      </c>
      <c r="Y1294" s="8" t="s">
        <v>41</v>
      </c>
      <c r="Z1294" s="10" t="s">
        <v>42</v>
      </c>
      <c r="AA1294" s="10" t="s">
        <v>43</v>
      </c>
      <c r="AB1294" s="10" t="s">
        <v>44</v>
      </c>
      <c r="AC1294" s="8" t="s">
        <v>44</v>
      </c>
    </row>
    <row r="1295" spans="1:29">
      <c r="A1295" s="11">
        <v>1288</v>
      </c>
      <c r="B1295" s="11" t="s">
        <v>1614</v>
      </c>
      <c r="C1295" s="11" t="s">
        <v>1581</v>
      </c>
      <c r="D1295" s="11" t="s">
        <v>655</v>
      </c>
      <c r="E1295" s="11" t="s">
        <v>34</v>
      </c>
      <c r="F1295" s="11" t="s">
        <v>35</v>
      </c>
      <c r="G1295" s="9" t="s">
        <v>36</v>
      </c>
      <c r="H1295" s="9" t="s">
        <v>58</v>
      </c>
      <c r="I1295" s="9" t="s">
        <v>58</v>
      </c>
      <c r="J1295" s="11">
        <v>158</v>
      </c>
      <c r="K1295" s="11" t="s">
        <v>130</v>
      </c>
      <c r="L1295" s="11" t="s">
        <v>40</v>
      </c>
      <c r="M1295" s="13">
        <v>2</v>
      </c>
      <c r="N1295" s="16">
        <v>7500.0</v>
      </c>
      <c r="O1295" s="16"/>
      <c r="P1295" s="18">
        <f>IF(N1295&gt;0, O1295/N1295, 0)</f>
        <v>0</v>
      </c>
      <c r="Q1295" s="16">
        <f>N1295-O1295</f>
        <v>7500</v>
      </c>
      <c r="R1295" s="16">
        <f>M1295*N1295</f>
        <v>15000</v>
      </c>
      <c r="S1295" s="16">
        <f>M1295*O1295</f>
        <v>0</v>
      </c>
      <c r="T1295" s="16">
        <f>M1295*Q1295</f>
        <v>15000</v>
      </c>
      <c r="U1295" s="16"/>
      <c r="V1295" s="16">
        <f>M1295*U1295</f>
        <v>0</v>
      </c>
      <c r="W1295" s="16">
        <f>T1295-V1295</f>
        <v>15000</v>
      </c>
      <c r="X1295" s="18">
        <f>IF(T1295&gt;0, W1295/T1295, 0)</f>
        <v>1</v>
      </c>
      <c r="Y1295" s="9" t="s">
        <v>41</v>
      </c>
      <c r="Z1295" s="11" t="s">
        <v>42</v>
      </c>
      <c r="AA1295" s="11" t="s">
        <v>43</v>
      </c>
      <c r="AB1295" s="11" t="s">
        <v>44</v>
      </c>
      <c r="AC1295" s="9" t="s">
        <v>44</v>
      </c>
    </row>
    <row r="1296" spans="1:29">
      <c r="A1296" s="10">
        <v>1289</v>
      </c>
      <c r="B1296" s="10" t="s">
        <v>1615</v>
      </c>
      <c r="C1296" s="10" t="s">
        <v>1581</v>
      </c>
      <c r="D1296" s="10" t="s">
        <v>655</v>
      </c>
      <c r="E1296" s="10" t="s">
        <v>34</v>
      </c>
      <c r="F1296" s="10" t="s">
        <v>35</v>
      </c>
      <c r="G1296" s="8" t="s">
        <v>36</v>
      </c>
      <c r="H1296" s="8" t="s">
        <v>65</v>
      </c>
      <c r="I1296" s="8" t="s">
        <v>151</v>
      </c>
      <c r="J1296" s="10">
        <v>158</v>
      </c>
      <c r="K1296" s="10" t="s">
        <v>220</v>
      </c>
      <c r="L1296" s="10" t="s">
        <v>40</v>
      </c>
      <c r="M1296" s="12">
        <v>1</v>
      </c>
      <c r="N1296" s="15">
        <v>9500.0</v>
      </c>
      <c r="O1296" s="15"/>
      <c r="P1296" s="17">
        <f>IF(N1296&gt;0, O1296/N1296, 0)</f>
        <v>0</v>
      </c>
      <c r="Q1296" s="15">
        <f>N1296-O1296</f>
        <v>9500</v>
      </c>
      <c r="R1296" s="15">
        <f>M1296*N1296</f>
        <v>9500</v>
      </c>
      <c r="S1296" s="15">
        <f>M1296*O1296</f>
        <v>0</v>
      </c>
      <c r="T1296" s="15">
        <f>M1296*Q1296</f>
        <v>9500</v>
      </c>
      <c r="U1296" s="15"/>
      <c r="V1296" s="15">
        <f>M1296*U1296</f>
        <v>0</v>
      </c>
      <c r="W1296" s="15">
        <f>T1296-V1296</f>
        <v>9500</v>
      </c>
      <c r="X1296" s="17">
        <f>IF(T1296&gt;0, W1296/T1296, 0)</f>
        <v>1</v>
      </c>
      <c r="Y1296" s="8" t="s">
        <v>41</v>
      </c>
      <c r="Z1296" s="10" t="s">
        <v>42</v>
      </c>
      <c r="AA1296" s="10" t="s">
        <v>43</v>
      </c>
      <c r="AB1296" s="10" t="s">
        <v>44</v>
      </c>
      <c r="AC1296" s="8" t="s">
        <v>44</v>
      </c>
    </row>
    <row r="1297" spans="1:29">
      <c r="A1297" s="11">
        <v>1290</v>
      </c>
      <c r="B1297" s="11" t="s">
        <v>1616</v>
      </c>
      <c r="C1297" s="11" t="s">
        <v>1581</v>
      </c>
      <c r="D1297" s="11" t="s">
        <v>655</v>
      </c>
      <c r="E1297" s="11" t="s">
        <v>70</v>
      </c>
      <c r="F1297" s="11" t="s">
        <v>35</v>
      </c>
      <c r="G1297" s="9" t="s">
        <v>52</v>
      </c>
      <c r="H1297" s="9" t="s">
        <v>53</v>
      </c>
      <c r="I1297" s="9" t="s">
        <v>53</v>
      </c>
      <c r="J1297" s="11">
        <v>170</v>
      </c>
      <c r="K1297" s="11" t="s">
        <v>54</v>
      </c>
      <c r="L1297" s="11" t="s">
        <v>55</v>
      </c>
      <c r="M1297" s="13">
        <v>1</v>
      </c>
      <c r="N1297" s="16">
        <v>9000.0</v>
      </c>
      <c r="O1297" s="16"/>
      <c r="P1297" s="18">
        <f>IF(N1297&gt;0, O1297/N1297, 0)</f>
        <v>0</v>
      </c>
      <c r="Q1297" s="16">
        <f>N1297-O1297</f>
        <v>9000</v>
      </c>
      <c r="R1297" s="16">
        <f>M1297*N1297</f>
        <v>9000</v>
      </c>
      <c r="S1297" s="16">
        <f>M1297*O1297</f>
        <v>0</v>
      </c>
      <c r="T1297" s="16">
        <f>M1297*Q1297</f>
        <v>9000</v>
      </c>
      <c r="U1297" s="16"/>
      <c r="V1297" s="16">
        <f>M1297*U1297</f>
        <v>0</v>
      </c>
      <c r="W1297" s="16">
        <f>T1297-V1297</f>
        <v>9000</v>
      </c>
      <c r="X1297" s="18">
        <f>IF(T1297&gt;0, W1297/T1297, 0)</f>
        <v>1</v>
      </c>
      <c r="Y1297" s="9" t="s">
        <v>41</v>
      </c>
      <c r="Z1297" s="11" t="s">
        <v>42</v>
      </c>
      <c r="AA1297" s="11" t="s">
        <v>73</v>
      </c>
      <c r="AB1297" s="11" t="s">
        <v>44</v>
      </c>
      <c r="AC1297" s="9" t="s">
        <v>44</v>
      </c>
    </row>
    <row r="1298" spans="1:29">
      <c r="A1298" s="10">
        <v>1291</v>
      </c>
      <c r="B1298" s="10" t="s">
        <v>1617</v>
      </c>
      <c r="C1298" s="10" t="s">
        <v>1581</v>
      </c>
      <c r="D1298" s="10" t="s">
        <v>655</v>
      </c>
      <c r="E1298" s="10" t="s">
        <v>34</v>
      </c>
      <c r="F1298" s="10" t="s">
        <v>35</v>
      </c>
      <c r="G1298" s="8" t="s">
        <v>52</v>
      </c>
      <c r="H1298" s="8" t="s">
        <v>71</v>
      </c>
      <c r="I1298" s="8" t="s">
        <v>71</v>
      </c>
      <c r="J1298" s="10">
        <v>164</v>
      </c>
      <c r="K1298" s="10" t="s">
        <v>1618</v>
      </c>
      <c r="L1298" s="10" t="s">
        <v>40</v>
      </c>
      <c r="M1298" s="12">
        <v>1</v>
      </c>
      <c r="N1298" s="15">
        <v>17000.0</v>
      </c>
      <c r="O1298" s="15"/>
      <c r="P1298" s="17">
        <f>IF(N1298&gt;0, O1298/N1298, 0)</f>
        <v>0</v>
      </c>
      <c r="Q1298" s="15">
        <f>N1298-O1298</f>
        <v>17000</v>
      </c>
      <c r="R1298" s="15">
        <f>M1298*N1298</f>
        <v>17000</v>
      </c>
      <c r="S1298" s="15">
        <f>M1298*O1298</f>
        <v>0</v>
      </c>
      <c r="T1298" s="15">
        <f>M1298*Q1298</f>
        <v>17000</v>
      </c>
      <c r="U1298" s="15"/>
      <c r="V1298" s="15">
        <f>M1298*U1298</f>
        <v>0</v>
      </c>
      <c r="W1298" s="15">
        <f>T1298-V1298</f>
        <v>17000</v>
      </c>
      <c r="X1298" s="17">
        <f>IF(T1298&gt;0, W1298/T1298, 0)</f>
        <v>1</v>
      </c>
      <c r="Y1298" s="8" t="s">
        <v>41</v>
      </c>
      <c r="Z1298" s="10" t="s">
        <v>42</v>
      </c>
      <c r="AA1298" s="10" t="s">
        <v>43</v>
      </c>
      <c r="AB1298" s="10" t="s">
        <v>44</v>
      </c>
      <c r="AC1298" s="8" t="s">
        <v>44</v>
      </c>
    </row>
    <row r="1299" spans="1:29">
      <c r="A1299" s="11">
        <v>1292</v>
      </c>
      <c r="B1299" s="11" t="s">
        <v>1619</v>
      </c>
      <c r="C1299" s="11" t="s">
        <v>1581</v>
      </c>
      <c r="D1299" s="11" t="s">
        <v>655</v>
      </c>
      <c r="E1299" s="11" t="s">
        <v>34</v>
      </c>
      <c r="F1299" s="11" t="s">
        <v>35</v>
      </c>
      <c r="G1299" s="9" t="s">
        <v>52</v>
      </c>
      <c r="H1299" s="9" t="s">
        <v>58</v>
      </c>
      <c r="I1299" s="9" t="s">
        <v>58</v>
      </c>
      <c r="J1299" s="11">
        <v>158</v>
      </c>
      <c r="K1299" s="11" t="s">
        <v>795</v>
      </c>
      <c r="L1299" s="11" t="s">
        <v>40</v>
      </c>
      <c r="M1299" s="13">
        <v>1</v>
      </c>
      <c r="N1299" s="16">
        <v>7000.0</v>
      </c>
      <c r="O1299" s="16"/>
      <c r="P1299" s="18">
        <f>IF(N1299&gt;0, O1299/N1299, 0)</f>
        <v>0</v>
      </c>
      <c r="Q1299" s="16">
        <f>N1299-O1299</f>
        <v>7000</v>
      </c>
      <c r="R1299" s="16">
        <f>M1299*N1299</f>
        <v>7000</v>
      </c>
      <c r="S1299" s="16">
        <f>M1299*O1299</f>
        <v>0</v>
      </c>
      <c r="T1299" s="16">
        <f>M1299*Q1299</f>
        <v>7000</v>
      </c>
      <c r="U1299" s="16"/>
      <c r="V1299" s="16">
        <f>M1299*U1299</f>
        <v>0</v>
      </c>
      <c r="W1299" s="16">
        <f>T1299-V1299</f>
        <v>7000</v>
      </c>
      <c r="X1299" s="18">
        <f>IF(T1299&gt;0, W1299/T1299, 0)</f>
        <v>1</v>
      </c>
      <c r="Y1299" s="9" t="s">
        <v>41</v>
      </c>
      <c r="Z1299" s="11" t="s">
        <v>42</v>
      </c>
      <c r="AA1299" s="11" t="s">
        <v>43</v>
      </c>
      <c r="AB1299" s="11" t="s">
        <v>44</v>
      </c>
      <c r="AC1299" s="9" t="s">
        <v>44</v>
      </c>
    </row>
    <row r="1300" spans="1:29">
      <c r="A1300" s="10">
        <v>1293</v>
      </c>
      <c r="B1300" s="10" t="s">
        <v>1620</v>
      </c>
      <c r="C1300" s="10" t="s">
        <v>1581</v>
      </c>
      <c r="D1300" s="10" t="s">
        <v>655</v>
      </c>
      <c r="E1300" s="10" t="s">
        <v>34</v>
      </c>
      <c r="F1300" s="10" t="s">
        <v>35</v>
      </c>
      <c r="G1300" s="8" t="s">
        <v>52</v>
      </c>
      <c r="H1300" s="8" t="s">
        <v>65</v>
      </c>
      <c r="I1300" s="8" t="s">
        <v>151</v>
      </c>
      <c r="J1300" s="10">
        <v>164</v>
      </c>
      <c r="K1300" s="10" t="s">
        <v>1550</v>
      </c>
      <c r="L1300" s="10" t="s">
        <v>40</v>
      </c>
      <c r="M1300" s="12">
        <v>1</v>
      </c>
      <c r="N1300" s="15">
        <v>9000.0</v>
      </c>
      <c r="O1300" s="15"/>
      <c r="P1300" s="17">
        <f>IF(N1300&gt;0, O1300/N1300, 0)</f>
        <v>0</v>
      </c>
      <c r="Q1300" s="15">
        <f>N1300-O1300</f>
        <v>9000</v>
      </c>
      <c r="R1300" s="15">
        <f>M1300*N1300</f>
        <v>9000</v>
      </c>
      <c r="S1300" s="15">
        <f>M1300*O1300</f>
        <v>0</v>
      </c>
      <c r="T1300" s="15">
        <f>M1300*Q1300</f>
        <v>9000</v>
      </c>
      <c r="U1300" s="15"/>
      <c r="V1300" s="15">
        <f>M1300*U1300</f>
        <v>0</v>
      </c>
      <c r="W1300" s="15">
        <f>T1300-V1300</f>
        <v>9000</v>
      </c>
      <c r="X1300" s="17">
        <f>IF(T1300&gt;0, W1300/T1300, 0)</f>
        <v>1</v>
      </c>
      <c r="Y1300" s="8" t="s">
        <v>41</v>
      </c>
      <c r="Z1300" s="10" t="s">
        <v>42</v>
      </c>
      <c r="AA1300" s="10" t="s">
        <v>43</v>
      </c>
      <c r="AB1300" s="10" t="s">
        <v>44</v>
      </c>
      <c r="AC1300" s="8" t="s">
        <v>44</v>
      </c>
    </row>
    <row r="1301" spans="1:29">
      <c r="A1301" s="11">
        <v>1294</v>
      </c>
      <c r="B1301" s="11" t="s">
        <v>1621</v>
      </c>
      <c r="C1301" s="11" t="s">
        <v>1581</v>
      </c>
      <c r="D1301" s="11" t="s">
        <v>655</v>
      </c>
      <c r="E1301" s="11" t="s">
        <v>34</v>
      </c>
      <c r="F1301" s="11" t="s">
        <v>35</v>
      </c>
      <c r="G1301" s="9" t="s">
        <v>36</v>
      </c>
      <c r="H1301" s="9" t="s">
        <v>47</v>
      </c>
      <c r="I1301" s="9" t="s">
        <v>48</v>
      </c>
      <c r="J1301" s="11">
        <v>170</v>
      </c>
      <c r="K1301" s="11" t="s">
        <v>184</v>
      </c>
      <c r="L1301" s="11" t="s">
        <v>40</v>
      </c>
      <c r="M1301" s="13">
        <v>1</v>
      </c>
      <c r="N1301" s="16">
        <v>18000.0</v>
      </c>
      <c r="O1301" s="16"/>
      <c r="P1301" s="18">
        <f>IF(N1301&gt;0, O1301/N1301, 0)</f>
        <v>0</v>
      </c>
      <c r="Q1301" s="16">
        <f>N1301-O1301</f>
        <v>18000</v>
      </c>
      <c r="R1301" s="16">
        <f>M1301*N1301</f>
        <v>18000</v>
      </c>
      <c r="S1301" s="16">
        <f>M1301*O1301</f>
        <v>0</v>
      </c>
      <c r="T1301" s="16">
        <f>M1301*Q1301</f>
        <v>18000</v>
      </c>
      <c r="U1301" s="16"/>
      <c r="V1301" s="16">
        <f>M1301*U1301</f>
        <v>0</v>
      </c>
      <c r="W1301" s="16">
        <f>T1301-V1301</f>
        <v>18000</v>
      </c>
      <c r="X1301" s="18">
        <f>IF(T1301&gt;0, W1301/T1301, 0)</f>
        <v>1</v>
      </c>
      <c r="Y1301" s="9" t="s">
        <v>41</v>
      </c>
      <c r="Z1301" s="11" t="s">
        <v>42</v>
      </c>
      <c r="AA1301" s="11" t="s">
        <v>43</v>
      </c>
      <c r="AB1301" s="11" t="s">
        <v>44</v>
      </c>
      <c r="AC1301" s="9" t="s">
        <v>44</v>
      </c>
    </row>
    <row r="1302" spans="1:29">
      <c r="A1302" s="10">
        <v>1295</v>
      </c>
      <c r="B1302" s="10" t="s">
        <v>1622</v>
      </c>
      <c r="C1302" s="10" t="s">
        <v>1581</v>
      </c>
      <c r="D1302" s="10" t="s">
        <v>655</v>
      </c>
      <c r="E1302" s="10" t="s">
        <v>34</v>
      </c>
      <c r="F1302" s="10" t="s">
        <v>35</v>
      </c>
      <c r="G1302" s="8" t="s">
        <v>52</v>
      </c>
      <c r="H1302" s="8" t="s">
        <v>37</v>
      </c>
      <c r="I1302" s="8" t="s">
        <v>38</v>
      </c>
      <c r="J1302" s="10">
        <v>170</v>
      </c>
      <c r="K1302" s="10" t="s">
        <v>645</v>
      </c>
      <c r="L1302" s="10" t="s">
        <v>55</v>
      </c>
      <c r="M1302" s="12">
        <v>2</v>
      </c>
      <c r="N1302" s="15">
        <v>7000.0</v>
      </c>
      <c r="O1302" s="15"/>
      <c r="P1302" s="17">
        <f>IF(N1302&gt;0, O1302/N1302, 0)</f>
        <v>0</v>
      </c>
      <c r="Q1302" s="15">
        <f>N1302-O1302</f>
        <v>7000</v>
      </c>
      <c r="R1302" s="15">
        <f>M1302*N1302</f>
        <v>14000</v>
      </c>
      <c r="S1302" s="15">
        <f>M1302*O1302</f>
        <v>0</v>
      </c>
      <c r="T1302" s="15">
        <f>M1302*Q1302</f>
        <v>14000</v>
      </c>
      <c r="U1302" s="15"/>
      <c r="V1302" s="15">
        <f>M1302*U1302</f>
        <v>0</v>
      </c>
      <c r="W1302" s="15">
        <f>T1302-V1302</f>
        <v>14000</v>
      </c>
      <c r="X1302" s="17">
        <f>IF(T1302&gt;0, W1302/T1302, 0)</f>
        <v>1</v>
      </c>
      <c r="Y1302" s="8" t="s">
        <v>41</v>
      </c>
      <c r="Z1302" s="10" t="s">
        <v>42</v>
      </c>
      <c r="AA1302" s="10" t="s">
        <v>43</v>
      </c>
      <c r="AB1302" s="10" t="s">
        <v>44</v>
      </c>
      <c r="AC1302" s="8" t="s">
        <v>44</v>
      </c>
    </row>
    <row r="1303" spans="1:29">
      <c r="A1303" s="11">
        <v>1296</v>
      </c>
      <c r="B1303" s="11" t="s">
        <v>1623</v>
      </c>
      <c r="C1303" s="11" t="s">
        <v>1581</v>
      </c>
      <c r="D1303" s="11" t="s">
        <v>655</v>
      </c>
      <c r="E1303" s="11" t="s">
        <v>34</v>
      </c>
      <c r="F1303" s="11" t="s">
        <v>35</v>
      </c>
      <c r="G1303" s="9" t="s">
        <v>52</v>
      </c>
      <c r="H1303" s="9" t="s">
        <v>71</v>
      </c>
      <c r="I1303" s="9" t="s">
        <v>71</v>
      </c>
      <c r="J1303" s="11">
        <v>134</v>
      </c>
      <c r="K1303" s="11" t="s">
        <v>212</v>
      </c>
      <c r="L1303" s="11" t="s">
        <v>40</v>
      </c>
      <c r="M1303" s="13">
        <v>2</v>
      </c>
      <c r="N1303" s="16">
        <v>17000.0</v>
      </c>
      <c r="O1303" s="16"/>
      <c r="P1303" s="18">
        <f>IF(N1303&gt;0, O1303/N1303, 0)</f>
        <v>0</v>
      </c>
      <c r="Q1303" s="16">
        <f>N1303-O1303</f>
        <v>17000</v>
      </c>
      <c r="R1303" s="16">
        <f>M1303*N1303</f>
        <v>34000</v>
      </c>
      <c r="S1303" s="16">
        <f>M1303*O1303</f>
        <v>0</v>
      </c>
      <c r="T1303" s="16">
        <f>M1303*Q1303</f>
        <v>34000</v>
      </c>
      <c r="U1303" s="16"/>
      <c r="V1303" s="16">
        <f>M1303*U1303</f>
        <v>0</v>
      </c>
      <c r="W1303" s="16">
        <f>T1303-V1303</f>
        <v>34000</v>
      </c>
      <c r="X1303" s="18">
        <f>IF(T1303&gt;0, W1303/T1303, 0)</f>
        <v>1</v>
      </c>
      <c r="Y1303" s="9" t="s">
        <v>41</v>
      </c>
      <c r="Z1303" s="11" t="s">
        <v>42</v>
      </c>
      <c r="AA1303" s="11" t="s">
        <v>43</v>
      </c>
      <c r="AB1303" s="11" t="s">
        <v>44</v>
      </c>
      <c r="AC1303" s="9" t="s">
        <v>44</v>
      </c>
    </row>
    <row r="1304" spans="1:29">
      <c r="A1304" s="10">
        <v>1297</v>
      </c>
      <c r="B1304" s="10" t="s">
        <v>1624</v>
      </c>
      <c r="C1304" s="10" t="s">
        <v>1581</v>
      </c>
      <c r="D1304" s="10" t="s">
        <v>655</v>
      </c>
      <c r="E1304" s="10" t="s">
        <v>34</v>
      </c>
      <c r="F1304" s="10" t="s">
        <v>35</v>
      </c>
      <c r="G1304" s="8" t="s">
        <v>52</v>
      </c>
      <c r="H1304" s="8" t="s">
        <v>37</v>
      </c>
      <c r="I1304" s="8" t="s">
        <v>38</v>
      </c>
      <c r="J1304" s="10">
        <v>116</v>
      </c>
      <c r="K1304" s="10" t="s">
        <v>94</v>
      </c>
      <c r="L1304" s="10" t="s">
        <v>55</v>
      </c>
      <c r="M1304" s="12">
        <v>1</v>
      </c>
      <c r="N1304" s="15">
        <v>7000.0</v>
      </c>
      <c r="O1304" s="15"/>
      <c r="P1304" s="17">
        <f>IF(N1304&gt;0, O1304/N1304, 0)</f>
        <v>0</v>
      </c>
      <c r="Q1304" s="15">
        <f>N1304-O1304</f>
        <v>7000</v>
      </c>
      <c r="R1304" s="15">
        <f>M1304*N1304</f>
        <v>7000</v>
      </c>
      <c r="S1304" s="15">
        <f>M1304*O1304</f>
        <v>0</v>
      </c>
      <c r="T1304" s="15">
        <f>M1304*Q1304</f>
        <v>7000</v>
      </c>
      <c r="U1304" s="15"/>
      <c r="V1304" s="15">
        <f>M1304*U1304</f>
        <v>0</v>
      </c>
      <c r="W1304" s="15">
        <f>T1304-V1304</f>
        <v>7000</v>
      </c>
      <c r="X1304" s="17">
        <f>IF(T1304&gt;0, W1304/T1304, 0)</f>
        <v>1</v>
      </c>
      <c r="Y1304" s="8" t="s">
        <v>41</v>
      </c>
      <c r="Z1304" s="10" t="s">
        <v>42</v>
      </c>
      <c r="AA1304" s="10" t="s">
        <v>43</v>
      </c>
      <c r="AB1304" s="10" t="s">
        <v>44</v>
      </c>
      <c r="AC1304" s="8" t="s">
        <v>44</v>
      </c>
    </row>
    <row r="1305" spans="1:29">
      <c r="A1305" s="11">
        <v>1298</v>
      </c>
      <c r="B1305" s="11" t="s">
        <v>1625</v>
      </c>
      <c r="C1305" s="11" t="s">
        <v>1581</v>
      </c>
      <c r="D1305" s="11" t="s">
        <v>655</v>
      </c>
      <c r="E1305" s="11" t="s">
        <v>34</v>
      </c>
      <c r="F1305" s="11" t="s">
        <v>35</v>
      </c>
      <c r="G1305" s="9" t="s">
        <v>52</v>
      </c>
      <c r="H1305" s="9" t="s">
        <v>65</v>
      </c>
      <c r="I1305" s="9" t="s">
        <v>151</v>
      </c>
      <c r="J1305" s="11">
        <v>110</v>
      </c>
      <c r="K1305" s="11" t="s">
        <v>231</v>
      </c>
      <c r="L1305" s="11" t="s">
        <v>40</v>
      </c>
      <c r="M1305" s="13">
        <v>1</v>
      </c>
      <c r="N1305" s="16">
        <v>9000.0</v>
      </c>
      <c r="O1305" s="16"/>
      <c r="P1305" s="18">
        <f>IF(N1305&gt;0, O1305/N1305, 0)</f>
        <v>0</v>
      </c>
      <c r="Q1305" s="16">
        <f>N1305-O1305</f>
        <v>9000</v>
      </c>
      <c r="R1305" s="16">
        <f>M1305*N1305</f>
        <v>9000</v>
      </c>
      <c r="S1305" s="16">
        <f>M1305*O1305</f>
        <v>0</v>
      </c>
      <c r="T1305" s="16">
        <f>M1305*Q1305</f>
        <v>9000</v>
      </c>
      <c r="U1305" s="16"/>
      <c r="V1305" s="16">
        <f>M1305*U1305</f>
        <v>0</v>
      </c>
      <c r="W1305" s="16">
        <f>T1305-V1305</f>
        <v>9000</v>
      </c>
      <c r="X1305" s="18">
        <f>IF(T1305&gt;0, W1305/T1305, 0)</f>
        <v>1</v>
      </c>
      <c r="Y1305" s="9" t="s">
        <v>41</v>
      </c>
      <c r="Z1305" s="11" t="s">
        <v>42</v>
      </c>
      <c r="AA1305" s="11" t="s">
        <v>43</v>
      </c>
      <c r="AB1305" s="11" t="s">
        <v>44</v>
      </c>
      <c r="AC1305" s="9" t="s">
        <v>44</v>
      </c>
    </row>
    <row r="1306" spans="1:29">
      <c r="A1306" s="10">
        <v>1299</v>
      </c>
      <c r="B1306" s="10" t="s">
        <v>1626</v>
      </c>
      <c r="C1306" s="10" t="s">
        <v>1581</v>
      </c>
      <c r="D1306" s="10" t="s">
        <v>655</v>
      </c>
      <c r="E1306" s="10" t="s">
        <v>34</v>
      </c>
      <c r="F1306" s="10" t="s">
        <v>35</v>
      </c>
      <c r="G1306" s="8" t="s">
        <v>52</v>
      </c>
      <c r="H1306" s="8" t="s">
        <v>71</v>
      </c>
      <c r="I1306" s="8" t="s">
        <v>71</v>
      </c>
      <c r="J1306" s="10">
        <v>116</v>
      </c>
      <c r="K1306" s="10" t="s">
        <v>89</v>
      </c>
      <c r="L1306" s="10" t="s">
        <v>40</v>
      </c>
      <c r="M1306" s="12">
        <v>1</v>
      </c>
      <c r="N1306" s="15">
        <v>16000.0</v>
      </c>
      <c r="O1306" s="15"/>
      <c r="P1306" s="17">
        <f>IF(N1306&gt;0, O1306/N1306, 0)</f>
        <v>0</v>
      </c>
      <c r="Q1306" s="15">
        <f>N1306-O1306</f>
        <v>16000</v>
      </c>
      <c r="R1306" s="15">
        <f>M1306*N1306</f>
        <v>16000</v>
      </c>
      <c r="S1306" s="15">
        <f>M1306*O1306</f>
        <v>0</v>
      </c>
      <c r="T1306" s="15">
        <f>M1306*Q1306</f>
        <v>16000</v>
      </c>
      <c r="U1306" s="15"/>
      <c r="V1306" s="15">
        <f>M1306*U1306</f>
        <v>0</v>
      </c>
      <c r="W1306" s="15">
        <f>T1306-V1306</f>
        <v>16000</v>
      </c>
      <c r="X1306" s="17">
        <f>IF(T1306&gt;0, W1306/T1306, 0)</f>
        <v>1</v>
      </c>
      <c r="Y1306" s="8" t="s">
        <v>41</v>
      </c>
      <c r="Z1306" s="10" t="s">
        <v>42</v>
      </c>
      <c r="AA1306" s="10" t="s">
        <v>43</v>
      </c>
      <c r="AB1306" s="10" t="s">
        <v>44</v>
      </c>
      <c r="AC1306" s="8" t="s">
        <v>44</v>
      </c>
    </row>
    <row r="1307" spans="1:29">
      <c r="A1307" s="11">
        <v>1300</v>
      </c>
      <c r="B1307" s="11" t="s">
        <v>1627</v>
      </c>
      <c r="C1307" s="11" t="s">
        <v>1581</v>
      </c>
      <c r="D1307" s="11" t="s">
        <v>655</v>
      </c>
      <c r="E1307" s="11" t="s">
        <v>34</v>
      </c>
      <c r="F1307" s="11" t="s">
        <v>35</v>
      </c>
      <c r="G1307" s="9" t="s">
        <v>52</v>
      </c>
      <c r="H1307" s="9" t="s">
        <v>53</v>
      </c>
      <c r="I1307" s="9" t="s">
        <v>53</v>
      </c>
      <c r="J1307" s="11">
        <v>134</v>
      </c>
      <c r="K1307" s="11" t="s">
        <v>178</v>
      </c>
      <c r="L1307" s="11" t="s">
        <v>55</v>
      </c>
      <c r="M1307" s="13">
        <v>2</v>
      </c>
      <c r="N1307" s="16">
        <v>8000.0</v>
      </c>
      <c r="O1307" s="16"/>
      <c r="P1307" s="18">
        <f>IF(N1307&gt;0, O1307/N1307, 0)</f>
        <v>0</v>
      </c>
      <c r="Q1307" s="16">
        <f>N1307-O1307</f>
        <v>8000</v>
      </c>
      <c r="R1307" s="16">
        <f>M1307*N1307</f>
        <v>16000</v>
      </c>
      <c r="S1307" s="16">
        <f>M1307*O1307</f>
        <v>0</v>
      </c>
      <c r="T1307" s="16">
        <f>M1307*Q1307</f>
        <v>16000</v>
      </c>
      <c r="U1307" s="16"/>
      <c r="V1307" s="16">
        <f>M1307*U1307</f>
        <v>0</v>
      </c>
      <c r="W1307" s="16">
        <f>T1307-V1307</f>
        <v>16000</v>
      </c>
      <c r="X1307" s="18">
        <f>IF(T1307&gt;0, W1307/T1307, 0)</f>
        <v>1</v>
      </c>
      <c r="Y1307" s="9" t="s">
        <v>41</v>
      </c>
      <c r="Z1307" s="11" t="s">
        <v>42</v>
      </c>
      <c r="AA1307" s="11" t="s">
        <v>43</v>
      </c>
      <c r="AB1307" s="11" t="s">
        <v>44</v>
      </c>
      <c r="AC1307" s="9" t="s">
        <v>44</v>
      </c>
    </row>
    <row r="1308" spans="1:29">
      <c r="A1308" s="10">
        <v>1301</v>
      </c>
      <c r="B1308" s="10" t="s">
        <v>1628</v>
      </c>
      <c r="C1308" s="10" t="s">
        <v>1581</v>
      </c>
      <c r="D1308" s="10" t="s">
        <v>655</v>
      </c>
      <c r="E1308" s="10" t="s">
        <v>34</v>
      </c>
      <c r="F1308" s="10" t="s">
        <v>35</v>
      </c>
      <c r="G1308" s="8" t="s">
        <v>52</v>
      </c>
      <c r="H1308" s="8" t="s">
        <v>37</v>
      </c>
      <c r="I1308" s="8" t="s">
        <v>38</v>
      </c>
      <c r="J1308" s="10">
        <v>140</v>
      </c>
      <c r="K1308" s="10" t="s">
        <v>226</v>
      </c>
      <c r="L1308" s="10" t="s">
        <v>55</v>
      </c>
      <c r="M1308" s="12">
        <v>1</v>
      </c>
      <c r="N1308" s="15">
        <v>7000.0</v>
      </c>
      <c r="O1308" s="15"/>
      <c r="P1308" s="17">
        <f>IF(N1308&gt;0, O1308/N1308, 0)</f>
        <v>0</v>
      </c>
      <c r="Q1308" s="15">
        <f>N1308-O1308</f>
        <v>7000</v>
      </c>
      <c r="R1308" s="15">
        <f>M1308*N1308</f>
        <v>7000</v>
      </c>
      <c r="S1308" s="15">
        <f>M1308*O1308</f>
        <v>0</v>
      </c>
      <c r="T1308" s="15">
        <f>M1308*Q1308</f>
        <v>7000</v>
      </c>
      <c r="U1308" s="15"/>
      <c r="V1308" s="15">
        <f>M1308*U1308</f>
        <v>0</v>
      </c>
      <c r="W1308" s="15">
        <f>T1308-V1308</f>
        <v>7000</v>
      </c>
      <c r="X1308" s="17">
        <f>IF(T1308&gt;0, W1308/T1308, 0)</f>
        <v>1</v>
      </c>
      <c r="Y1308" s="8" t="s">
        <v>41</v>
      </c>
      <c r="Z1308" s="10" t="s">
        <v>42</v>
      </c>
      <c r="AA1308" s="10" t="s">
        <v>43</v>
      </c>
      <c r="AB1308" s="10" t="s">
        <v>44</v>
      </c>
      <c r="AC1308" s="8" t="s">
        <v>44</v>
      </c>
    </row>
    <row r="1309" spans="1:29">
      <c r="A1309" s="11">
        <v>1302</v>
      </c>
      <c r="B1309" s="11" t="s">
        <v>1629</v>
      </c>
      <c r="C1309" s="11" t="s">
        <v>1630</v>
      </c>
      <c r="D1309" s="11" t="s">
        <v>655</v>
      </c>
      <c r="E1309" s="11" t="s">
        <v>34</v>
      </c>
      <c r="F1309" s="11" t="s">
        <v>35</v>
      </c>
      <c r="G1309" s="9" t="s">
        <v>52</v>
      </c>
      <c r="H1309" s="9" t="s">
        <v>37</v>
      </c>
      <c r="I1309" s="9" t="s">
        <v>38</v>
      </c>
      <c r="J1309" s="11">
        <v>134</v>
      </c>
      <c r="K1309" s="11" t="s">
        <v>180</v>
      </c>
      <c r="L1309" s="11" t="s">
        <v>55</v>
      </c>
      <c r="M1309" s="13">
        <v>1</v>
      </c>
      <c r="N1309" s="16">
        <v>7000.0</v>
      </c>
      <c r="O1309" s="16"/>
      <c r="P1309" s="18">
        <f>IF(N1309&gt;0, O1309/N1309, 0)</f>
        <v>0</v>
      </c>
      <c r="Q1309" s="16">
        <f>N1309-O1309</f>
        <v>7000</v>
      </c>
      <c r="R1309" s="16">
        <f>M1309*N1309</f>
        <v>7000</v>
      </c>
      <c r="S1309" s="16">
        <f>M1309*O1309</f>
        <v>0</v>
      </c>
      <c r="T1309" s="16">
        <f>M1309*Q1309</f>
        <v>7000</v>
      </c>
      <c r="U1309" s="16"/>
      <c r="V1309" s="16">
        <f>M1309*U1309</f>
        <v>0</v>
      </c>
      <c r="W1309" s="16">
        <f>T1309-V1309</f>
        <v>7000</v>
      </c>
      <c r="X1309" s="18">
        <f>IF(T1309&gt;0, W1309/T1309, 0)</f>
        <v>1</v>
      </c>
      <c r="Y1309" s="9" t="s">
        <v>41</v>
      </c>
      <c r="Z1309" s="11" t="s">
        <v>42</v>
      </c>
      <c r="AA1309" s="11" t="s">
        <v>43</v>
      </c>
      <c r="AB1309" s="11" t="s">
        <v>44</v>
      </c>
      <c r="AC1309" s="9" t="s">
        <v>44</v>
      </c>
    </row>
    <row r="1310" spans="1:29">
      <c r="A1310" s="10">
        <v>1303</v>
      </c>
      <c r="B1310" s="10" t="s">
        <v>1631</v>
      </c>
      <c r="C1310" s="10" t="s">
        <v>1630</v>
      </c>
      <c r="D1310" s="10" t="s">
        <v>655</v>
      </c>
      <c r="E1310" s="10" t="s">
        <v>34</v>
      </c>
      <c r="F1310" s="10" t="s">
        <v>35</v>
      </c>
      <c r="G1310" s="8" t="s">
        <v>36</v>
      </c>
      <c r="H1310" s="8" t="s">
        <v>37</v>
      </c>
      <c r="I1310" s="8" t="s">
        <v>38</v>
      </c>
      <c r="J1310" s="10">
        <v>164</v>
      </c>
      <c r="K1310" s="10" t="s">
        <v>79</v>
      </c>
      <c r="L1310" s="10" t="s">
        <v>40</v>
      </c>
      <c r="M1310" s="12">
        <v>1</v>
      </c>
      <c r="N1310" s="15">
        <v>8000.0</v>
      </c>
      <c r="O1310" s="15"/>
      <c r="P1310" s="17">
        <f>IF(N1310&gt;0, O1310/N1310, 0)</f>
        <v>0</v>
      </c>
      <c r="Q1310" s="15">
        <f>N1310-O1310</f>
        <v>8000</v>
      </c>
      <c r="R1310" s="15">
        <f>M1310*N1310</f>
        <v>8000</v>
      </c>
      <c r="S1310" s="15">
        <f>M1310*O1310</f>
        <v>0</v>
      </c>
      <c r="T1310" s="15">
        <f>M1310*Q1310</f>
        <v>8000</v>
      </c>
      <c r="U1310" s="15"/>
      <c r="V1310" s="15">
        <f>M1310*U1310</f>
        <v>0</v>
      </c>
      <c r="W1310" s="15">
        <f>T1310-V1310</f>
        <v>8000</v>
      </c>
      <c r="X1310" s="17">
        <f>IF(T1310&gt;0, W1310/T1310, 0)</f>
        <v>1</v>
      </c>
      <c r="Y1310" s="8" t="s">
        <v>41</v>
      </c>
      <c r="Z1310" s="10" t="s">
        <v>42</v>
      </c>
      <c r="AA1310" s="10" t="s">
        <v>43</v>
      </c>
      <c r="AB1310" s="10" t="s">
        <v>44</v>
      </c>
      <c r="AC1310" s="8" t="s">
        <v>44</v>
      </c>
    </row>
    <row r="1311" spans="1:29">
      <c r="A1311" s="11">
        <v>1304</v>
      </c>
      <c r="B1311" s="11" t="s">
        <v>1632</v>
      </c>
      <c r="C1311" s="11" t="s">
        <v>1630</v>
      </c>
      <c r="D1311" s="11" t="s">
        <v>655</v>
      </c>
      <c r="E1311" s="11" t="s">
        <v>34</v>
      </c>
      <c r="F1311" s="11" t="s">
        <v>35</v>
      </c>
      <c r="G1311" s="9" t="s">
        <v>52</v>
      </c>
      <c r="H1311" s="9" t="s">
        <v>37</v>
      </c>
      <c r="I1311" s="9" t="s">
        <v>38</v>
      </c>
      <c r="J1311" s="11">
        <v>128</v>
      </c>
      <c r="K1311" s="11" t="s">
        <v>159</v>
      </c>
      <c r="L1311" s="11" t="s">
        <v>55</v>
      </c>
      <c r="M1311" s="13">
        <v>1</v>
      </c>
      <c r="N1311" s="16">
        <v>7000.0</v>
      </c>
      <c r="O1311" s="16"/>
      <c r="P1311" s="18">
        <f>IF(N1311&gt;0, O1311/N1311, 0)</f>
        <v>0</v>
      </c>
      <c r="Q1311" s="16">
        <f>N1311-O1311</f>
        <v>7000</v>
      </c>
      <c r="R1311" s="16">
        <f>M1311*N1311</f>
        <v>7000</v>
      </c>
      <c r="S1311" s="16">
        <f>M1311*O1311</f>
        <v>0</v>
      </c>
      <c r="T1311" s="16">
        <f>M1311*Q1311</f>
        <v>7000</v>
      </c>
      <c r="U1311" s="16"/>
      <c r="V1311" s="16">
        <f>M1311*U1311</f>
        <v>0</v>
      </c>
      <c r="W1311" s="16">
        <f>T1311-V1311</f>
        <v>7000</v>
      </c>
      <c r="X1311" s="18">
        <f>IF(T1311&gt;0, W1311/T1311, 0)</f>
        <v>1</v>
      </c>
      <c r="Y1311" s="9" t="s">
        <v>41</v>
      </c>
      <c r="Z1311" s="11" t="s">
        <v>42</v>
      </c>
      <c r="AA1311" s="11" t="s">
        <v>43</v>
      </c>
      <c r="AB1311" s="11" t="s">
        <v>44</v>
      </c>
      <c r="AC1311" s="9" t="s">
        <v>44</v>
      </c>
    </row>
    <row r="1312" spans="1:29">
      <c r="A1312" s="10">
        <v>1305</v>
      </c>
      <c r="B1312" s="10" t="s">
        <v>1633</v>
      </c>
      <c r="C1312" s="10" t="s">
        <v>1630</v>
      </c>
      <c r="D1312" s="10" t="s">
        <v>655</v>
      </c>
      <c r="E1312" s="10" t="s">
        <v>70</v>
      </c>
      <c r="F1312" s="10" t="s">
        <v>35</v>
      </c>
      <c r="G1312" s="8" t="s">
        <v>36</v>
      </c>
      <c r="H1312" s="8" t="s">
        <v>71</v>
      </c>
      <c r="I1312" s="8" t="s">
        <v>71</v>
      </c>
      <c r="J1312" s="10">
        <v>164</v>
      </c>
      <c r="K1312" s="10" t="s">
        <v>72</v>
      </c>
      <c r="L1312" s="10" t="s">
        <v>40</v>
      </c>
      <c r="M1312" s="12">
        <v>2</v>
      </c>
      <c r="N1312" s="15">
        <v>18000.0</v>
      </c>
      <c r="O1312" s="15"/>
      <c r="P1312" s="17">
        <f>IF(N1312&gt;0, O1312/N1312, 0)</f>
        <v>0</v>
      </c>
      <c r="Q1312" s="15">
        <f>N1312-O1312</f>
        <v>18000</v>
      </c>
      <c r="R1312" s="15">
        <f>M1312*N1312</f>
        <v>36000</v>
      </c>
      <c r="S1312" s="15">
        <f>M1312*O1312</f>
        <v>0</v>
      </c>
      <c r="T1312" s="15">
        <f>M1312*Q1312</f>
        <v>36000</v>
      </c>
      <c r="U1312" s="15"/>
      <c r="V1312" s="15">
        <f>M1312*U1312</f>
        <v>0</v>
      </c>
      <c r="W1312" s="15">
        <f>T1312-V1312</f>
        <v>36000</v>
      </c>
      <c r="X1312" s="17">
        <f>IF(T1312&gt;0, W1312/T1312, 0)</f>
        <v>1</v>
      </c>
      <c r="Y1312" s="8" t="s">
        <v>41</v>
      </c>
      <c r="Z1312" s="10" t="s">
        <v>42</v>
      </c>
      <c r="AA1312" s="10" t="s">
        <v>73</v>
      </c>
      <c r="AB1312" s="10" t="s">
        <v>44</v>
      </c>
      <c r="AC1312" s="8" t="s">
        <v>44</v>
      </c>
    </row>
    <row r="1313" spans="1:29">
      <c r="A1313" s="11">
        <v>1306</v>
      </c>
      <c r="B1313" s="11" t="s">
        <v>1634</v>
      </c>
      <c r="C1313" s="11" t="s">
        <v>1630</v>
      </c>
      <c r="D1313" s="11" t="s">
        <v>655</v>
      </c>
      <c r="E1313" s="11" t="s">
        <v>70</v>
      </c>
      <c r="F1313" s="11" t="s">
        <v>35</v>
      </c>
      <c r="G1313" s="9" t="s">
        <v>36</v>
      </c>
      <c r="H1313" s="9" t="s">
        <v>37</v>
      </c>
      <c r="I1313" s="9" t="s">
        <v>38</v>
      </c>
      <c r="J1313" s="11">
        <v>170</v>
      </c>
      <c r="K1313" s="11" t="s">
        <v>145</v>
      </c>
      <c r="L1313" s="11" t="s">
        <v>40</v>
      </c>
      <c r="M1313" s="13">
        <v>2</v>
      </c>
      <c r="N1313" s="16">
        <v>10000.0</v>
      </c>
      <c r="O1313" s="16"/>
      <c r="P1313" s="18">
        <f>IF(N1313&gt;0, O1313/N1313, 0)</f>
        <v>0</v>
      </c>
      <c r="Q1313" s="16">
        <f>N1313-O1313</f>
        <v>10000</v>
      </c>
      <c r="R1313" s="16">
        <f>M1313*N1313</f>
        <v>20000</v>
      </c>
      <c r="S1313" s="16">
        <f>M1313*O1313</f>
        <v>0</v>
      </c>
      <c r="T1313" s="16">
        <f>M1313*Q1313</f>
        <v>20000</v>
      </c>
      <c r="U1313" s="16"/>
      <c r="V1313" s="16">
        <f>M1313*U1313</f>
        <v>0</v>
      </c>
      <c r="W1313" s="16">
        <f>T1313-V1313</f>
        <v>20000</v>
      </c>
      <c r="X1313" s="18">
        <f>IF(T1313&gt;0, W1313/T1313, 0)</f>
        <v>1</v>
      </c>
      <c r="Y1313" s="9" t="s">
        <v>41</v>
      </c>
      <c r="Z1313" s="11" t="s">
        <v>42</v>
      </c>
      <c r="AA1313" s="11" t="s">
        <v>73</v>
      </c>
      <c r="AB1313" s="11" t="s">
        <v>44</v>
      </c>
      <c r="AC1313" s="9" t="s">
        <v>44</v>
      </c>
    </row>
    <row r="1314" spans="1:29">
      <c r="A1314" s="10">
        <v>1307</v>
      </c>
      <c r="B1314" s="10" t="s">
        <v>1635</v>
      </c>
      <c r="C1314" s="10" t="s">
        <v>1630</v>
      </c>
      <c r="D1314" s="10" t="s">
        <v>655</v>
      </c>
      <c r="E1314" s="10" t="s">
        <v>34</v>
      </c>
      <c r="F1314" s="10" t="s">
        <v>35</v>
      </c>
      <c r="G1314" s="8" t="s">
        <v>36</v>
      </c>
      <c r="H1314" s="8" t="s">
        <v>53</v>
      </c>
      <c r="I1314" s="8" t="s">
        <v>53</v>
      </c>
      <c r="J1314" s="10">
        <v>170</v>
      </c>
      <c r="K1314" s="10" t="s">
        <v>1142</v>
      </c>
      <c r="L1314" s="10" t="s">
        <v>40</v>
      </c>
      <c r="M1314" s="12">
        <v>1</v>
      </c>
      <c r="N1314" s="15">
        <v>8500.0</v>
      </c>
      <c r="O1314" s="15"/>
      <c r="P1314" s="17">
        <f>IF(N1314&gt;0, O1314/N1314, 0)</f>
        <v>0</v>
      </c>
      <c r="Q1314" s="15">
        <f>N1314-O1314</f>
        <v>8500</v>
      </c>
      <c r="R1314" s="15">
        <f>M1314*N1314</f>
        <v>8500</v>
      </c>
      <c r="S1314" s="15">
        <f>M1314*O1314</f>
        <v>0</v>
      </c>
      <c r="T1314" s="15">
        <f>M1314*Q1314</f>
        <v>8500</v>
      </c>
      <c r="U1314" s="15"/>
      <c r="V1314" s="15">
        <f>M1314*U1314</f>
        <v>0</v>
      </c>
      <c r="W1314" s="15">
        <f>T1314-V1314</f>
        <v>8500</v>
      </c>
      <c r="X1314" s="17">
        <f>IF(T1314&gt;0, W1314/T1314, 0)</f>
        <v>1</v>
      </c>
      <c r="Y1314" s="8" t="s">
        <v>41</v>
      </c>
      <c r="Z1314" s="10" t="s">
        <v>42</v>
      </c>
      <c r="AA1314" s="10" t="s">
        <v>43</v>
      </c>
      <c r="AB1314" s="10" t="s">
        <v>44</v>
      </c>
      <c r="AC1314" s="8" t="s">
        <v>44</v>
      </c>
    </row>
    <row r="1315" spans="1:29">
      <c r="A1315" s="11">
        <v>1308</v>
      </c>
      <c r="B1315" s="11" t="s">
        <v>1636</v>
      </c>
      <c r="C1315" s="11" t="s">
        <v>1630</v>
      </c>
      <c r="D1315" s="11" t="s">
        <v>655</v>
      </c>
      <c r="E1315" s="11" t="s">
        <v>34</v>
      </c>
      <c r="F1315" s="11" t="s">
        <v>35</v>
      </c>
      <c r="G1315" s="9" t="s">
        <v>36</v>
      </c>
      <c r="H1315" s="9" t="s">
        <v>37</v>
      </c>
      <c r="I1315" s="9" t="s">
        <v>38</v>
      </c>
      <c r="J1315" s="11">
        <v>164</v>
      </c>
      <c r="K1315" s="11" t="s">
        <v>79</v>
      </c>
      <c r="L1315" s="11" t="s">
        <v>40</v>
      </c>
      <c r="M1315" s="13">
        <v>2</v>
      </c>
      <c r="N1315" s="16">
        <v>8000.0</v>
      </c>
      <c r="O1315" s="16"/>
      <c r="P1315" s="18">
        <f>IF(N1315&gt;0, O1315/N1315, 0)</f>
        <v>0</v>
      </c>
      <c r="Q1315" s="16">
        <f>N1315-O1315</f>
        <v>8000</v>
      </c>
      <c r="R1315" s="16">
        <f>M1315*N1315</f>
        <v>16000</v>
      </c>
      <c r="S1315" s="16">
        <f>M1315*O1315</f>
        <v>0</v>
      </c>
      <c r="T1315" s="16">
        <f>M1315*Q1315</f>
        <v>16000</v>
      </c>
      <c r="U1315" s="16"/>
      <c r="V1315" s="16">
        <f>M1315*U1315</f>
        <v>0</v>
      </c>
      <c r="W1315" s="16">
        <f>T1315-V1315</f>
        <v>16000</v>
      </c>
      <c r="X1315" s="18">
        <f>IF(T1315&gt;0, W1315/T1315, 0)</f>
        <v>1</v>
      </c>
      <c r="Y1315" s="9" t="s">
        <v>41</v>
      </c>
      <c r="Z1315" s="11" t="s">
        <v>42</v>
      </c>
      <c r="AA1315" s="11" t="s">
        <v>43</v>
      </c>
      <c r="AB1315" s="11" t="s">
        <v>44</v>
      </c>
      <c r="AC1315" s="9" t="s">
        <v>44</v>
      </c>
    </row>
    <row r="1316" spans="1:29">
      <c r="A1316" s="10">
        <v>1309</v>
      </c>
      <c r="B1316" s="10" t="s">
        <v>1637</v>
      </c>
      <c r="C1316" s="10" t="s">
        <v>1630</v>
      </c>
      <c r="D1316" s="10" t="s">
        <v>655</v>
      </c>
      <c r="E1316" s="10" t="s">
        <v>34</v>
      </c>
      <c r="F1316" s="10" t="s">
        <v>35</v>
      </c>
      <c r="G1316" s="8" t="s">
        <v>36</v>
      </c>
      <c r="H1316" s="8" t="s">
        <v>37</v>
      </c>
      <c r="I1316" s="8" t="s">
        <v>75</v>
      </c>
      <c r="J1316" s="10">
        <v>164</v>
      </c>
      <c r="K1316" s="10" t="s">
        <v>76</v>
      </c>
      <c r="L1316" s="10" t="s">
        <v>40</v>
      </c>
      <c r="M1316" s="12">
        <v>1</v>
      </c>
      <c r="N1316" s="15">
        <v>9000.0</v>
      </c>
      <c r="O1316" s="15"/>
      <c r="P1316" s="17">
        <f>IF(N1316&gt;0, O1316/N1316, 0)</f>
        <v>0</v>
      </c>
      <c r="Q1316" s="15">
        <f>N1316-O1316</f>
        <v>9000</v>
      </c>
      <c r="R1316" s="15">
        <f>M1316*N1316</f>
        <v>9000</v>
      </c>
      <c r="S1316" s="15">
        <f>M1316*O1316</f>
        <v>0</v>
      </c>
      <c r="T1316" s="15">
        <f>M1316*Q1316</f>
        <v>9000</v>
      </c>
      <c r="U1316" s="15"/>
      <c r="V1316" s="15">
        <f>M1316*U1316</f>
        <v>0</v>
      </c>
      <c r="W1316" s="15">
        <f>T1316-V1316</f>
        <v>9000</v>
      </c>
      <c r="X1316" s="17">
        <f>IF(T1316&gt;0, W1316/T1316, 0)</f>
        <v>1</v>
      </c>
      <c r="Y1316" s="8" t="s">
        <v>41</v>
      </c>
      <c r="Z1316" s="10" t="s">
        <v>42</v>
      </c>
      <c r="AA1316" s="10" t="s">
        <v>43</v>
      </c>
      <c r="AB1316" s="10" t="s">
        <v>44</v>
      </c>
      <c r="AC1316" s="8" t="s">
        <v>44</v>
      </c>
    </row>
    <row r="1317" spans="1:29">
      <c r="A1317" s="11">
        <v>1310</v>
      </c>
      <c r="B1317" s="11" t="s">
        <v>1638</v>
      </c>
      <c r="C1317" s="11" t="s">
        <v>1630</v>
      </c>
      <c r="D1317" s="11" t="s">
        <v>655</v>
      </c>
      <c r="E1317" s="11" t="s">
        <v>34</v>
      </c>
      <c r="F1317" s="11" t="s">
        <v>35</v>
      </c>
      <c r="G1317" s="9" t="s">
        <v>36</v>
      </c>
      <c r="H1317" s="9" t="s">
        <v>47</v>
      </c>
      <c r="I1317" s="9" t="s">
        <v>48</v>
      </c>
      <c r="J1317" s="11">
        <v>164</v>
      </c>
      <c r="K1317" s="11" t="s">
        <v>321</v>
      </c>
      <c r="L1317" s="11" t="s">
        <v>40</v>
      </c>
      <c r="M1317" s="13">
        <v>1</v>
      </c>
      <c r="N1317" s="16">
        <v>18000.0</v>
      </c>
      <c r="O1317" s="16"/>
      <c r="P1317" s="18">
        <f>IF(N1317&gt;0, O1317/N1317, 0)</f>
        <v>0</v>
      </c>
      <c r="Q1317" s="16">
        <f>N1317-O1317</f>
        <v>18000</v>
      </c>
      <c r="R1317" s="16">
        <f>M1317*N1317</f>
        <v>18000</v>
      </c>
      <c r="S1317" s="16">
        <f>M1317*O1317</f>
        <v>0</v>
      </c>
      <c r="T1317" s="16">
        <f>M1317*Q1317</f>
        <v>18000</v>
      </c>
      <c r="U1317" s="16"/>
      <c r="V1317" s="16">
        <f>M1317*U1317</f>
        <v>0</v>
      </c>
      <c r="W1317" s="16">
        <f>T1317-V1317</f>
        <v>18000</v>
      </c>
      <c r="X1317" s="18">
        <f>IF(T1317&gt;0, W1317/T1317, 0)</f>
        <v>1</v>
      </c>
      <c r="Y1317" s="9" t="s">
        <v>41</v>
      </c>
      <c r="Z1317" s="11" t="s">
        <v>42</v>
      </c>
      <c r="AA1317" s="11" t="s">
        <v>43</v>
      </c>
      <c r="AB1317" s="11" t="s">
        <v>44</v>
      </c>
      <c r="AC1317" s="9" t="s">
        <v>44</v>
      </c>
    </row>
    <row r="1318" spans="1:29">
      <c r="A1318" s="10">
        <v>1311</v>
      </c>
      <c r="B1318" s="10" t="s">
        <v>1639</v>
      </c>
      <c r="C1318" s="10" t="s">
        <v>1630</v>
      </c>
      <c r="D1318" s="10" t="s">
        <v>655</v>
      </c>
      <c r="E1318" s="10" t="s">
        <v>70</v>
      </c>
      <c r="F1318" s="10" t="s">
        <v>35</v>
      </c>
      <c r="G1318" s="8" t="s">
        <v>36</v>
      </c>
      <c r="H1318" s="8" t="s">
        <v>37</v>
      </c>
      <c r="I1318" s="8" t="s">
        <v>38</v>
      </c>
      <c r="J1318" s="10">
        <v>164</v>
      </c>
      <c r="K1318" s="10" t="s">
        <v>79</v>
      </c>
      <c r="L1318" s="10" t="s">
        <v>40</v>
      </c>
      <c r="M1318" s="12">
        <v>2</v>
      </c>
      <c r="N1318" s="15">
        <v>8000.0</v>
      </c>
      <c r="O1318" s="15"/>
      <c r="P1318" s="17">
        <f>IF(N1318&gt;0, O1318/N1318, 0)</f>
        <v>0</v>
      </c>
      <c r="Q1318" s="15">
        <f>N1318-O1318</f>
        <v>8000</v>
      </c>
      <c r="R1318" s="15">
        <f>M1318*N1318</f>
        <v>16000</v>
      </c>
      <c r="S1318" s="15">
        <f>M1318*O1318</f>
        <v>0</v>
      </c>
      <c r="T1318" s="15">
        <f>M1318*Q1318</f>
        <v>16000</v>
      </c>
      <c r="U1318" s="15"/>
      <c r="V1318" s="15">
        <f>M1318*U1318</f>
        <v>0</v>
      </c>
      <c r="W1318" s="15">
        <f>T1318-V1318</f>
        <v>16000</v>
      </c>
      <c r="X1318" s="17">
        <f>IF(T1318&gt;0, W1318/T1318, 0)</f>
        <v>1</v>
      </c>
      <c r="Y1318" s="8" t="s">
        <v>41</v>
      </c>
      <c r="Z1318" s="10" t="s">
        <v>42</v>
      </c>
      <c r="AA1318" s="10" t="s">
        <v>73</v>
      </c>
      <c r="AB1318" s="10" t="s">
        <v>44</v>
      </c>
      <c r="AC1318" s="8" t="s">
        <v>44</v>
      </c>
    </row>
    <row r="1319" spans="1:29">
      <c r="A1319" s="11">
        <v>1312</v>
      </c>
      <c r="B1319" s="11" t="s">
        <v>1640</v>
      </c>
      <c r="C1319" s="11" t="s">
        <v>1630</v>
      </c>
      <c r="D1319" s="11" t="s">
        <v>655</v>
      </c>
      <c r="E1319" s="11" t="s">
        <v>34</v>
      </c>
      <c r="F1319" s="11" t="s">
        <v>35</v>
      </c>
      <c r="G1319" s="9" t="s">
        <v>52</v>
      </c>
      <c r="H1319" s="9" t="s">
        <v>47</v>
      </c>
      <c r="I1319" s="9" t="s">
        <v>48</v>
      </c>
      <c r="J1319" s="11">
        <v>122</v>
      </c>
      <c r="K1319" s="11" t="s">
        <v>479</v>
      </c>
      <c r="L1319" s="11" t="s">
        <v>40</v>
      </c>
      <c r="M1319" s="13">
        <v>1</v>
      </c>
      <c r="N1319" s="16">
        <v>18000.0</v>
      </c>
      <c r="O1319" s="16"/>
      <c r="P1319" s="18">
        <f>IF(N1319&gt;0, O1319/N1319, 0)</f>
        <v>0</v>
      </c>
      <c r="Q1319" s="16">
        <f>N1319-O1319</f>
        <v>18000</v>
      </c>
      <c r="R1319" s="16">
        <f>M1319*N1319</f>
        <v>18000</v>
      </c>
      <c r="S1319" s="16">
        <f>M1319*O1319</f>
        <v>0</v>
      </c>
      <c r="T1319" s="16">
        <f>M1319*Q1319</f>
        <v>18000</v>
      </c>
      <c r="U1319" s="16"/>
      <c r="V1319" s="16">
        <f>M1319*U1319</f>
        <v>0</v>
      </c>
      <c r="W1319" s="16">
        <f>T1319-V1319</f>
        <v>18000</v>
      </c>
      <c r="X1319" s="18">
        <f>IF(T1319&gt;0, W1319/T1319, 0)</f>
        <v>1</v>
      </c>
      <c r="Y1319" s="9" t="s">
        <v>41</v>
      </c>
      <c r="Z1319" s="11" t="s">
        <v>42</v>
      </c>
      <c r="AA1319" s="11" t="s">
        <v>43</v>
      </c>
      <c r="AB1319" s="11" t="s">
        <v>44</v>
      </c>
      <c r="AC1319" s="9" t="s">
        <v>44</v>
      </c>
    </row>
    <row r="1320" spans="1:29">
      <c r="A1320" s="10">
        <v>1313</v>
      </c>
      <c r="B1320" s="10" t="s">
        <v>1641</v>
      </c>
      <c r="C1320" s="10" t="s">
        <v>1630</v>
      </c>
      <c r="D1320" s="10" t="s">
        <v>655</v>
      </c>
      <c r="E1320" s="10" t="s">
        <v>34</v>
      </c>
      <c r="F1320" s="10" t="s">
        <v>35</v>
      </c>
      <c r="G1320" s="8" t="s">
        <v>52</v>
      </c>
      <c r="H1320" s="8" t="s">
        <v>53</v>
      </c>
      <c r="I1320" s="8" t="s">
        <v>53</v>
      </c>
      <c r="J1320" s="10">
        <v>122</v>
      </c>
      <c r="K1320" s="10" t="s">
        <v>84</v>
      </c>
      <c r="L1320" s="10" t="s">
        <v>55</v>
      </c>
      <c r="M1320" s="12">
        <v>1</v>
      </c>
      <c r="N1320" s="15">
        <v>8000.0</v>
      </c>
      <c r="O1320" s="15"/>
      <c r="P1320" s="17">
        <f>IF(N1320&gt;0, O1320/N1320, 0)</f>
        <v>0</v>
      </c>
      <c r="Q1320" s="15">
        <f>N1320-O1320</f>
        <v>8000</v>
      </c>
      <c r="R1320" s="15">
        <f>M1320*N1320</f>
        <v>8000</v>
      </c>
      <c r="S1320" s="15">
        <f>M1320*O1320</f>
        <v>0</v>
      </c>
      <c r="T1320" s="15">
        <f>M1320*Q1320</f>
        <v>8000</v>
      </c>
      <c r="U1320" s="15"/>
      <c r="V1320" s="15">
        <f>M1320*U1320</f>
        <v>0</v>
      </c>
      <c r="W1320" s="15">
        <f>T1320-V1320</f>
        <v>8000</v>
      </c>
      <c r="X1320" s="17">
        <f>IF(T1320&gt;0, W1320/T1320, 0)</f>
        <v>1</v>
      </c>
      <c r="Y1320" s="8" t="s">
        <v>41</v>
      </c>
      <c r="Z1320" s="10" t="s">
        <v>42</v>
      </c>
      <c r="AA1320" s="10" t="s">
        <v>43</v>
      </c>
      <c r="AB1320" s="10" t="s">
        <v>44</v>
      </c>
      <c r="AC1320" s="8" t="s">
        <v>44</v>
      </c>
    </row>
    <row r="1321" spans="1:29">
      <c r="A1321" s="11">
        <v>1314</v>
      </c>
      <c r="B1321" s="11" t="s">
        <v>1642</v>
      </c>
      <c r="C1321" s="11" t="s">
        <v>1630</v>
      </c>
      <c r="D1321" s="11" t="s">
        <v>655</v>
      </c>
      <c r="E1321" s="11" t="s">
        <v>34</v>
      </c>
      <c r="F1321" s="11" t="s">
        <v>35</v>
      </c>
      <c r="G1321" s="9" t="s">
        <v>52</v>
      </c>
      <c r="H1321" s="9" t="s">
        <v>65</v>
      </c>
      <c r="I1321" s="9" t="s">
        <v>151</v>
      </c>
      <c r="J1321" s="11">
        <v>122</v>
      </c>
      <c r="K1321" s="11" t="s">
        <v>244</v>
      </c>
      <c r="L1321" s="11" t="s">
        <v>40</v>
      </c>
      <c r="M1321" s="13">
        <v>1</v>
      </c>
      <c r="N1321" s="16">
        <v>9000.0</v>
      </c>
      <c r="O1321" s="16"/>
      <c r="P1321" s="18">
        <f>IF(N1321&gt;0, O1321/N1321, 0)</f>
        <v>0</v>
      </c>
      <c r="Q1321" s="16">
        <f>N1321-O1321</f>
        <v>9000</v>
      </c>
      <c r="R1321" s="16">
        <f>M1321*N1321</f>
        <v>9000</v>
      </c>
      <c r="S1321" s="16">
        <f>M1321*O1321</f>
        <v>0</v>
      </c>
      <c r="T1321" s="16">
        <f>M1321*Q1321</f>
        <v>9000</v>
      </c>
      <c r="U1321" s="16"/>
      <c r="V1321" s="16">
        <f>M1321*U1321</f>
        <v>0</v>
      </c>
      <c r="W1321" s="16">
        <f>T1321-V1321</f>
        <v>9000</v>
      </c>
      <c r="X1321" s="18">
        <f>IF(T1321&gt;0, W1321/T1321, 0)</f>
        <v>1</v>
      </c>
      <c r="Y1321" s="9" t="s">
        <v>41</v>
      </c>
      <c r="Z1321" s="11" t="s">
        <v>42</v>
      </c>
      <c r="AA1321" s="11" t="s">
        <v>43</v>
      </c>
      <c r="AB1321" s="11" t="s">
        <v>44</v>
      </c>
      <c r="AC1321" s="9" t="s">
        <v>44</v>
      </c>
    </row>
    <row r="1322" spans="1:29">
      <c r="A1322" s="10">
        <v>1315</v>
      </c>
      <c r="B1322" s="10" t="s">
        <v>1643</v>
      </c>
      <c r="C1322" s="10" t="s">
        <v>1630</v>
      </c>
      <c r="D1322" s="10" t="s">
        <v>655</v>
      </c>
      <c r="E1322" s="10" t="s">
        <v>34</v>
      </c>
      <c r="F1322" s="10" t="s">
        <v>35</v>
      </c>
      <c r="G1322" s="8" t="s">
        <v>52</v>
      </c>
      <c r="H1322" s="8" t="s">
        <v>37</v>
      </c>
      <c r="I1322" s="8" t="s">
        <v>75</v>
      </c>
      <c r="J1322" s="10">
        <v>122</v>
      </c>
      <c r="K1322" s="10" t="s">
        <v>104</v>
      </c>
      <c r="L1322" s="10" t="s">
        <v>55</v>
      </c>
      <c r="M1322" s="12">
        <v>2</v>
      </c>
      <c r="N1322" s="15">
        <v>8000.0</v>
      </c>
      <c r="O1322" s="15"/>
      <c r="P1322" s="17">
        <f>IF(N1322&gt;0, O1322/N1322, 0)</f>
        <v>0</v>
      </c>
      <c r="Q1322" s="15">
        <f>N1322-O1322</f>
        <v>8000</v>
      </c>
      <c r="R1322" s="15">
        <f>M1322*N1322</f>
        <v>16000</v>
      </c>
      <c r="S1322" s="15">
        <f>M1322*O1322</f>
        <v>0</v>
      </c>
      <c r="T1322" s="15">
        <f>M1322*Q1322</f>
        <v>16000</v>
      </c>
      <c r="U1322" s="15"/>
      <c r="V1322" s="15">
        <f>M1322*U1322</f>
        <v>0</v>
      </c>
      <c r="W1322" s="15">
        <f>T1322-V1322</f>
        <v>16000</v>
      </c>
      <c r="X1322" s="17">
        <f>IF(T1322&gt;0, W1322/T1322, 0)</f>
        <v>1</v>
      </c>
      <c r="Y1322" s="8" t="s">
        <v>41</v>
      </c>
      <c r="Z1322" s="10" t="s">
        <v>42</v>
      </c>
      <c r="AA1322" s="10" t="s">
        <v>43</v>
      </c>
      <c r="AB1322" s="10" t="s">
        <v>44</v>
      </c>
      <c r="AC1322" s="8" t="s">
        <v>44</v>
      </c>
    </row>
    <row r="1323" spans="1:29">
      <c r="A1323" s="11">
        <v>1316</v>
      </c>
      <c r="B1323" s="11" t="s">
        <v>1644</v>
      </c>
      <c r="C1323" s="11" t="s">
        <v>1630</v>
      </c>
      <c r="D1323" s="11" t="s">
        <v>655</v>
      </c>
      <c r="E1323" s="11" t="s">
        <v>34</v>
      </c>
      <c r="F1323" s="11" t="s">
        <v>35</v>
      </c>
      <c r="G1323" s="9" t="s">
        <v>52</v>
      </c>
      <c r="H1323" s="9" t="s">
        <v>37</v>
      </c>
      <c r="I1323" s="9" t="s">
        <v>38</v>
      </c>
      <c r="J1323" s="11">
        <v>122</v>
      </c>
      <c r="K1323" s="11" t="s">
        <v>107</v>
      </c>
      <c r="L1323" s="11" t="s">
        <v>55</v>
      </c>
      <c r="M1323" s="13">
        <v>2</v>
      </c>
      <c r="N1323" s="16">
        <v>7000.0</v>
      </c>
      <c r="O1323" s="16"/>
      <c r="P1323" s="18">
        <f>IF(N1323&gt;0, O1323/N1323, 0)</f>
        <v>0</v>
      </c>
      <c r="Q1323" s="16">
        <f>N1323-O1323</f>
        <v>7000</v>
      </c>
      <c r="R1323" s="16">
        <f>M1323*N1323</f>
        <v>14000</v>
      </c>
      <c r="S1323" s="16">
        <f>M1323*O1323</f>
        <v>0</v>
      </c>
      <c r="T1323" s="16">
        <f>M1323*Q1323</f>
        <v>14000</v>
      </c>
      <c r="U1323" s="16"/>
      <c r="V1323" s="16">
        <f>M1323*U1323</f>
        <v>0</v>
      </c>
      <c r="W1323" s="16">
        <f>T1323-V1323</f>
        <v>14000</v>
      </c>
      <c r="X1323" s="18">
        <f>IF(T1323&gt;0, W1323/T1323, 0)</f>
        <v>1</v>
      </c>
      <c r="Y1323" s="9" t="s">
        <v>41</v>
      </c>
      <c r="Z1323" s="11" t="s">
        <v>42</v>
      </c>
      <c r="AA1323" s="11" t="s">
        <v>43</v>
      </c>
      <c r="AB1323" s="11" t="s">
        <v>44</v>
      </c>
      <c r="AC1323" s="9" t="s">
        <v>44</v>
      </c>
    </row>
    <row r="1324" spans="1:29">
      <c r="A1324" s="10">
        <v>1317</v>
      </c>
      <c r="B1324" s="10" t="s">
        <v>1645</v>
      </c>
      <c r="C1324" s="10" t="s">
        <v>1630</v>
      </c>
      <c r="D1324" s="10" t="s">
        <v>655</v>
      </c>
      <c r="E1324" s="10" t="s">
        <v>34</v>
      </c>
      <c r="F1324" s="10" t="s">
        <v>35</v>
      </c>
      <c r="G1324" s="8" t="s">
        <v>52</v>
      </c>
      <c r="H1324" s="8" t="s">
        <v>58</v>
      </c>
      <c r="I1324" s="8" t="s">
        <v>58</v>
      </c>
      <c r="J1324" s="10">
        <v>164</v>
      </c>
      <c r="K1324" s="10" t="s">
        <v>412</v>
      </c>
      <c r="L1324" s="10" t="s">
        <v>40</v>
      </c>
      <c r="M1324" s="12">
        <v>1</v>
      </c>
      <c r="N1324" s="15">
        <v>7500.0</v>
      </c>
      <c r="O1324" s="15"/>
      <c r="P1324" s="17">
        <f>IF(N1324&gt;0, O1324/N1324, 0)</f>
        <v>0</v>
      </c>
      <c r="Q1324" s="15">
        <f>N1324-O1324</f>
        <v>7500</v>
      </c>
      <c r="R1324" s="15">
        <f>M1324*N1324</f>
        <v>7500</v>
      </c>
      <c r="S1324" s="15">
        <f>M1324*O1324</f>
        <v>0</v>
      </c>
      <c r="T1324" s="15">
        <f>M1324*Q1324</f>
        <v>7500</v>
      </c>
      <c r="U1324" s="15"/>
      <c r="V1324" s="15">
        <f>M1324*U1324</f>
        <v>0</v>
      </c>
      <c r="W1324" s="15">
        <f>T1324-V1324</f>
        <v>7500</v>
      </c>
      <c r="X1324" s="17">
        <f>IF(T1324&gt;0, W1324/T1324, 0)</f>
        <v>1</v>
      </c>
      <c r="Y1324" s="8" t="s">
        <v>41</v>
      </c>
      <c r="Z1324" s="10" t="s">
        <v>42</v>
      </c>
      <c r="AA1324" s="10" t="s">
        <v>43</v>
      </c>
      <c r="AB1324" s="10" t="s">
        <v>44</v>
      </c>
      <c r="AC1324" s="8" t="s">
        <v>44</v>
      </c>
    </row>
    <row r="1325" spans="1:29">
      <c r="A1325" s="11">
        <v>1318</v>
      </c>
      <c r="B1325" s="11" t="s">
        <v>1646</v>
      </c>
      <c r="C1325" s="11" t="s">
        <v>1630</v>
      </c>
      <c r="D1325" s="11" t="s">
        <v>655</v>
      </c>
      <c r="E1325" s="11" t="s">
        <v>34</v>
      </c>
      <c r="F1325" s="11" t="s">
        <v>35</v>
      </c>
      <c r="G1325" s="9" t="s">
        <v>52</v>
      </c>
      <c r="H1325" s="9" t="s">
        <v>37</v>
      </c>
      <c r="I1325" s="9" t="s">
        <v>38</v>
      </c>
      <c r="J1325" s="11">
        <v>176</v>
      </c>
      <c r="K1325" s="11" t="s">
        <v>698</v>
      </c>
      <c r="L1325" s="11" t="s">
        <v>55</v>
      </c>
      <c r="M1325" s="13">
        <v>1</v>
      </c>
      <c r="N1325" s="16">
        <v>7000.0</v>
      </c>
      <c r="O1325" s="16"/>
      <c r="P1325" s="18">
        <f>IF(N1325&gt;0, O1325/N1325, 0)</f>
        <v>0</v>
      </c>
      <c r="Q1325" s="16">
        <f>N1325-O1325</f>
        <v>7000</v>
      </c>
      <c r="R1325" s="16">
        <f>M1325*N1325</f>
        <v>7000</v>
      </c>
      <c r="S1325" s="16">
        <f>M1325*O1325</f>
        <v>0</v>
      </c>
      <c r="T1325" s="16">
        <f>M1325*Q1325</f>
        <v>7000</v>
      </c>
      <c r="U1325" s="16"/>
      <c r="V1325" s="16">
        <f>M1325*U1325</f>
        <v>0</v>
      </c>
      <c r="W1325" s="16">
        <f>T1325-V1325</f>
        <v>7000</v>
      </c>
      <c r="X1325" s="18">
        <f>IF(T1325&gt;0, W1325/T1325, 0)</f>
        <v>1</v>
      </c>
      <c r="Y1325" s="9" t="s">
        <v>41</v>
      </c>
      <c r="Z1325" s="11" t="s">
        <v>42</v>
      </c>
      <c r="AA1325" s="11" t="s">
        <v>43</v>
      </c>
      <c r="AB1325" s="11" t="s">
        <v>44</v>
      </c>
      <c r="AC1325" s="9" t="s">
        <v>44</v>
      </c>
    </row>
    <row r="1326" spans="1:29">
      <c r="A1326" s="10">
        <v>1319</v>
      </c>
      <c r="B1326" s="10" t="s">
        <v>1647</v>
      </c>
      <c r="C1326" s="10" t="s">
        <v>1630</v>
      </c>
      <c r="D1326" s="10" t="s">
        <v>655</v>
      </c>
      <c r="E1326" s="10" t="s">
        <v>34</v>
      </c>
      <c r="F1326" s="10" t="s">
        <v>35</v>
      </c>
      <c r="G1326" s="8" t="s">
        <v>36</v>
      </c>
      <c r="H1326" s="8" t="s">
        <v>53</v>
      </c>
      <c r="I1326" s="8" t="s">
        <v>53</v>
      </c>
      <c r="J1326" s="10">
        <v>194</v>
      </c>
      <c r="K1326" s="10" t="s">
        <v>737</v>
      </c>
      <c r="L1326" s="10" t="s">
        <v>40</v>
      </c>
      <c r="M1326" s="12">
        <v>1</v>
      </c>
      <c r="N1326" s="15">
        <v>8500.0</v>
      </c>
      <c r="O1326" s="15"/>
      <c r="P1326" s="17">
        <f>IF(N1326&gt;0, O1326/N1326, 0)</f>
        <v>0</v>
      </c>
      <c r="Q1326" s="15">
        <f>N1326-O1326</f>
        <v>8500</v>
      </c>
      <c r="R1326" s="15">
        <f>M1326*N1326</f>
        <v>8500</v>
      </c>
      <c r="S1326" s="15">
        <f>M1326*O1326</f>
        <v>0</v>
      </c>
      <c r="T1326" s="15">
        <f>M1326*Q1326</f>
        <v>8500</v>
      </c>
      <c r="U1326" s="15"/>
      <c r="V1326" s="15">
        <f>M1326*U1326</f>
        <v>0</v>
      </c>
      <c r="W1326" s="15">
        <f>T1326-V1326</f>
        <v>8500</v>
      </c>
      <c r="X1326" s="17">
        <f>IF(T1326&gt;0, W1326/T1326, 0)</f>
        <v>1</v>
      </c>
      <c r="Y1326" s="8" t="s">
        <v>41</v>
      </c>
      <c r="Z1326" s="10" t="s">
        <v>42</v>
      </c>
      <c r="AA1326" s="10" t="s">
        <v>43</v>
      </c>
      <c r="AB1326" s="10" t="s">
        <v>44</v>
      </c>
      <c r="AC1326" s="8" t="s">
        <v>44</v>
      </c>
    </row>
    <row r="1327" spans="1:29">
      <c r="A1327" s="11">
        <v>1320</v>
      </c>
      <c r="B1327" s="11" t="s">
        <v>1648</v>
      </c>
      <c r="C1327" s="11" t="s">
        <v>1630</v>
      </c>
      <c r="D1327" s="11" t="s">
        <v>655</v>
      </c>
      <c r="E1327" s="11" t="s">
        <v>34</v>
      </c>
      <c r="F1327" s="11" t="s">
        <v>35</v>
      </c>
      <c r="G1327" s="9" t="s">
        <v>36</v>
      </c>
      <c r="H1327" s="9" t="s">
        <v>58</v>
      </c>
      <c r="I1327" s="9" t="s">
        <v>58</v>
      </c>
      <c r="J1327" s="11">
        <v>194</v>
      </c>
      <c r="K1327" s="11" t="s">
        <v>1181</v>
      </c>
      <c r="L1327" s="11" t="s">
        <v>40</v>
      </c>
      <c r="M1327" s="13">
        <v>1</v>
      </c>
      <c r="N1327" s="16">
        <v>7500.0</v>
      </c>
      <c r="O1327" s="16"/>
      <c r="P1327" s="18">
        <f>IF(N1327&gt;0, O1327/N1327, 0)</f>
        <v>0</v>
      </c>
      <c r="Q1327" s="16">
        <f>N1327-O1327</f>
        <v>7500</v>
      </c>
      <c r="R1327" s="16">
        <f>M1327*N1327</f>
        <v>7500</v>
      </c>
      <c r="S1327" s="16">
        <f>M1327*O1327</f>
        <v>0</v>
      </c>
      <c r="T1327" s="16">
        <f>M1327*Q1327</f>
        <v>7500</v>
      </c>
      <c r="U1327" s="16"/>
      <c r="V1327" s="16">
        <f>M1327*U1327</f>
        <v>0</v>
      </c>
      <c r="W1327" s="16">
        <f>T1327-V1327</f>
        <v>7500</v>
      </c>
      <c r="X1327" s="18">
        <f>IF(T1327&gt;0, W1327/T1327, 0)</f>
        <v>1</v>
      </c>
      <c r="Y1327" s="9" t="s">
        <v>41</v>
      </c>
      <c r="Z1327" s="11" t="s">
        <v>42</v>
      </c>
      <c r="AA1327" s="11" t="s">
        <v>43</v>
      </c>
      <c r="AB1327" s="11" t="s">
        <v>44</v>
      </c>
      <c r="AC1327" s="9" t="s">
        <v>44</v>
      </c>
    </row>
    <row r="1328" spans="1:29">
      <c r="A1328" s="10">
        <v>1321</v>
      </c>
      <c r="B1328" s="10" t="s">
        <v>1649</v>
      </c>
      <c r="C1328" s="10" t="s">
        <v>1630</v>
      </c>
      <c r="D1328" s="10" t="s">
        <v>655</v>
      </c>
      <c r="E1328" s="10" t="s">
        <v>34</v>
      </c>
      <c r="F1328" s="10" t="s">
        <v>35</v>
      </c>
      <c r="G1328" s="8" t="s">
        <v>36</v>
      </c>
      <c r="H1328" s="8" t="s">
        <v>65</v>
      </c>
      <c r="I1328" s="8" t="s">
        <v>151</v>
      </c>
      <c r="J1328" s="10">
        <v>188</v>
      </c>
      <c r="K1328" s="10" t="s">
        <v>172</v>
      </c>
      <c r="L1328" s="10" t="s">
        <v>40</v>
      </c>
      <c r="M1328" s="12">
        <v>1</v>
      </c>
      <c r="N1328" s="15">
        <v>9500.0</v>
      </c>
      <c r="O1328" s="15"/>
      <c r="P1328" s="17">
        <f>IF(N1328&gt;0, O1328/N1328, 0)</f>
        <v>0</v>
      </c>
      <c r="Q1328" s="15">
        <f>N1328-O1328</f>
        <v>9500</v>
      </c>
      <c r="R1328" s="15">
        <f>M1328*N1328</f>
        <v>9500</v>
      </c>
      <c r="S1328" s="15">
        <f>M1328*O1328</f>
        <v>0</v>
      </c>
      <c r="T1328" s="15">
        <f>M1328*Q1328</f>
        <v>9500</v>
      </c>
      <c r="U1328" s="15"/>
      <c r="V1328" s="15">
        <f>M1328*U1328</f>
        <v>0</v>
      </c>
      <c r="W1328" s="15">
        <f>T1328-V1328</f>
        <v>9500</v>
      </c>
      <c r="X1328" s="17">
        <f>IF(T1328&gt;0, W1328/T1328, 0)</f>
        <v>1</v>
      </c>
      <c r="Y1328" s="8" t="s">
        <v>41</v>
      </c>
      <c r="Z1328" s="10" t="s">
        <v>42</v>
      </c>
      <c r="AA1328" s="10" t="s">
        <v>43</v>
      </c>
      <c r="AB1328" s="10" t="s">
        <v>44</v>
      </c>
      <c r="AC1328" s="8" t="s">
        <v>44</v>
      </c>
    </row>
    <row r="1329" spans="1:29">
      <c r="A1329" s="11">
        <v>1322</v>
      </c>
      <c r="B1329" s="11" t="s">
        <v>1650</v>
      </c>
      <c r="C1329" s="11" t="s">
        <v>1630</v>
      </c>
      <c r="D1329" s="11" t="s">
        <v>655</v>
      </c>
      <c r="E1329" s="11" t="s">
        <v>34</v>
      </c>
      <c r="F1329" s="11" t="s">
        <v>35</v>
      </c>
      <c r="G1329" s="9" t="s">
        <v>36</v>
      </c>
      <c r="H1329" s="9" t="s">
        <v>37</v>
      </c>
      <c r="I1329" s="9" t="s">
        <v>75</v>
      </c>
      <c r="J1329" s="11">
        <v>194</v>
      </c>
      <c r="K1329" s="11" t="s">
        <v>1185</v>
      </c>
      <c r="L1329" s="11" t="s">
        <v>40</v>
      </c>
      <c r="M1329" s="13">
        <v>2</v>
      </c>
      <c r="N1329" s="16">
        <v>9000.0</v>
      </c>
      <c r="O1329" s="16"/>
      <c r="P1329" s="18">
        <f>IF(N1329&gt;0, O1329/N1329, 0)</f>
        <v>0</v>
      </c>
      <c r="Q1329" s="16">
        <f>N1329-O1329</f>
        <v>9000</v>
      </c>
      <c r="R1329" s="16">
        <f>M1329*N1329</f>
        <v>18000</v>
      </c>
      <c r="S1329" s="16">
        <f>M1329*O1329</f>
        <v>0</v>
      </c>
      <c r="T1329" s="16">
        <f>M1329*Q1329</f>
        <v>18000</v>
      </c>
      <c r="U1329" s="16"/>
      <c r="V1329" s="16">
        <f>M1329*U1329</f>
        <v>0</v>
      </c>
      <c r="W1329" s="16">
        <f>T1329-V1329</f>
        <v>18000</v>
      </c>
      <c r="X1329" s="18">
        <f>IF(T1329&gt;0, W1329/T1329, 0)</f>
        <v>1</v>
      </c>
      <c r="Y1329" s="9" t="s">
        <v>41</v>
      </c>
      <c r="Z1329" s="11" t="s">
        <v>42</v>
      </c>
      <c r="AA1329" s="11" t="s">
        <v>43</v>
      </c>
      <c r="AB1329" s="11" t="s">
        <v>44</v>
      </c>
      <c r="AC1329" s="9" t="s">
        <v>44</v>
      </c>
    </row>
    <row r="1330" spans="1:29">
      <c r="A1330" s="10">
        <v>1323</v>
      </c>
      <c r="B1330" s="10" t="s">
        <v>1651</v>
      </c>
      <c r="C1330" s="10" t="s">
        <v>1630</v>
      </c>
      <c r="D1330" s="10" t="s">
        <v>655</v>
      </c>
      <c r="E1330" s="10" t="s">
        <v>34</v>
      </c>
      <c r="F1330" s="10" t="s">
        <v>35</v>
      </c>
      <c r="G1330" s="8" t="s">
        <v>36</v>
      </c>
      <c r="H1330" s="8" t="s">
        <v>37</v>
      </c>
      <c r="I1330" s="8" t="s">
        <v>38</v>
      </c>
      <c r="J1330" s="10">
        <v>194</v>
      </c>
      <c r="K1330" s="10" t="s">
        <v>1033</v>
      </c>
      <c r="L1330" s="10" t="s">
        <v>40</v>
      </c>
      <c r="M1330" s="12">
        <v>1</v>
      </c>
      <c r="N1330" s="15">
        <v>8000.0</v>
      </c>
      <c r="O1330" s="15"/>
      <c r="P1330" s="17">
        <f>IF(N1330&gt;0, O1330/N1330, 0)</f>
        <v>0</v>
      </c>
      <c r="Q1330" s="15">
        <f>N1330-O1330</f>
        <v>8000</v>
      </c>
      <c r="R1330" s="15">
        <f>M1330*N1330</f>
        <v>8000</v>
      </c>
      <c r="S1330" s="15">
        <f>M1330*O1330</f>
        <v>0</v>
      </c>
      <c r="T1330" s="15">
        <f>M1330*Q1330</f>
        <v>8000</v>
      </c>
      <c r="U1330" s="15"/>
      <c r="V1330" s="15">
        <f>M1330*U1330</f>
        <v>0</v>
      </c>
      <c r="W1330" s="15">
        <f>T1330-V1330</f>
        <v>8000</v>
      </c>
      <c r="X1330" s="17">
        <f>IF(T1330&gt;0, W1330/T1330, 0)</f>
        <v>1</v>
      </c>
      <c r="Y1330" s="8" t="s">
        <v>41</v>
      </c>
      <c r="Z1330" s="10" t="s">
        <v>42</v>
      </c>
      <c r="AA1330" s="10" t="s">
        <v>43</v>
      </c>
      <c r="AB1330" s="10" t="s">
        <v>44</v>
      </c>
      <c r="AC1330" s="8" t="s">
        <v>44</v>
      </c>
    </row>
    <row r="1331" spans="1:29">
      <c r="A1331" s="11">
        <v>1324</v>
      </c>
      <c r="B1331" s="11" t="s">
        <v>1652</v>
      </c>
      <c r="C1331" s="11" t="s">
        <v>1630</v>
      </c>
      <c r="D1331" s="11" t="s">
        <v>655</v>
      </c>
      <c r="E1331" s="11" t="s">
        <v>34</v>
      </c>
      <c r="F1331" s="11" t="s">
        <v>35</v>
      </c>
      <c r="G1331" s="9" t="s">
        <v>36</v>
      </c>
      <c r="H1331" s="9" t="s">
        <v>53</v>
      </c>
      <c r="I1331" s="9" t="s">
        <v>53</v>
      </c>
      <c r="J1331" s="11">
        <v>164</v>
      </c>
      <c r="K1331" s="11" t="s">
        <v>63</v>
      </c>
      <c r="L1331" s="11" t="s">
        <v>40</v>
      </c>
      <c r="M1331" s="13">
        <v>1</v>
      </c>
      <c r="N1331" s="16">
        <v>8500.0</v>
      </c>
      <c r="O1331" s="16"/>
      <c r="P1331" s="18">
        <f>IF(N1331&gt;0, O1331/N1331, 0)</f>
        <v>0</v>
      </c>
      <c r="Q1331" s="16">
        <f>N1331-O1331</f>
        <v>8500</v>
      </c>
      <c r="R1331" s="16">
        <f>M1331*N1331</f>
        <v>8500</v>
      </c>
      <c r="S1331" s="16">
        <f>M1331*O1331</f>
        <v>0</v>
      </c>
      <c r="T1331" s="16">
        <f>M1331*Q1331</f>
        <v>8500</v>
      </c>
      <c r="U1331" s="16"/>
      <c r="V1331" s="16">
        <f>M1331*U1331</f>
        <v>0</v>
      </c>
      <c r="W1331" s="16">
        <f>T1331-V1331</f>
        <v>8500</v>
      </c>
      <c r="X1331" s="18">
        <f>IF(T1331&gt;0, W1331/T1331, 0)</f>
        <v>1</v>
      </c>
      <c r="Y1331" s="9" t="s">
        <v>41</v>
      </c>
      <c r="Z1331" s="11" t="s">
        <v>42</v>
      </c>
      <c r="AA1331" s="11" t="s">
        <v>43</v>
      </c>
      <c r="AB1331" s="11" t="s">
        <v>44</v>
      </c>
      <c r="AC1331" s="9" t="s">
        <v>44</v>
      </c>
    </row>
    <row r="1332" spans="1:29">
      <c r="A1332" s="10">
        <v>1325</v>
      </c>
      <c r="B1332" s="10" t="s">
        <v>1653</v>
      </c>
      <c r="C1332" s="10" t="s">
        <v>1630</v>
      </c>
      <c r="D1332" s="10" t="s">
        <v>655</v>
      </c>
      <c r="E1332" s="10" t="s">
        <v>34</v>
      </c>
      <c r="F1332" s="10" t="s">
        <v>35</v>
      </c>
      <c r="G1332" s="8" t="s">
        <v>36</v>
      </c>
      <c r="H1332" s="8" t="s">
        <v>58</v>
      </c>
      <c r="I1332" s="8" t="s">
        <v>58</v>
      </c>
      <c r="J1332" s="10">
        <v>164</v>
      </c>
      <c r="K1332" s="10" t="s">
        <v>59</v>
      </c>
      <c r="L1332" s="10" t="s">
        <v>40</v>
      </c>
      <c r="M1332" s="12">
        <v>1</v>
      </c>
      <c r="N1332" s="15">
        <v>7000.0</v>
      </c>
      <c r="O1332" s="15"/>
      <c r="P1332" s="17">
        <f>IF(N1332&gt;0, O1332/N1332, 0)</f>
        <v>0</v>
      </c>
      <c r="Q1332" s="15">
        <f>N1332-O1332</f>
        <v>7000</v>
      </c>
      <c r="R1332" s="15">
        <f>M1332*N1332</f>
        <v>7000</v>
      </c>
      <c r="S1332" s="15">
        <f>M1332*O1332</f>
        <v>0</v>
      </c>
      <c r="T1332" s="15">
        <f>M1332*Q1332</f>
        <v>7000</v>
      </c>
      <c r="U1332" s="15"/>
      <c r="V1332" s="15">
        <f>M1332*U1332</f>
        <v>0</v>
      </c>
      <c r="W1332" s="15">
        <f>T1332-V1332</f>
        <v>7000</v>
      </c>
      <c r="X1332" s="17">
        <f>IF(T1332&gt;0, W1332/T1332, 0)</f>
        <v>1</v>
      </c>
      <c r="Y1332" s="8" t="s">
        <v>41</v>
      </c>
      <c r="Z1332" s="10" t="s">
        <v>42</v>
      </c>
      <c r="AA1332" s="10" t="s">
        <v>43</v>
      </c>
      <c r="AB1332" s="10" t="s">
        <v>44</v>
      </c>
      <c r="AC1332" s="8" t="s">
        <v>44</v>
      </c>
    </row>
    <row r="1333" spans="1:29">
      <c r="A1333" s="11">
        <v>1326</v>
      </c>
      <c r="B1333" s="11" t="s">
        <v>1654</v>
      </c>
      <c r="C1333" s="11" t="s">
        <v>1630</v>
      </c>
      <c r="D1333" s="11" t="s">
        <v>655</v>
      </c>
      <c r="E1333" s="11" t="s">
        <v>34</v>
      </c>
      <c r="F1333" s="11" t="s">
        <v>35</v>
      </c>
      <c r="G1333" s="9" t="s">
        <v>36</v>
      </c>
      <c r="H1333" s="9" t="s">
        <v>65</v>
      </c>
      <c r="I1333" s="9" t="s">
        <v>151</v>
      </c>
      <c r="J1333" s="11">
        <v>158</v>
      </c>
      <c r="K1333" s="11" t="s">
        <v>220</v>
      </c>
      <c r="L1333" s="11" t="s">
        <v>40</v>
      </c>
      <c r="M1333" s="13">
        <v>2</v>
      </c>
      <c r="N1333" s="16">
        <v>9500.0</v>
      </c>
      <c r="O1333" s="16"/>
      <c r="P1333" s="18">
        <f>IF(N1333&gt;0, O1333/N1333, 0)</f>
        <v>0</v>
      </c>
      <c r="Q1333" s="16">
        <f>N1333-O1333</f>
        <v>9500</v>
      </c>
      <c r="R1333" s="16">
        <f>M1333*N1333</f>
        <v>19000</v>
      </c>
      <c r="S1333" s="16">
        <f>M1333*O1333</f>
        <v>0</v>
      </c>
      <c r="T1333" s="16">
        <f>M1333*Q1333</f>
        <v>19000</v>
      </c>
      <c r="U1333" s="16"/>
      <c r="V1333" s="16">
        <f>M1333*U1333</f>
        <v>0</v>
      </c>
      <c r="W1333" s="16">
        <f>T1333-V1333</f>
        <v>19000</v>
      </c>
      <c r="X1333" s="18">
        <f>IF(T1333&gt;0, W1333/T1333, 0)</f>
        <v>1</v>
      </c>
      <c r="Y1333" s="9" t="s">
        <v>41</v>
      </c>
      <c r="Z1333" s="11" t="s">
        <v>42</v>
      </c>
      <c r="AA1333" s="11" t="s">
        <v>43</v>
      </c>
      <c r="AB1333" s="11" t="s">
        <v>44</v>
      </c>
      <c r="AC1333" s="9" t="s">
        <v>44</v>
      </c>
    </row>
    <row r="1334" spans="1:29">
      <c r="A1334" s="10">
        <v>1327</v>
      </c>
      <c r="B1334" s="10" t="s">
        <v>1655</v>
      </c>
      <c r="C1334" s="10" t="s">
        <v>1630</v>
      </c>
      <c r="D1334" s="10" t="s">
        <v>655</v>
      </c>
      <c r="E1334" s="10" t="s">
        <v>34</v>
      </c>
      <c r="F1334" s="10" t="s">
        <v>35</v>
      </c>
      <c r="G1334" s="8" t="s">
        <v>36</v>
      </c>
      <c r="H1334" s="8" t="s">
        <v>37</v>
      </c>
      <c r="I1334" s="8" t="s">
        <v>75</v>
      </c>
      <c r="J1334" s="10">
        <v>164</v>
      </c>
      <c r="K1334" s="10" t="s">
        <v>76</v>
      </c>
      <c r="L1334" s="10" t="s">
        <v>40</v>
      </c>
      <c r="M1334" s="12">
        <v>2</v>
      </c>
      <c r="N1334" s="15">
        <v>9000.0</v>
      </c>
      <c r="O1334" s="15"/>
      <c r="P1334" s="17">
        <f>IF(N1334&gt;0, O1334/N1334, 0)</f>
        <v>0</v>
      </c>
      <c r="Q1334" s="15">
        <f>N1334-O1334</f>
        <v>9000</v>
      </c>
      <c r="R1334" s="15">
        <f>M1334*N1334</f>
        <v>18000</v>
      </c>
      <c r="S1334" s="15">
        <f>M1334*O1334</f>
        <v>0</v>
      </c>
      <c r="T1334" s="15">
        <f>M1334*Q1334</f>
        <v>18000</v>
      </c>
      <c r="U1334" s="15"/>
      <c r="V1334" s="15">
        <f>M1334*U1334</f>
        <v>0</v>
      </c>
      <c r="W1334" s="15">
        <f>T1334-V1334</f>
        <v>18000</v>
      </c>
      <c r="X1334" s="17">
        <f>IF(T1334&gt;0, W1334/T1334, 0)</f>
        <v>1</v>
      </c>
      <c r="Y1334" s="8" t="s">
        <v>41</v>
      </c>
      <c r="Z1334" s="10" t="s">
        <v>42</v>
      </c>
      <c r="AA1334" s="10" t="s">
        <v>43</v>
      </c>
      <c r="AB1334" s="10" t="s">
        <v>44</v>
      </c>
      <c r="AC1334" s="8" t="s">
        <v>44</v>
      </c>
    </row>
    <row r="1335" spans="1:29">
      <c r="A1335" s="11">
        <v>1328</v>
      </c>
      <c r="B1335" s="11" t="s">
        <v>1656</v>
      </c>
      <c r="C1335" s="11" t="s">
        <v>1630</v>
      </c>
      <c r="D1335" s="11" t="s">
        <v>655</v>
      </c>
      <c r="E1335" s="11" t="s">
        <v>70</v>
      </c>
      <c r="F1335" s="11" t="s">
        <v>35</v>
      </c>
      <c r="G1335" s="9" t="s">
        <v>36</v>
      </c>
      <c r="H1335" s="9" t="s">
        <v>65</v>
      </c>
      <c r="I1335" s="9" t="s">
        <v>151</v>
      </c>
      <c r="J1335" s="11">
        <v>128</v>
      </c>
      <c r="K1335" s="11" t="s">
        <v>1657</v>
      </c>
      <c r="L1335" s="11" t="s">
        <v>40</v>
      </c>
      <c r="M1335" s="13">
        <v>1</v>
      </c>
      <c r="N1335" s="16">
        <v>10000.0</v>
      </c>
      <c r="O1335" s="16"/>
      <c r="P1335" s="18">
        <f>IF(N1335&gt;0, O1335/N1335, 0)</f>
        <v>0</v>
      </c>
      <c r="Q1335" s="16">
        <f>N1335-O1335</f>
        <v>10000</v>
      </c>
      <c r="R1335" s="16">
        <f>M1335*N1335</f>
        <v>10000</v>
      </c>
      <c r="S1335" s="16">
        <f>M1335*O1335</f>
        <v>0</v>
      </c>
      <c r="T1335" s="16">
        <f>M1335*Q1335</f>
        <v>10000</v>
      </c>
      <c r="U1335" s="16"/>
      <c r="V1335" s="16">
        <f>M1335*U1335</f>
        <v>0</v>
      </c>
      <c r="W1335" s="16">
        <f>T1335-V1335</f>
        <v>10000</v>
      </c>
      <c r="X1335" s="18">
        <f>IF(T1335&gt;0, W1335/T1335, 0)</f>
        <v>1</v>
      </c>
      <c r="Y1335" s="9" t="s">
        <v>41</v>
      </c>
      <c r="Z1335" s="11" t="s">
        <v>42</v>
      </c>
      <c r="AA1335" s="11" t="s">
        <v>73</v>
      </c>
      <c r="AB1335" s="11" t="s">
        <v>44</v>
      </c>
      <c r="AC1335" s="9" t="s">
        <v>44</v>
      </c>
    </row>
    <row r="1336" spans="1:29">
      <c r="A1336" s="10">
        <v>1329</v>
      </c>
      <c r="B1336" s="10" t="s">
        <v>1658</v>
      </c>
      <c r="C1336" s="10" t="s">
        <v>1630</v>
      </c>
      <c r="D1336" s="10" t="s">
        <v>655</v>
      </c>
      <c r="E1336" s="10" t="s">
        <v>34</v>
      </c>
      <c r="F1336" s="10" t="s">
        <v>35</v>
      </c>
      <c r="G1336" s="8" t="s">
        <v>36</v>
      </c>
      <c r="H1336" s="8" t="s">
        <v>37</v>
      </c>
      <c r="I1336" s="8" t="s">
        <v>38</v>
      </c>
      <c r="J1336" s="10">
        <v>158</v>
      </c>
      <c r="K1336" s="10" t="s">
        <v>39</v>
      </c>
      <c r="L1336" s="10" t="s">
        <v>40</v>
      </c>
      <c r="M1336" s="12">
        <v>1</v>
      </c>
      <c r="N1336" s="15">
        <v>8000.0</v>
      </c>
      <c r="O1336" s="15"/>
      <c r="P1336" s="17">
        <f>IF(N1336&gt;0, O1336/N1336, 0)</f>
        <v>0</v>
      </c>
      <c r="Q1336" s="15">
        <f>N1336-O1336</f>
        <v>8000</v>
      </c>
      <c r="R1336" s="15">
        <f>M1336*N1336</f>
        <v>8000</v>
      </c>
      <c r="S1336" s="15">
        <f>M1336*O1336</f>
        <v>0</v>
      </c>
      <c r="T1336" s="15">
        <f>M1336*Q1336</f>
        <v>8000</v>
      </c>
      <c r="U1336" s="15"/>
      <c r="V1336" s="15">
        <f>M1336*U1336</f>
        <v>0</v>
      </c>
      <c r="W1336" s="15">
        <f>T1336-V1336</f>
        <v>8000</v>
      </c>
      <c r="X1336" s="17">
        <f>IF(T1336&gt;0, W1336/T1336, 0)</f>
        <v>1</v>
      </c>
      <c r="Y1336" s="8" t="s">
        <v>41</v>
      </c>
      <c r="Z1336" s="10" t="s">
        <v>42</v>
      </c>
      <c r="AA1336" s="10" t="s">
        <v>43</v>
      </c>
      <c r="AB1336" s="10" t="s">
        <v>44</v>
      </c>
      <c r="AC1336" s="8" t="s">
        <v>44</v>
      </c>
    </row>
    <row r="1337" spans="1:29">
      <c r="A1337" s="11">
        <v>1330</v>
      </c>
      <c r="B1337" s="11" t="s">
        <v>1659</v>
      </c>
      <c r="C1337" s="11" t="s">
        <v>1630</v>
      </c>
      <c r="D1337" s="11" t="s">
        <v>655</v>
      </c>
      <c r="E1337" s="11" t="s">
        <v>34</v>
      </c>
      <c r="F1337" s="11" t="s">
        <v>35</v>
      </c>
      <c r="G1337" s="9" t="s">
        <v>52</v>
      </c>
      <c r="H1337" s="9" t="s">
        <v>58</v>
      </c>
      <c r="I1337" s="9" t="s">
        <v>58</v>
      </c>
      <c r="J1337" s="11">
        <v>110</v>
      </c>
      <c r="K1337" s="11" t="s">
        <v>961</v>
      </c>
      <c r="L1337" s="11" t="s">
        <v>40</v>
      </c>
      <c r="M1337" s="13">
        <v>1</v>
      </c>
      <c r="N1337" s="16">
        <v>7000.0</v>
      </c>
      <c r="O1337" s="16"/>
      <c r="P1337" s="18">
        <f>IF(N1337&gt;0, O1337/N1337, 0)</f>
        <v>0</v>
      </c>
      <c r="Q1337" s="16">
        <f>N1337-O1337</f>
        <v>7000</v>
      </c>
      <c r="R1337" s="16">
        <f>M1337*N1337</f>
        <v>7000</v>
      </c>
      <c r="S1337" s="16">
        <f>M1337*O1337</f>
        <v>0</v>
      </c>
      <c r="T1337" s="16">
        <f>M1337*Q1337</f>
        <v>7000</v>
      </c>
      <c r="U1337" s="16"/>
      <c r="V1337" s="16">
        <f>M1337*U1337</f>
        <v>0</v>
      </c>
      <c r="W1337" s="16">
        <f>T1337-V1337</f>
        <v>7000</v>
      </c>
      <c r="X1337" s="18">
        <f>IF(T1337&gt;0, W1337/T1337, 0)</f>
        <v>1</v>
      </c>
      <c r="Y1337" s="9" t="s">
        <v>41</v>
      </c>
      <c r="Z1337" s="11" t="s">
        <v>42</v>
      </c>
      <c r="AA1337" s="11" t="s">
        <v>43</v>
      </c>
      <c r="AB1337" s="11" t="s">
        <v>44</v>
      </c>
      <c r="AC1337" s="9" t="s">
        <v>44</v>
      </c>
    </row>
    <row r="1338" spans="1:29">
      <c r="A1338" s="10">
        <v>1331</v>
      </c>
      <c r="B1338" s="10" t="s">
        <v>1660</v>
      </c>
      <c r="C1338" s="10" t="s">
        <v>1630</v>
      </c>
      <c r="D1338" s="10" t="s">
        <v>655</v>
      </c>
      <c r="E1338" s="10" t="s">
        <v>34</v>
      </c>
      <c r="F1338" s="10" t="s">
        <v>35</v>
      </c>
      <c r="G1338" s="8" t="s">
        <v>52</v>
      </c>
      <c r="H1338" s="8" t="s">
        <v>53</v>
      </c>
      <c r="I1338" s="8" t="s">
        <v>53</v>
      </c>
      <c r="J1338" s="10">
        <v>128</v>
      </c>
      <c r="K1338" s="10" t="s">
        <v>393</v>
      </c>
      <c r="L1338" s="10" t="s">
        <v>55</v>
      </c>
      <c r="M1338" s="12">
        <v>1</v>
      </c>
      <c r="N1338" s="15">
        <v>8000.0</v>
      </c>
      <c r="O1338" s="15"/>
      <c r="P1338" s="17">
        <f>IF(N1338&gt;0, O1338/N1338, 0)</f>
        <v>0</v>
      </c>
      <c r="Q1338" s="15">
        <f>N1338-O1338</f>
        <v>8000</v>
      </c>
      <c r="R1338" s="15">
        <f>M1338*N1338</f>
        <v>8000</v>
      </c>
      <c r="S1338" s="15">
        <f>M1338*O1338</f>
        <v>0</v>
      </c>
      <c r="T1338" s="15">
        <f>M1338*Q1338</f>
        <v>8000</v>
      </c>
      <c r="U1338" s="15"/>
      <c r="V1338" s="15">
        <f>M1338*U1338</f>
        <v>0</v>
      </c>
      <c r="W1338" s="15">
        <f>T1338-V1338</f>
        <v>8000</v>
      </c>
      <c r="X1338" s="17">
        <f>IF(T1338&gt;0, W1338/T1338, 0)</f>
        <v>1</v>
      </c>
      <c r="Y1338" s="8" t="s">
        <v>41</v>
      </c>
      <c r="Z1338" s="10" t="s">
        <v>42</v>
      </c>
      <c r="AA1338" s="10" t="s">
        <v>43</v>
      </c>
      <c r="AB1338" s="10" t="s">
        <v>44</v>
      </c>
      <c r="AC1338" s="8" t="s">
        <v>44</v>
      </c>
    </row>
    <row r="1339" spans="1:29">
      <c r="A1339" s="11">
        <v>1332</v>
      </c>
      <c r="B1339" s="11" t="s">
        <v>1661</v>
      </c>
      <c r="C1339" s="11" t="s">
        <v>1630</v>
      </c>
      <c r="D1339" s="11" t="s">
        <v>655</v>
      </c>
      <c r="E1339" s="11" t="s">
        <v>34</v>
      </c>
      <c r="F1339" s="11" t="s">
        <v>35</v>
      </c>
      <c r="G1339" s="9" t="s">
        <v>36</v>
      </c>
      <c r="H1339" s="9" t="s">
        <v>37</v>
      </c>
      <c r="I1339" s="9" t="s">
        <v>75</v>
      </c>
      <c r="J1339" s="11">
        <v>134</v>
      </c>
      <c r="K1339" s="11" t="s">
        <v>1662</v>
      </c>
      <c r="L1339" s="11" t="s">
        <v>40</v>
      </c>
      <c r="M1339" s="13">
        <v>2</v>
      </c>
      <c r="N1339" s="16">
        <v>8000.0</v>
      </c>
      <c r="O1339" s="16"/>
      <c r="P1339" s="18">
        <f>IF(N1339&gt;0, O1339/N1339, 0)</f>
        <v>0</v>
      </c>
      <c r="Q1339" s="16">
        <f>N1339-O1339</f>
        <v>8000</v>
      </c>
      <c r="R1339" s="16">
        <f>M1339*N1339</f>
        <v>16000</v>
      </c>
      <c r="S1339" s="16">
        <f>M1339*O1339</f>
        <v>0</v>
      </c>
      <c r="T1339" s="16">
        <f>M1339*Q1339</f>
        <v>16000</v>
      </c>
      <c r="U1339" s="16"/>
      <c r="V1339" s="16">
        <f>M1339*U1339</f>
        <v>0</v>
      </c>
      <c r="W1339" s="16">
        <f>T1339-V1339</f>
        <v>16000</v>
      </c>
      <c r="X1339" s="18">
        <f>IF(T1339&gt;0, W1339/T1339, 0)</f>
        <v>1</v>
      </c>
      <c r="Y1339" s="9" t="s">
        <v>41</v>
      </c>
      <c r="Z1339" s="11" t="s">
        <v>42</v>
      </c>
      <c r="AA1339" s="11" t="s">
        <v>43</v>
      </c>
      <c r="AB1339" s="11" t="s">
        <v>44</v>
      </c>
      <c r="AC1339" s="9" t="s">
        <v>44</v>
      </c>
    </row>
    <row r="1340" spans="1:29">
      <c r="A1340" s="10">
        <v>1333</v>
      </c>
      <c r="B1340" s="10" t="s">
        <v>1663</v>
      </c>
      <c r="C1340" s="10" t="s">
        <v>1630</v>
      </c>
      <c r="D1340" s="10" t="s">
        <v>655</v>
      </c>
      <c r="E1340" s="10" t="s">
        <v>34</v>
      </c>
      <c r="F1340" s="10" t="s">
        <v>35</v>
      </c>
      <c r="G1340" s="8" t="s">
        <v>36</v>
      </c>
      <c r="H1340" s="8" t="s">
        <v>37</v>
      </c>
      <c r="I1340" s="8" t="s">
        <v>38</v>
      </c>
      <c r="J1340" s="10">
        <v>134</v>
      </c>
      <c r="K1340" s="10" t="s">
        <v>725</v>
      </c>
      <c r="L1340" s="10" t="s">
        <v>40</v>
      </c>
      <c r="M1340" s="12">
        <v>2</v>
      </c>
      <c r="N1340" s="15">
        <v>7000.0</v>
      </c>
      <c r="O1340" s="15"/>
      <c r="P1340" s="17">
        <f>IF(N1340&gt;0, O1340/N1340, 0)</f>
        <v>0</v>
      </c>
      <c r="Q1340" s="15">
        <f>N1340-O1340</f>
        <v>7000</v>
      </c>
      <c r="R1340" s="15">
        <f>M1340*N1340</f>
        <v>14000</v>
      </c>
      <c r="S1340" s="15">
        <f>M1340*O1340</f>
        <v>0</v>
      </c>
      <c r="T1340" s="15">
        <f>M1340*Q1340</f>
        <v>14000</v>
      </c>
      <c r="U1340" s="15"/>
      <c r="V1340" s="15">
        <f>M1340*U1340</f>
        <v>0</v>
      </c>
      <c r="W1340" s="15">
        <f>T1340-V1340</f>
        <v>14000</v>
      </c>
      <c r="X1340" s="17">
        <f>IF(T1340&gt;0, W1340/T1340, 0)</f>
        <v>1</v>
      </c>
      <c r="Y1340" s="8" t="s">
        <v>41</v>
      </c>
      <c r="Z1340" s="10" t="s">
        <v>42</v>
      </c>
      <c r="AA1340" s="10" t="s">
        <v>43</v>
      </c>
      <c r="AB1340" s="10" t="s">
        <v>44</v>
      </c>
      <c r="AC1340" s="8" t="s">
        <v>44</v>
      </c>
    </row>
    <row r="1341" spans="1:29">
      <c r="A1341" s="11">
        <v>1334</v>
      </c>
      <c r="B1341" s="11" t="s">
        <v>1664</v>
      </c>
      <c r="C1341" s="11" t="s">
        <v>1630</v>
      </c>
      <c r="D1341" s="11" t="s">
        <v>655</v>
      </c>
      <c r="E1341" s="11" t="s">
        <v>70</v>
      </c>
      <c r="F1341" s="11" t="s">
        <v>35</v>
      </c>
      <c r="G1341" s="9" t="s">
        <v>36</v>
      </c>
      <c r="H1341" s="9" t="s">
        <v>71</v>
      </c>
      <c r="I1341" s="9" t="s">
        <v>71</v>
      </c>
      <c r="J1341" s="11">
        <v>152</v>
      </c>
      <c r="K1341" s="11" t="s">
        <v>210</v>
      </c>
      <c r="L1341" s="11" t="s">
        <v>40</v>
      </c>
      <c r="M1341" s="13">
        <v>2</v>
      </c>
      <c r="N1341" s="16">
        <v>18000.0</v>
      </c>
      <c r="O1341" s="16"/>
      <c r="P1341" s="18">
        <f>IF(N1341&gt;0, O1341/N1341, 0)</f>
        <v>0</v>
      </c>
      <c r="Q1341" s="16">
        <f>N1341-O1341</f>
        <v>18000</v>
      </c>
      <c r="R1341" s="16">
        <f>M1341*N1341</f>
        <v>36000</v>
      </c>
      <c r="S1341" s="16">
        <f>M1341*O1341</f>
        <v>0</v>
      </c>
      <c r="T1341" s="16">
        <f>M1341*Q1341</f>
        <v>36000</v>
      </c>
      <c r="U1341" s="16"/>
      <c r="V1341" s="16">
        <f>M1341*U1341</f>
        <v>0</v>
      </c>
      <c r="W1341" s="16">
        <f>T1341-V1341</f>
        <v>36000</v>
      </c>
      <c r="X1341" s="18">
        <f>IF(T1341&gt;0, W1341/T1341, 0)</f>
        <v>1</v>
      </c>
      <c r="Y1341" s="9" t="s">
        <v>41</v>
      </c>
      <c r="Z1341" s="11" t="s">
        <v>42</v>
      </c>
      <c r="AA1341" s="11" t="s">
        <v>73</v>
      </c>
      <c r="AB1341" s="11" t="s">
        <v>44</v>
      </c>
      <c r="AC1341" s="9" t="s">
        <v>44</v>
      </c>
    </row>
    <row r="1342" spans="1:29">
      <c r="A1342" s="10">
        <v>1335</v>
      </c>
      <c r="B1342" s="10" t="s">
        <v>1665</v>
      </c>
      <c r="C1342" s="10" t="s">
        <v>1630</v>
      </c>
      <c r="D1342" s="10" t="s">
        <v>655</v>
      </c>
      <c r="E1342" s="10" t="s">
        <v>70</v>
      </c>
      <c r="F1342" s="10" t="s">
        <v>35</v>
      </c>
      <c r="G1342" s="8" t="s">
        <v>36</v>
      </c>
      <c r="H1342" s="8" t="s">
        <v>58</v>
      </c>
      <c r="I1342" s="8" t="s">
        <v>58</v>
      </c>
      <c r="J1342" s="10">
        <v>152</v>
      </c>
      <c r="K1342" s="10" t="s">
        <v>332</v>
      </c>
      <c r="L1342" s="10" t="s">
        <v>40</v>
      </c>
      <c r="M1342" s="12">
        <v>1</v>
      </c>
      <c r="N1342" s="15">
        <v>9000.0</v>
      </c>
      <c r="O1342" s="15"/>
      <c r="P1342" s="17">
        <f>IF(N1342&gt;0, O1342/N1342, 0)</f>
        <v>0</v>
      </c>
      <c r="Q1342" s="15">
        <f>N1342-O1342</f>
        <v>9000</v>
      </c>
      <c r="R1342" s="15">
        <f>M1342*N1342</f>
        <v>9000</v>
      </c>
      <c r="S1342" s="15">
        <f>M1342*O1342</f>
        <v>0</v>
      </c>
      <c r="T1342" s="15">
        <f>M1342*Q1342</f>
        <v>9000</v>
      </c>
      <c r="U1342" s="15"/>
      <c r="V1342" s="15">
        <f>M1342*U1342</f>
        <v>0</v>
      </c>
      <c r="W1342" s="15">
        <f>T1342-V1342</f>
        <v>9000</v>
      </c>
      <c r="X1342" s="17">
        <f>IF(T1342&gt;0, W1342/T1342, 0)</f>
        <v>1</v>
      </c>
      <c r="Y1342" s="8" t="s">
        <v>41</v>
      </c>
      <c r="Z1342" s="10" t="s">
        <v>42</v>
      </c>
      <c r="AA1342" s="10" t="s">
        <v>73</v>
      </c>
      <c r="AB1342" s="10" t="s">
        <v>44</v>
      </c>
      <c r="AC1342" s="8" t="s">
        <v>44</v>
      </c>
    </row>
    <row r="1343" spans="1:29">
      <c r="A1343" s="11">
        <v>1336</v>
      </c>
      <c r="B1343" s="11" t="s">
        <v>1666</v>
      </c>
      <c r="C1343" s="11" t="s">
        <v>1630</v>
      </c>
      <c r="D1343" s="11" t="s">
        <v>655</v>
      </c>
      <c r="E1343" s="11" t="s">
        <v>34</v>
      </c>
      <c r="F1343" s="11" t="s">
        <v>35</v>
      </c>
      <c r="G1343" s="9" t="s">
        <v>36</v>
      </c>
      <c r="H1343" s="9" t="s">
        <v>65</v>
      </c>
      <c r="I1343" s="9" t="s">
        <v>151</v>
      </c>
      <c r="J1343" s="11">
        <v>152</v>
      </c>
      <c r="K1343" s="11" t="s">
        <v>198</v>
      </c>
      <c r="L1343" s="11" t="s">
        <v>40</v>
      </c>
      <c r="M1343" s="13">
        <v>2</v>
      </c>
      <c r="N1343" s="16">
        <v>17000.0</v>
      </c>
      <c r="O1343" s="16"/>
      <c r="P1343" s="18">
        <f>IF(N1343&gt;0, O1343/N1343, 0)</f>
        <v>0</v>
      </c>
      <c r="Q1343" s="16">
        <f>N1343-O1343</f>
        <v>17000</v>
      </c>
      <c r="R1343" s="16">
        <f>M1343*N1343</f>
        <v>34000</v>
      </c>
      <c r="S1343" s="16">
        <f>M1343*O1343</f>
        <v>0</v>
      </c>
      <c r="T1343" s="16">
        <f>M1343*Q1343</f>
        <v>34000</v>
      </c>
      <c r="U1343" s="16"/>
      <c r="V1343" s="16">
        <f>M1343*U1343</f>
        <v>0</v>
      </c>
      <c r="W1343" s="16">
        <f>T1343-V1343</f>
        <v>34000</v>
      </c>
      <c r="X1343" s="18">
        <f>IF(T1343&gt;0, W1343/T1343, 0)</f>
        <v>1</v>
      </c>
      <c r="Y1343" s="9" t="s">
        <v>41</v>
      </c>
      <c r="Z1343" s="11" t="s">
        <v>42</v>
      </c>
      <c r="AA1343" s="11" t="s">
        <v>43</v>
      </c>
      <c r="AB1343" s="11" t="s">
        <v>44</v>
      </c>
      <c r="AC1343" s="9" t="s">
        <v>44</v>
      </c>
    </row>
    <row r="1344" spans="1:29">
      <c r="A1344" s="10">
        <v>1337</v>
      </c>
      <c r="B1344" s="10" t="s">
        <v>1667</v>
      </c>
      <c r="C1344" s="10" t="s">
        <v>1630</v>
      </c>
      <c r="D1344" s="10" t="s">
        <v>655</v>
      </c>
      <c r="E1344" s="10" t="s">
        <v>34</v>
      </c>
      <c r="F1344" s="10" t="s">
        <v>35</v>
      </c>
      <c r="G1344" s="8" t="s">
        <v>36</v>
      </c>
      <c r="H1344" s="8" t="s">
        <v>37</v>
      </c>
      <c r="I1344" s="8" t="s">
        <v>38</v>
      </c>
      <c r="J1344" s="10">
        <v>152</v>
      </c>
      <c r="K1344" s="10" t="s">
        <v>729</v>
      </c>
      <c r="L1344" s="10" t="s">
        <v>40</v>
      </c>
      <c r="M1344" s="12">
        <v>2</v>
      </c>
      <c r="N1344" s="15">
        <v>16000.0</v>
      </c>
      <c r="O1344" s="15"/>
      <c r="P1344" s="17">
        <f>IF(N1344&gt;0, O1344/N1344, 0)</f>
        <v>0</v>
      </c>
      <c r="Q1344" s="15">
        <f>N1344-O1344</f>
        <v>16000</v>
      </c>
      <c r="R1344" s="15">
        <f>M1344*N1344</f>
        <v>32000</v>
      </c>
      <c r="S1344" s="15">
        <f>M1344*O1344</f>
        <v>0</v>
      </c>
      <c r="T1344" s="15">
        <f>M1344*Q1344</f>
        <v>32000</v>
      </c>
      <c r="U1344" s="15"/>
      <c r="V1344" s="15">
        <f>M1344*U1344</f>
        <v>0</v>
      </c>
      <c r="W1344" s="15">
        <f>T1344-V1344</f>
        <v>32000</v>
      </c>
      <c r="X1344" s="17">
        <f>IF(T1344&gt;0, W1344/T1344, 0)</f>
        <v>1</v>
      </c>
      <c r="Y1344" s="8" t="s">
        <v>41</v>
      </c>
      <c r="Z1344" s="10" t="s">
        <v>42</v>
      </c>
      <c r="AA1344" s="10" t="s">
        <v>43</v>
      </c>
      <c r="AB1344" s="10" t="s">
        <v>44</v>
      </c>
      <c r="AC1344" s="8" t="s">
        <v>44</v>
      </c>
    </row>
    <row r="1345" spans="1:29">
      <c r="A1345" s="11">
        <v>1338</v>
      </c>
      <c r="B1345" s="11" t="s">
        <v>1668</v>
      </c>
      <c r="C1345" s="11" t="s">
        <v>1630</v>
      </c>
      <c r="D1345" s="11" t="s">
        <v>655</v>
      </c>
      <c r="E1345" s="11" t="s">
        <v>70</v>
      </c>
      <c r="F1345" s="11" t="s">
        <v>35</v>
      </c>
      <c r="G1345" s="9" t="s">
        <v>36</v>
      </c>
      <c r="H1345" s="9" t="s">
        <v>71</v>
      </c>
      <c r="I1345" s="9" t="s">
        <v>1493</v>
      </c>
      <c r="J1345" s="11">
        <v>152</v>
      </c>
      <c r="K1345" s="11" t="s">
        <v>1669</v>
      </c>
      <c r="L1345" s="11" t="s">
        <v>40</v>
      </c>
      <c r="M1345" s="13">
        <v>1</v>
      </c>
      <c r="N1345" s="16">
        <v>10000.0</v>
      </c>
      <c r="O1345" s="16"/>
      <c r="P1345" s="18">
        <f>IF(N1345&gt;0, O1345/N1345, 0)</f>
        <v>0</v>
      </c>
      <c r="Q1345" s="16">
        <f>N1345-O1345</f>
        <v>10000</v>
      </c>
      <c r="R1345" s="16">
        <f>M1345*N1345</f>
        <v>10000</v>
      </c>
      <c r="S1345" s="16">
        <f>M1345*O1345</f>
        <v>0</v>
      </c>
      <c r="T1345" s="16">
        <f>M1345*Q1345</f>
        <v>10000</v>
      </c>
      <c r="U1345" s="16"/>
      <c r="V1345" s="16">
        <f>M1345*U1345</f>
        <v>0</v>
      </c>
      <c r="W1345" s="16">
        <f>T1345-V1345</f>
        <v>10000</v>
      </c>
      <c r="X1345" s="18">
        <f>IF(T1345&gt;0, W1345/T1345, 0)</f>
        <v>1</v>
      </c>
      <c r="Y1345" s="9" t="s">
        <v>41</v>
      </c>
      <c r="Z1345" s="11" t="s">
        <v>42</v>
      </c>
      <c r="AA1345" s="11" t="s">
        <v>73</v>
      </c>
      <c r="AB1345" s="11" t="s">
        <v>44</v>
      </c>
      <c r="AC1345" s="9" t="s">
        <v>44</v>
      </c>
    </row>
    <row r="1346" spans="1:29">
      <c r="A1346" s="10">
        <v>1339</v>
      </c>
      <c r="B1346" s="10" t="s">
        <v>1670</v>
      </c>
      <c r="C1346" s="10" t="s">
        <v>1630</v>
      </c>
      <c r="D1346" s="10" t="s">
        <v>655</v>
      </c>
      <c r="E1346" s="10" t="s">
        <v>34</v>
      </c>
      <c r="F1346" s="10" t="s">
        <v>35</v>
      </c>
      <c r="G1346" s="8" t="s">
        <v>52</v>
      </c>
      <c r="H1346" s="8" t="s">
        <v>71</v>
      </c>
      <c r="I1346" s="8" t="s">
        <v>71</v>
      </c>
      <c r="J1346" s="10">
        <v>146</v>
      </c>
      <c r="K1346" s="10" t="s">
        <v>385</v>
      </c>
      <c r="L1346" s="10" t="s">
        <v>40</v>
      </c>
      <c r="M1346" s="12">
        <v>2</v>
      </c>
      <c r="N1346" s="15">
        <v>17000.0</v>
      </c>
      <c r="O1346" s="15"/>
      <c r="P1346" s="17">
        <f>IF(N1346&gt;0, O1346/N1346, 0)</f>
        <v>0</v>
      </c>
      <c r="Q1346" s="15">
        <f>N1346-O1346</f>
        <v>17000</v>
      </c>
      <c r="R1346" s="15">
        <f>M1346*N1346</f>
        <v>34000</v>
      </c>
      <c r="S1346" s="15">
        <f>M1346*O1346</f>
        <v>0</v>
      </c>
      <c r="T1346" s="15">
        <f>M1346*Q1346</f>
        <v>34000</v>
      </c>
      <c r="U1346" s="15"/>
      <c r="V1346" s="15">
        <f>M1346*U1346</f>
        <v>0</v>
      </c>
      <c r="W1346" s="15">
        <f>T1346-V1346</f>
        <v>34000</v>
      </c>
      <c r="X1346" s="17">
        <f>IF(T1346&gt;0, W1346/T1346, 0)</f>
        <v>1</v>
      </c>
      <c r="Y1346" s="8" t="s">
        <v>41</v>
      </c>
      <c r="Z1346" s="10" t="s">
        <v>42</v>
      </c>
      <c r="AA1346" s="10" t="s">
        <v>43</v>
      </c>
      <c r="AB1346" s="10" t="s">
        <v>44</v>
      </c>
      <c r="AC1346" s="8" t="s">
        <v>44</v>
      </c>
    </row>
    <row r="1347" spans="1:29">
      <c r="A1347" s="11">
        <v>1340</v>
      </c>
      <c r="B1347" s="11" t="s">
        <v>1671</v>
      </c>
      <c r="C1347" s="11" t="s">
        <v>1630</v>
      </c>
      <c r="D1347" s="11" t="s">
        <v>655</v>
      </c>
      <c r="E1347" s="11" t="s">
        <v>70</v>
      </c>
      <c r="F1347" s="11" t="s">
        <v>35</v>
      </c>
      <c r="G1347" s="9" t="s">
        <v>52</v>
      </c>
      <c r="H1347" s="9" t="s">
        <v>58</v>
      </c>
      <c r="I1347" s="9" t="s">
        <v>58</v>
      </c>
      <c r="J1347" s="11">
        <v>146</v>
      </c>
      <c r="K1347" s="11" t="s">
        <v>755</v>
      </c>
      <c r="L1347" s="11" t="s">
        <v>40</v>
      </c>
      <c r="M1347" s="13">
        <v>1</v>
      </c>
      <c r="N1347" s="16">
        <v>8000.0</v>
      </c>
      <c r="O1347" s="16"/>
      <c r="P1347" s="18">
        <f>IF(N1347&gt;0, O1347/N1347, 0)</f>
        <v>0</v>
      </c>
      <c r="Q1347" s="16">
        <f>N1347-O1347</f>
        <v>8000</v>
      </c>
      <c r="R1347" s="16">
        <f>M1347*N1347</f>
        <v>8000</v>
      </c>
      <c r="S1347" s="16">
        <f>M1347*O1347</f>
        <v>0</v>
      </c>
      <c r="T1347" s="16">
        <f>M1347*Q1347</f>
        <v>8000</v>
      </c>
      <c r="U1347" s="16"/>
      <c r="V1347" s="16">
        <f>M1347*U1347</f>
        <v>0</v>
      </c>
      <c r="W1347" s="16">
        <f>T1347-V1347</f>
        <v>8000</v>
      </c>
      <c r="X1347" s="18">
        <f>IF(T1347&gt;0, W1347/T1347, 0)</f>
        <v>1</v>
      </c>
      <c r="Y1347" s="9" t="s">
        <v>41</v>
      </c>
      <c r="Z1347" s="11" t="s">
        <v>42</v>
      </c>
      <c r="AA1347" s="11" t="s">
        <v>73</v>
      </c>
      <c r="AB1347" s="11" t="s">
        <v>44</v>
      </c>
      <c r="AC1347" s="9" t="s">
        <v>44</v>
      </c>
    </row>
    <row r="1348" spans="1:29">
      <c r="A1348" s="10">
        <v>1341</v>
      </c>
      <c r="B1348" s="10" t="s">
        <v>1672</v>
      </c>
      <c r="C1348" s="10" t="s">
        <v>1630</v>
      </c>
      <c r="D1348" s="10" t="s">
        <v>655</v>
      </c>
      <c r="E1348" s="10" t="s">
        <v>70</v>
      </c>
      <c r="F1348" s="10" t="s">
        <v>35</v>
      </c>
      <c r="G1348" s="8" t="s">
        <v>52</v>
      </c>
      <c r="H1348" s="8" t="s">
        <v>65</v>
      </c>
      <c r="I1348" s="8" t="s">
        <v>151</v>
      </c>
      <c r="J1348" s="10">
        <v>146</v>
      </c>
      <c r="K1348" s="10" t="s">
        <v>170</v>
      </c>
      <c r="L1348" s="10" t="s">
        <v>40</v>
      </c>
      <c r="M1348" s="12">
        <v>2</v>
      </c>
      <c r="N1348" s="15">
        <v>10000.0</v>
      </c>
      <c r="O1348" s="15"/>
      <c r="P1348" s="17">
        <f>IF(N1348&gt;0, O1348/N1348, 0)</f>
        <v>0</v>
      </c>
      <c r="Q1348" s="15">
        <f>N1348-O1348</f>
        <v>10000</v>
      </c>
      <c r="R1348" s="15">
        <f>M1348*N1348</f>
        <v>20000</v>
      </c>
      <c r="S1348" s="15">
        <f>M1348*O1348</f>
        <v>0</v>
      </c>
      <c r="T1348" s="15">
        <f>M1348*Q1348</f>
        <v>20000</v>
      </c>
      <c r="U1348" s="15"/>
      <c r="V1348" s="15">
        <f>M1348*U1348</f>
        <v>0</v>
      </c>
      <c r="W1348" s="15">
        <f>T1348-V1348</f>
        <v>20000</v>
      </c>
      <c r="X1348" s="17">
        <f>IF(T1348&gt;0, W1348/T1348, 0)</f>
        <v>1</v>
      </c>
      <c r="Y1348" s="8" t="s">
        <v>41</v>
      </c>
      <c r="Z1348" s="10" t="s">
        <v>42</v>
      </c>
      <c r="AA1348" s="10" t="s">
        <v>73</v>
      </c>
      <c r="AB1348" s="10" t="s">
        <v>44</v>
      </c>
      <c r="AC1348" s="8" t="s">
        <v>44</v>
      </c>
    </row>
    <row r="1349" spans="1:29">
      <c r="A1349" s="11">
        <v>1342</v>
      </c>
      <c r="B1349" s="11" t="s">
        <v>1673</v>
      </c>
      <c r="C1349" s="11" t="s">
        <v>1630</v>
      </c>
      <c r="D1349" s="11" t="s">
        <v>655</v>
      </c>
      <c r="E1349" s="11" t="s">
        <v>34</v>
      </c>
      <c r="F1349" s="11" t="s">
        <v>35</v>
      </c>
      <c r="G1349" s="9" t="s">
        <v>52</v>
      </c>
      <c r="H1349" s="9" t="s">
        <v>53</v>
      </c>
      <c r="I1349" s="9" t="s">
        <v>53</v>
      </c>
      <c r="J1349" s="11">
        <v>146</v>
      </c>
      <c r="K1349" s="11" t="s">
        <v>257</v>
      </c>
      <c r="L1349" s="11" t="s">
        <v>55</v>
      </c>
      <c r="M1349" s="13">
        <v>1</v>
      </c>
      <c r="N1349" s="16">
        <v>8000.0</v>
      </c>
      <c r="O1349" s="16"/>
      <c r="P1349" s="18">
        <f>IF(N1349&gt;0, O1349/N1349, 0)</f>
        <v>0</v>
      </c>
      <c r="Q1349" s="16">
        <f>N1349-O1349</f>
        <v>8000</v>
      </c>
      <c r="R1349" s="16">
        <f>M1349*N1349</f>
        <v>8000</v>
      </c>
      <c r="S1349" s="16">
        <f>M1349*O1349</f>
        <v>0</v>
      </c>
      <c r="T1349" s="16">
        <f>M1349*Q1349</f>
        <v>8000</v>
      </c>
      <c r="U1349" s="16"/>
      <c r="V1349" s="16">
        <f>M1349*U1349</f>
        <v>0</v>
      </c>
      <c r="W1349" s="16">
        <f>T1349-V1349</f>
        <v>8000</v>
      </c>
      <c r="X1349" s="18">
        <f>IF(T1349&gt;0, W1349/T1349, 0)</f>
        <v>1</v>
      </c>
      <c r="Y1349" s="9" t="s">
        <v>41</v>
      </c>
      <c r="Z1349" s="11" t="s">
        <v>42</v>
      </c>
      <c r="AA1349" s="11" t="s">
        <v>43</v>
      </c>
      <c r="AB1349" s="11" t="s">
        <v>44</v>
      </c>
      <c r="AC1349" s="9" t="s">
        <v>44</v>
      </c>
    </row>
    <row r="1350" spans="1:29">
      <c r="A1350" s="10">
        <v>1343</v>
      </c>
      <c r="B1350" s="10" t="s">
        <v>1674</v>
      </c>
      <c r="C1350" s="10" t="s">
        <v>1630</v>
      </c>
      <c r="D1350" s="10" t="s">
        <v>655</v>
      </c>
      <c r="E1350" s="10" t="s">
        <v>34</v>
      </c>
      <c r="F1350" s="10" t="s">
        <v>35</v>
      </c>
      <c r="G1350" s="8" t="s">
        <v>36</v>
      </c>
      <c r="H1350" s="8" t="s">
        <v>37</v>
      </c>
      <c r="I1350" s="8" t="s">
        <v>38</v>
      </c>
      <c r="J1350" s="10">
        <v>146</v>
      </c>
      <c r="K1350" s="10" t="s">
        <v>531</v>
      </c>
      <c r="L1350" s="10" t="s">
        <v>40</v>
      </c>
      <c r="M1350" s="12">
        <v>2</v>
      </c>
      <c r="N1350" s="15">
        <v>7000.0</v>
      </c>
      <c r="O1350" s="15"/>
      <c r="P1350" s="17">
        <f>IF(N1350&gt;0, O1350/N1350, 0)</f>
        <v>0</v>
      </c>
      <c r="Q1350" s="15">
        <f>N1350-O1350</f>
        <v>7000</v>
      </c>
      <c r="R1350" s="15">
        <f>M1350*N1350</f>
        <v>14000</v>
      </c>
      <c r="S1350" s="15">
        <f>M1350*O1350</f>
        <v>0</v>
      </c>
      <c r="T1350" s="15">
        <f>M1350*Q1350</f>
        <v>14000</v>
      </c>
      <c r="U1350" s="15"/>
      <c r="V1350" s="15">
        <f>M1350*U1350</f>
        <v>0</v>
      </c>
      <c r="W1350" s="15">
        <f>T1350-V1350</f>
        <v>14000</v>
      </c>
      <c r="X1350" s="17">
        <f>IF(T1350&gt;0, W1350/T1350, 0)</f>
        <v>1</v>
      </c>
      <c r="Y1350" s="8" t="s">
        <v>41</v>
      </c>
      <c r="Z1350" s="10" t="s">
        <v>42</v>
      </c>
      <c r="AA1350" s="10" t="s">
        <v>43</v>
      </c>
      <c r="AB1350" s="10" t="s">
        <v>44</v>
      </c>
      <c r="AC1350" s="8" t="s">
        <v>44</v>
      </c>
    </row>
    <row r="1351" spans="1:29">
      <c r="A1351" s="11">
        <v>1344</v>
      </c>
      <c r="B1351" s="11" t="s">
        <v>1675</v>
      </c>
      <c r="C1351" s="11" t="s">
        <v>1630</v>
      </c>
      <c r="D1351" s="11" t="s">
        <v>655</v>
      </c>
      <c r="E1351" s="11" t="s">
        <v>70</v>
      </c>
      <c r="F1351" s="11" t="s">
        <v>35</v>
      </c>
      <c r="G1351" s="9" t="s">
        <v>36</v>
      </c>
      <c r="H1351" s="9" t="s">
        <v>71</v>
      </c>
      <c r="I1351" s="9" t="s">
        <v>71</v>
      </c>
      <c r="J1351" s="11">
        <v>164</v>
      </c>
      <c r="K1351" s="11" t="s">
        <v>72</v>
      </c>
      <c r="L1351" s="11" t="s">
        <v>40</v>
      </c>
      <c r="M1351" s="13">
        <v>1</v>
      </c>
      <c r="N1351" s="16">
        <v>18000.0</v>
      </c>
      <c r="O1351" s="16"/>
      <c r="P1351" s="18">
        <f>IF(N1351&gt;0, O1351/N1351, 0)</f>
        <v>0</v>
      </c>
      <c r="Q1351" s="16">
        <f>N1351-O1351</f>
        <v>18000</v>
      </c>
      <c r="R1351" s="16">
        <f>M1351*N1351</f>
        <v>18000</v>
      </c>
      <c r="S1351" s="16">
        <f>M1351*O1351</f>
        <v>0</v>
      </c>
      <c r="T1351" s="16">
        <f>M1351*Q1351</f>
        <v>18000</v>
      </c>
      <c r="U1351" s="16"/>
      <c r="V1351" s="16">
        <f>M1351*U1351</f>
        <v>0</v>
      </c>
      <c r="W1351" s="16">
        <f>T1351-V1351</f>
        <v>18000</v>
      </c>
      <c r="X1351" s="18">
        <f>IF(T1351&gt;0, W1351/T1351, 0)</f>
        <v>1</v>
      </c>
      <c r="Y1351" s="9" t="s">
        <v>41</v>
      </c>
      <c r="Z1351" s="11" t="s">
        <v>42</v>
      </c>
      <c r="AA1351" s="11" t="s">
        <v>73</v>
      </c>
      <c r="AB1351" s="11" t="s">
        <v>44</v>
      </c>
      <c r="AC1351" s="9" t="s">
        <v>44</v>
      </c>
    </row>
    <row r="1352" spans="1:29">
      <c r="A1352" s="10">
        <v>1345</v>
      </c>
      <c r="B1352" s="10" t="s">
        <v>1676</v>
      </c>
      <c r="C1352" s="10" t="s">
        <v>1630</v>
      </c>
      <c r="D1352" s="10" t="s">
        <v>655</v>
      </c>
      <c r="E1352" s="10" t="s">
        <v>34</v>
      </c>
      <c r="F1352" s="10" t="s">
        <v>35</v>
      </c>
      <c r="G1352" s="8" t="s">
        <v>36</v>
      </c>
      <c r="H1352" s="8" t="s">
        <v>65</v>
      </c>
      <c r="I1352" s="8" t="s">
        <v>151</v>
      </c>
      <c r="J1352" s="10">
        <v>158</v>
      </c>
      <c r="K1352" s="10" t="s">
        <v>220</v>
      </c>
      <c r="L1352" s="10" t="s">
        <v>40</v>
      </c>
      <c r="M1352" s="12">
        <v>2</v>
      </c>
      <c r="N1352" s="15">
        <v>9500.0</v>
      </c>
      <c r="O1352" s="15"/>
      <c r="P1352" s="17">
        <f>IF(N1352&gt;0, O1352/N1352, 0)</f>
        <v>0</v>
      </c>
      <c r="Q1352" s="15">
        <f>N1352-O1352</f>
        <v>9500</v>
      </c>
      <c r="R1352" s="15">
        <f>M1352*N1352</f>
        <v>19000</v>
      </c>
      <c r="S1352" s="15">
        <f>M1352*O1352</f>
        <v>0</v>
      </c>
      <c r="T1352" s="15">
        <f>M1352*Q1352</f>
        <v>19000</v>
      </c>
      <c r="U1352" s="15"/>
      <c r="V1352" s="15">
        <f>M1352*U1352</f>
        <v>0</v>
      </c>
      <c r="W1352" s="15">
        <f>T1352-V1352</f>
        <v>19000</v>
      </c>
      <c r="X1352" s="17">
        <f>IF(T1352&gt;0, W1352/T1352, 0)</f>
        <v>1</v>
      </c>
      <c r="Y1352" s="8" t="s">
        <v>41</v>
      </c>
      <c r="Z1352" s="10" t="s">
        <v>42</v>
      </c>
      <c r="AA1352" s="10" t="s">
        <v>43</v>
      </c>
      <c r="AB1352" s="10" t="s">
        <v>44</v>
      </c>
      <c r="AC1352" s="8" t="s">
        <v>44</v>
      </c>
    </row>
    <row r="1353" spans="1:29">
      <c r="A1353" s="11">
        <v>1346</v>
      </c>
      <c r="B1353" s="11" t="s">
        <v>1677</v>
      </c>
      <c r="C1353" s="11" t="s">
        <v>1630</v>
      </c>
      <c r="D1353" s="11" t="s">
        <v>655</v>
      </c>
      <c r="E1353" s="11" t="s">
        <v>34</v>
      </c>
      <c r="F1353" s="11" t="s">
        <v>35</v>
      </c>
      <c r="G1353" s="9" t="s">
        <v>36</v>
      </c>
      <c r="H1353" s="9" t="s">
        <v>47</v>
      </c>
      <c r="I1353" s="9" t="s">
        <v>48</v>
      </c>
      <c r="J1353" s="11">
        <v>164</v>
      </c>
      <c r="K1353" s="11" t="s">
        <v>321</v>
      </c>
      <c r="L1353" s="11" t="s">
        <v>40</v>
      </c>
      <c r="M1353" s="13">
        <v>1</v>
      </c>
      <c r="N1353" s="16">
        <v>8500.0</v>
      </c>
      <c r="O1353" s="16"/>
      <c r="P1353" s="18">
        <f>IF(N1353&gt;0, O1353/N1353, 0)</f>
        <v>0</v>
      </c>
      <c r="Q1353" s="16">
        <f>N1353-O1353</f>
        <v>8500</v>
      </c>
      <c r="R1353" s="16">
        <f>M1353*N1353</f>
        <v>8500</v>
      </c>
      <c r="S1353" s="16">
        <f>M1353*O1353</f>
        <v>0</v>
      </c>
      <c r="T1353" s="16">
        <f>M1353*Q1353</f>
        <v>8500</v>
      </c>
      <c r="U1353" s="16"/>
      <c r="V1353" s="16">
        <f>M1353*U1353</f>
        <v>0</v>
      </c>
      <c r="W1353" s="16">
        <f>T1353-V1353</f>
        <v>8500</v>
      </c>
      <c r="X1353" s="18">
        <f>IF(T1353&gt;0, W1353/T1353, 0)</f>
        <v>1</v>
      </c>
      <c r="Y1353" s="9" t="s">
        <v>41</v>
      </c>
      <c r="Z1353" s="11" t="s">
        <v>42</v>
      </c>
      <c r="AA1353" s="11" t="s">
        <v>43</v>
      </c>
      <c r="AB1353" s="11" t="s">
        <v>44</v>
      </c>
      <c r="AC1353" s="9" t="s">
        <v>44</v>
      </c>
    </row>
    <row r="1354" spans="1:29">
      <c r="A1354" s="10">
        <v>1347</v>
      </c>
      <c r="B1354" s="10" t="s">
        <v>1678</v>
      </c>
      <c r="C1354" s="10" t="s">
        <v>1630</v>
      </c>
      <c r="D1354" s="10" t="s">
        <v>655</v>
      </c>
      <c r="E1354" s="10" t="s">
        <v>34</v>
      </c>
      <c r="F1354" s="10" t="s">
        <v>35</v>
      </c>
      <c r="G1354" s="8" t="s">
        <v>36</v>
      </c>
      <c r="H1354" s="8" t="s">
        <v>53</v>
      </c>
      <c r="I1354" s="8" t="s">
        <v>53</v>
      </c>
      <c r="J1354" s="10">
        <v>164</v>
      </c>
      <c r="K1354" s="10" t="s">
        <v>63</v>
      </c>
      <c r="L1354" s="10" t="s">
        <v>40</v>
      </c>
      <c r="M1354" s="12">
        <v>1</v>
      </c>
      <c r="N1354" s="15">
        <v>7500.0</v>
      </c>
      <c r="O1354" s="15"/>
      <c r="P1354" s="17">
        <f>IF(N1354&gt;0, O1354/N1354, 0)</f>
        <v>0</v>
      </c>
      <c r="Q1354" s="15">
        <f>N1354-O1354</f>
        <v>7500</v>
      </c>
      <c r="R1354" s="15">
        <f>M1354*N1354</f>
        <v>7500</v>
      </c>
      <c r="S1354" s="15">
        <f>M1354*O1354</f>
        <v>0</v>
      </c>
      <c r="T1354" s="15">
        <f>M1354*Q1354</f>
        <v>7500</v>
      </c>
      <c r="U1354" s="15"/>
      <c r="V1354" s="15">
        <f>M1354*U1354</f>
        <v>0</v>
      </c>
      <c r="W1354" s="15">
        <f>T1354-V1354</f>
        <v>7500</v>
      </c>
      <c r="X1354" s="17">
        <f>IF(T1354&gt;0, W1354/T1354, 0)</f>
        <v>1</v>
      </c>
      <c r="Y1354" s="8" t="s">
        <v>41</v>
      </c>
      <c r="Z1354" s="10" t="s">
        <v>42</v>
      </c>
      <c r="AA1354" s="10" t="s">
        <v>43</v>
      </c>
      <c r="AB1354" s="10" t="s">
        <v>44</v>
      </c>
      <c r="AC1354" s="8" t="s">
        <v>44</v>
      </c>
    </row>
    <row r="1355" spans="1:29">
      <c r="A1355" s="11">
        <v>1348</v>
      </c>
      <c r="B1355" s="11" t="s">
        <v>1679</v>
      </c>
      <c r="C1355" s="11" t="s">
        <v>1630</v>
      </c>
      <c r="D1355" s="11" t="s">
        <v>655</v>
      </c>
      <c r="E1355" s="11" t="s">
        <v>34</v>
      </c>
      <c r="F1355" s="11" t="s">
        <v>35</v>
      </c>
      <c r="G1355" s="9" t="s">
        <v>36</v>
      </c>
      <c r="H1355" s="9" t="s">
        <v>58</v>
      </c>
      <c r="I1355" s="9" t="s">
        <v>58</v>
      </c>
      <c r="J1355" s="11">
        <v>164</v>
      </c>
      <c r="K1355" s="11" t="s">
        <v>59</v>
      </c>
      <c r="L1355" s="11" t="s">
        <v>40</v>
      </c>
      <c r="M1355" s="13">
        <v>1</v>
      </c>
      <c r="N1355" s="16">
        <v>7500.0</v>
      </c>
      <c r="O1355" s="16"/>
      <c r="P1355" s="18">
        <f>IF(N1355&gt;0, O1355/N1355, 0)</f>
        <v>0</v>
      </c>
      <c r="Q1355" s="16">
        <f>N1355-O1355</f>
        <v>7500</v>
      </c>
      <c r="R1355" s="16">
        <f>M1355*N1355</f>
        <v>7500</v>
      </c>
      <c r="S1355" s="16">
        <f>M1355*O1355</f>
        <v>0</v>
      </c>
      <c r="T1355" s="16">
        <f>M1355*Q1355</f>
        <v>7500</v>
      </c>
      <c r="U1355" s="16"/>
      <c r="V1355" s="16">
        <f>M1355*U1355</f>
        <v>0</v>
      </c>
      <c r="W1355" s="16">
        <f>T1355-V1355</f>
        <v>7500</v>
      </c>
      <c r="X1355" s="18">
        <f>IF(T1355&gt;0, W1355/T1355, 0)</f>
        <v>1</v>
      </c>
      <c r="Y1355" s="9" t="s">
        <v>41</v>
      </c>
      <c r="Z1355" s="11" t="s">
        <v>42</v>
      </c>
      <c r="AA1355" s="11" t="s">
        <v>43</v>
      </c>
      <c r="AB1355" s="11" t="s">
        <v>44</v>
      </c>
      <c r="AC1355" s="9" t="s">
        <v>44</v>
      </c>
    </row>
    <row r="1356" spans="1:29">
      <c r="A1356" s="10">
        <v>1349</v>
      </c>
      <c r="B1356" s="10" t="s">
        <v>1680</v>
      </c>
      <c r="C1356" s="10" t="s">
        <v>1630</v>
      </c>
      <c r="D1356" s="10" t="s">
        <v>655</v>
      </c>
      <c r="E1356" s="10" t="s">
        <v>34</v>
      </c>
      <c r="F1356" s="10" t="s">
        <v>35</v>
      </c>
      <c r="G1356" s="8" t="s">
        <v>36</v>
      </c>
      <c r="H1356" s="8" t="s">
        <v>37</v>
      </c>
      <c r="I1356" s="8" t="s">
        <v>75</v>
      </c>
      <c r="J1356" s="10">
        <v>164</v>
      </c>
      <c r="K1356" s="10" t="s">
        <v>76</v>
      </c>
      <c r="L1356" s="10" t="s">
        <v>40</v>
      </c>
      <c r="M1356" s="12">
        <v>1</v>
      </c>
      <c r="N1356" s="15">
        <v>9000.0</v>
      </c>
      <c r="O1356" s="15"/>
      <c r="P1356" s="17">
        <f>IF(N1356&gt;0, O1356/N1356, 0)</f>
        <v>0</v>
      </c>
      <c r="Q1356" s="15">
        <f>N1356-O1356</f>
        <v>9000</v>
      </c>
      <c r="R1356" s="15">
        <f>M1356*N1356</f>
        <v>9000</v>
      </c>
      <c r="S1356" s="15">
        <f>M1356*O1356</f>
        <v>0</v>
      </c>
      <c r="T1356" s="15">
        <f>M1356*Q1356</f>
        <v>9000</v>
      </c>
      <c r="U1356" s="15"/>
      <c r="V1356" s="15">
        <f>M1356*U1356</f>
        <v>0</v>
      </c>
      <c r="W1356" s="15">
        <f>T1356-V1356</f>
        <v>9000</v>
      </c>
      <c r="X1356" s="17">
        <f>IF(T1356&gt;0, W1356/T1356, 0)</f>
        <v>1</v>
      </c>
      <c r="Y1356" s="8" t="s">
        <v>41</v>
      </c>
      <c r="Z1356" s="10" t="s">
        <v>42</v>
      </c>
      <c r="AA1356" s="10" t="s">
        <v>43</v>
      </c>
      <c r="AB1356" s="10" t="s">
        <v>44</v>
      </c>
      <c r="AC1356" s="8" t="s">
        <v>44</v>
      </c>
    </row>
    <row r="1357" spans="1:29">
      <c r="A1357" s="11">
        <v>1350</v>
      </c>
      <c r="B1357" s="11" t="s">
        <v>1681</v>
      </c>
      <c r="C1357" s="11" t="s">
        <v>1630</v>
      </c>
      <c r="D1357" s="11" t="s">
        <v>655</v>
      </c>
      <c r="E1357" s="11" t="s">
        <v>34</v>
      </c>
      <c r="F1357" s="11" t="s">
        <v>35</v>
      </c>
      <c r="G1357" s="9" t="s">
        <v>36</v>
      </c>
      <c r="H1357" s="9" t="s">
        <v>37</v>
      </c>
      <c r="I1357" s="9" t="s">
        <v>38</v>
      </c>
      <c r="J1357" s="11">
        <v>164</v>
      </c>
      <c r="K1357" s="11" t="s">
        <v>79</v>
      </c>
      <c r="L1357" s="11" t="s">
        <v>40</v>
      </c>
      <c r="M1357" s="13">
        <v>2</v>
      </c>
      <c r="N1357" s="16">
        <v>8000.0</v>
      </c>
      <c r="O1357" s="16"/>
      <c r="P1357" s="18">
        <f>IF(N1357&gt;0, O1357/N1357, 0)</f>
        <v>0</v>
      </c>
      <c r="Q1357" s="16">
        <f>N1357-O1357</f>
        <v>8000</v>
      </c>
      <c r="R1357" s="16">
        <f>M1357*N1357</f>
        <v>16000</v>
      </c>
      <c r="S1357" s="16">
        <f>M1357*O1357</f>
        <v>0</v>
      </c>
      <c r="T1357" s="16">
        <f>M1357*Q1357</f>
        <v>16000</v>
      </c>
      <c r="U1357" s="16"/>
      <c r="V1357" s="16">
        <f>M1357*U1357</f>
        <v>0</v>
      </c>
      <c r="W1357" s="16">
        <f>T1357-V1357</f>
        <v>16000</v>
      </c>
      <c r="X1357" s="18">
        <f>IF(T1357&gt;0, W1357/T1357, 0)</f>
        <v>1</v>
      </c>
      <c r="Y1357" s="9" t="s">
        <v>41</v>
      </c>
      <c r="Z1357" s="11" t="s">
        <v>42</v>
      </c>
      <c r="AA1357" s="11" t="s">
        <v>43</v>
      </c>
      <c r="AB1357" s="11" t="s">
        <v>44</v>
      </c>
      <c r="AC1357" s="9" t="s">
        <v>44</v>
      </c>
    </row>
    <row r="1358" spans="1:29">
      <c r="A1358" s="10">
        <v>1351</v>
      </c>
      <c r="B1358" s="10" t="s">
        <v>1682</v>
      </c>
      <c r="C1358" s="10" t="s">
        <v>1683</v>
      </c>
      <c r="D1358" s="10" t="s">
        <v>655</v>
      </c>
      <c r="E1358" s="10" t="s">
        <v>34</v>
      </c>
      <c r="F1358" s="10" t="s">
        <v>35</v>
      </c>
      <c r="G1358" s="8" t="s">
        <v>36</v>
      </c>
      <c r="H1358" s="8" t="s">
        <v>37</v>
      </c>
      <c r="I1358" s="8" t="s">
        <v>75</v>
      </c>
      <c r="J1358" s="10">
        <v>164</v>
      </c>
      <c r="K1358" s="10" t="s">
        <v>76</v>
      </c>
      <c r="L1358" s="10" t="s">
        <v>40</v>
      </c>
      <c r="M1358" s="12">
        <v>1</v>
      </c>
      <c r="N1358" s="15">
        <v>9000.0</v>
      </c>
      <c r="O1358" s="15"/>
      <c r="P1358" s="17">
        <f>IF(N1358&gt;0, O1358/N1358, 0)</f>
        <v>0</v>
      </c>
      <c r="Q1358" s="15">
        <f>N1358-O1358</f>
        <v>9000</v>
      </c>
      <c r="R1358" s="15">
        <f>M1358*N1358</f>
        <v>9000</v>
      </c>
      <c r="S1358" s="15">
        <f>M1358*O1358</f>
        <v>0</v>
      </c>
      <c r="T1358" s="15">
        <f>M1358*Q1358</f>
        <v>9000</v>
      </c>
      <c r="U1358" s="15"/>
      <c r="V1358" s="15">
        <f>M1358*U1358</f>
        <v>0</v>
      </c>
      <c r="W1358" s="15">
        <f>T1358-V1358</f>
        <v>9000</v>
      </c>
      <c r="X1358" s="17">
        <f>IF(T1358&gt;0, W1358/T1358, 0)</f>
        <v>1</v>
      </c>
      <c r="Y1358" s="8" t="s">
        <v>41</v>
      </c>
      <c r="Z1358" s="10" t="s">
        <v>42</v>
      </c>
      <c r="AA1358" s="10" t="s">
        <v>43</v>
      </c>
      <c r="AB1358" s="10" t="s">
        <v>44</v>
      </c>
      <c r="AC1358" s="8" t="s">
        <v>44</v>
      </c>
    </row>
    <row r="1359" spans="1:29">
      <c r="A1359" s="11">
        <v>1352</v>
      </c>
      <c r="B1359" s="11" t="s">
        <v>1684</v>
      </c>
      <c r="C1359" s="11" t="s">
        <v>1683</v>
      </c>
      <c r="D1359" s="11" t="s">
        <v>655</v>
      </c>
      <c r="E1359" s="11" t="s">
        <v>34</v>
      </c>
      <c r="F1359" s="11" t="s">
        <v>35</v>
      </c>
      <c r="G1359" s="9" t="s">
        <v>36</v>
      </c>
      <c r="H1359" s="9" t="s">
        <v>37</v>
      </c>
      <c r="I1359" s="9" t="s">
        <v>38</v>
      </c>
      <c r="J1359" s="11">
        <v>164</v>
      </c>
      <c r="K1359" s="11" t="s">
        <v>79</v>
      </c>
      <c r="L1359" s="11" t="s">
        <v>40</v>
      </c>
      <c r="M1359" s="13">
        <v>1</v>
      </c>
      <c r="N1359" s="16">
        <v>8000.0</v>
      </c>
      <c r="O1359" s="16"/>
      <c r="P1359" s="18">
        <f>IF(N1359&gt;0, O1359/N1359, 0)</f>
        <v>0</v>
      </c>
      <c r="Q1359" s="16">
        <f>N1359-O1359</f>
        <v>8000</v>
      </c>
      <c r="R1359" s="16">
        <f>M1359*N1359</f>
        <v>8000</v>
      </c>
      <c r="S1359" s="16">
        <f>M1359*O1359</f>
        <v>0</v>
      </c>
      <c r="T1359" s="16">
        <f>M1359*Q1359</f>
        <v>8000</v>
      </c>
      <c r="U1359" s="16"/>
      <c r="V1359" s="16">
        <f>M1359*U1359</f>
        <v>0</v>
      </c>
      <c r="W1359" s="16">
        <f>T1359-V1359</f>
        <v>8000</v>
      </c>
      <c r="X1359" s="18">
        <f>IF(T1359&gt;0, W1359/T1359, 0)</f>
        <v>1</v>
      </c>
      <c r="Y1359" s="9" t="s">
        <v>41</v>
      </c>
      <c r="Z1359" s="11" t="s">
        <v>42</v>
      </c>
      <c r="AA1359" s="11" t="s">
        <v>43</v>
      </c>
      <c r="AB1359" s="11" t="s">
        <v>44</v>
      </c>
      <c r="AC1359" s="9" t="s">
        <v>44</v>
      </c>
    </row>
    <row r="1360" spans="1:29">
      <c r="A1360" s="10">
        <v>1353</v>
      </c>
      <c r="B1360" s="10" t="s">
        <v>1685</v>
      </c>
      <c r="C1360" s="10" t="s">
        <v>1683</v>
      </c>
      <c r="D1360" s="10" t="s">
        <v>655</v>
      </c>
      <c r="E1360" s="10" t="s">
        <v>70</v>
      </c>
      <c r="F1360" s="10" t="s">
        <v>35</v>
      </c>
      <c r="G1360" s="8" t="s">
        <v>36</v>
      </c>
      <c r="H1360" s="8" t="s">
        <v>71</v>
      </c>
      <c r="I1360" s="8" t="s">
        <v>71</v>
      </c>
      <c r="J1360" s="10">
        <v>158</v>
      </c>
      <c r="K1360" s="10" t="s">
        <v>263</v>
      </c>
      <c r="L1360" s="10" t="s">
        <v>40</v>
      </c>
      <c r="M1360" s="12">
        <v>1</v>
      </c>
      <c r="N1360" s="15">
        <v>18000.0</v>
      </c>
      <c r="O1360" s="15"/>
      <c r="P1360" s="17">
        <f>IF(N1360&gt;0, O1360/N1360, 0)</f>
        <v>0</v>
      </c>
      <c r="Q1360" s="15">
        <f>N1360-O1360</f>
        <v>18000</v>
      </c>
      <c r="R1360" s="15">
        <f>M1360*N1360</f>
        <v>18000</v>
      </c>
      <c r="S1360" s="15">
        <f>M1360*O1360</f>
        <v>0</v>
      </c>
      <c r="T1360" s="15">
        <f>M1360*Q1360</f>
        <v>18000</v>
      </c>
      <c r="U1360" s="15"/>
      <c r="V1360" s="15">
        <f>M1360*U1360</f>
        <v>0</v>
      </c>
      <c r="W1360" s="15">
        <f>T1360-V1360</f>
        <v>18000</v>
      </c>
      <c r="X1360" s="17">
        <f>IF(T1360&gt;0, W1360/T1360, 0)</f>
        <v>1</v>
      </c>
      <c r="Y1360" s="8" t="s">
        <v>41</v>
      </c>
      <c r="Z1360" s="10" t="s">
        <v>42</v>
      </c>
      <c r="AA1360" s="10" t="s">
        <v>73</v>
      </c>
      <c r="AB1360" s="10" t="s">
        <v>44</v>
      </c>
      <c r="AC1360" s="8" t="s">
        <v>44</v>
      </c>
    </row>
    <row r="1361" spans="1:29">
      <c r="A1361" s="11">
        <v>1354</v>
      </c>
      <c r="B1361" s="11" t="s">
        <v>1686</v>
      </c>
      <c r="C1361" s="11" t="s">
        <v>1683</v>
      </c>
      <c r="D1361" s="11" t="s">
        <v>655</v>
      </c>
      <c r="E1361" s="11" t="s">
        <v>70</v>
      </c>
      <c r="F1361" s="11" t="s">
        <v>35</v>
      </c>
      <c r="G1361" s="9" t="s">
        <v>36</v>
      </c>
      <c r="H1361" s="9" t="s">
        <v>37</v>
      </c>
      <c r="I1361" s="9" t="s">
        <v>75</v>
      </c>
      <c r="J1361" s="11">
        <v>158</v>
      </c>
      <c r="K1361" s="11" t="s">
        <v>294</v>
      </c>
      <c r="L1361" s="11" t="s">
        <v>40</v>
      </c>
      <c r="M1361" s="13">
        <v>2</v>
      </c>
      <c r="N1361" s="16">
        <v>11000.0</v>
      </c>
      <c r="O1361" s="16"/>
      <c r="P1361" s="18">
        <f>IF(N1361&gt;0, O1361/N1361, 0)</f>
        <v>0</v>
      </c>
      <c r="Q1361" s="16">
        <f>N1361-O1361</f>
        <v>11000</v>
      </c>
      <c r="R1361" s="16">
        <f>M1361*N1361</f>
        <v>22000</v>
      </c>
      <c r="S1361" s="16">
        <f>M1361*O1361</f>
        <v>0</v>
      </c>
      <c r="T1361" s="16">
        <f>M1361*Q1361</f>
        <v>22000</v>
      </c>
      <c r="U1361" s="16"/>
      <c r="V1361" s="16">
        <f>M1361*U1361</f>
        <v>0</v>
      </c>
      <c r="W1361" s="16">
        <f>T1361-V1361</f>
        <v>22000</v>
      </c>
      <c r="X1361" s="18">
        <f>IF(T1361&gt;0, W1361/T1361, 0)</f>
        <v>1</v>
      </c>
      <c r="Y1361" s="9" t="s">
        <v>41</v>
      </c>
      <c r="Z1361" s="11" t="s">
        <v>42</v>
      </c>
      <c r="AA1361" s="11" t="s">
        <v>73</v>
      </c>
      <c r="AB1361" s="11" t="s">
        <v>44</v>
      </c>
      <c r="AC1361" s="9" t="s">
        <v>44</v>
      </c>
    </row>
    <row r="1362" spans="1:29">
      <c r="A1362" s="10">
        <v>1355</v>
      </c>
      <c r="B1362" s="10" t="s">
        <v>1687</v>
      </c>
      <c r="C1362" s="10" t="s">
        <v>1683</v>
      </c>
      <c r="D1362" s="10" t="s">
        <v>655</v>
      </c>
      <c r="E1362" s="10" t="s">
        <v>34</v>
      </c>
      <c r="F1362" s="10" t="s">
        <v>35</v>
      </c>
      <c r="G1362" s="8" t="s">
        <v>36</v>
      </c>
      <c r="H1362" s="8" t="s">
        <v>65</v>
      </c>
      <c r="I1362" s="8" t="s">
        <v>151</v>
      </c>
      <c r="J1362" s="10">
        <v>158</v>
      </c>
      <c r="K1362" s="10" t="s">
        <v>220</v>
      </c>
      <c r="L1362" s="10" t="s">
        <v>40</v>
      </c>
      <c r="M1362" s="12">
        <v>1</v>
      </c>
      <c r="N1362" s="15">
        <v>7500.0</v>
      </c>
      <c r="O1362" s="15"/>
      <c r="P1362" s="17">
        <f>IF(N1362&gt;0, O1362/N1362, 0)</f>
        <v>0</v>
      </c>
      <c r="Q1362" s="15">
        <f>N1362-O1362</f>
        <v>7500</v>
      </c>
      <c r="R1362" s="15">
        <f>M1362*N1362</f>
        <v>7500</v>
      </c>
      <c r="S1362" s="15">
        <f>M1362*O1362</f>
        <v>0</v>
      </c>
      <c r="T1362" s="15">
        <f>M1362*Q1362</f>
        <v>7500</v>
      </c>
      <c r="U1362" s="15"/>
      <c r="V1362" s="15">
        <f>M1362*U1362</f>
        <v>0</v>
      </c>
      <c r="W1362" s="15">
        <f>T1362-V1362</f>
        <v>7500</v>
      </c>
      <c r="X1362" s="17">
        <f>IF(T1362&gt;0, W1362/T1362, 0)</f>
        <v>1</v>
      </c>
      <c r="Y1362" s="8" t="s">
        <v>41</v>
      </c>
      <c r="Z1362" s="10" t="s">
        <v>42</v>
      </c>
      <c r="AA1362" s="10" t="s">
        <v>43</v>
      </c>
      <c r="AB1362" s="10" t="s">
        <v>44</v>
      </c>
      <c r="AC1362" s="8" t="s">
        <v>44</v>
      </c>
    </row>
    <row r="1363" spans="1:29">
      <c r="A1363" s="11">
        <v>1356</v>
      </c>
      <c r="B1363" s="11" t="s">
        <v>1688</v>
      </c>
      <c r="C1363" s="11" t="s">
        <v>1683</v>
      </c>
      <c r="D1363" s="11" t="s">
        <v>655</v>
      </c>
      <c r="E1363" s="11" t="s">
        <v>34</v>
      </c>
      <c r="F1363" s="11" t="s">
        <v>35</v>
      </c>
      <c r="G1363" s="9" t="s">
        <v>36</v>
      </c>
      <c r="H1363" s="9" t="s">
        <v>37</v>
      </c>
      <c r="I1363" s="9" t="s">
        <v>38</v>
      </c>
      <c r="J1363" s="11">
        <v>158</v>
      </c>
      <c r="K1363" s="11" t="s">
        <v>39</v>
      </c>
      <c r="L1363" s="11" t="s">
        <v>40</v>
      </c>
      <c r="M1363" s="13">
        <v>2</v>
      </c>
      <c r="N1363" s="16">
        <v>8000.0</v>
      </c>
      <c r="O1363" s="16"/>
      <c r="P1363" s="18">
        <f>IF(N1363&gt;0, O1363/N1363, 0)</f>
        <v>0</v>
      </c>
      <c r="Q1363" s="16">
        <f>N1363-O1363</f>
        <v>8000</v>
      </c>
      <c r="R1363" s="16">
        <f>M1363*N1363</f>
        <v>16000</v>
      </c>
      <c r="S1363" s="16">
        <f>M1363*O1363</f>
        <v>0</v>
      </c>
      <c r="T1363" s="16">
        <f>M1363*Q1363</f>
        <v>16000</v>
      </c>
      <c r="U1363" s="16"/>
      <c r="V1363" s="16">
        <f>M1363*U1363</f>
        <v>0</v>
      </c>
      <c r="W1363" s="16">
        <f>T1363-V1363</f>
        <v>16000</v>
      </c>
      <c r="X1363" s="18">
        <f>IF(T1363&gt;0, W1363/T1363, 0)</f>
        <v>1</v>
      </c>
      <c r="Y1363" s="9" t="s">
        <v>41</v>
      </c>
      <c r="Z1363" s="11" t="s">
        <v>42</v>
      </c>
      <c r="AA1363" s="11" t="s">
        <v>43</v>
      </c>
      <c r="AB1363" s="11" t="s">
        <v>44</v>
      </c>
      <c r="AC1363" s="9" t="s">
        <v>44</v>
      </c>
    </row>
    <row r="1364" spans="1:29">
      <c r="A1364" s="10">
        <v>1357</v>
      </c>
      <c r="B1364" s="10" t="s">
        <v>1689</v>
      </c>
      <c r="C1364" s="10" t="s">
        <v>1683</v>
      </c>
      <c r="D1364" s="10" t="s">
        <v>655</v>
      </c>
      <c r="E1364" s="10" t="s">
        <v>34</v>
      </c>
      <c r="F1364" s="10" t="s">
        <v>35</v>
      </c>
      <c r="G1364" s="8" t="s">
        <v>36</v>
      </c>
      <c r="H1364" s="8" t="s">
        <v>58</v>
      </c>
      <c r="I1364" s="8" t="s">
        <v>58</v>
      </c>
      <c r="J1364" s="10">
        <v>158</v>
      </c>
      <c r="K1364" s="10" t="s">
        <v>130</v>
      </c>
      <c r="L1364" s="10" t="s">
        <v>40</v>
      </c>
      <c r="M1364" s="12">
        <v>1</v>
      </c>
      <c r="N1364" s="15">
        <v>7500.0</v>
      </c>
      <c r="O1364" s="15"/>
      <c r="P1364" s="17">
        <f>IF(N1364&gt;0, O1364/N1364, 0)</f>
        <v>0</v>
      </c>
      <c r="Q1364" s="15">
        <f>N1364-O1364</f>
        <v>7500</v>
      </c>
      <c r="R1364" s="15">
        <f>M1364*N1364</f>
        <v>7500</v>
      </c>
      <c r="S1364" s="15">
        <f>M1364*O1364</f>
        <v>0</v>
      </c>
      <c r="T1364" s="15">
        <f>M1364*Q1364</f>
        <v>7500</v>
      </c>
      <c r="U1364" s="15"/>
      <c r="V1364" s="15">
        <f>M1364*U1364</f>
        <v>0</v>
      </c>
      <c r="W1364" s="15">
        <f>T1364-V1364</f>
        <v>7500</v>
      </c>
      <c r="X1364" s="17">
        <f>IF(T1364&gt;0, W1364/T1364, 0)</f>
        <v>1</v>
      </c>
      <c r="Y1364" s="8" t="s">
        <v>41</v>
      </c>
      <c r="Z1364" s="10" t="s">
        <v>42</v>
      </c>
      <c r="AA1364" s="10" t="s">
        <v>43</v>
      </c>
      <c r="AB1364" s="10" t="s">
        <v>44</v>
      </c>
      <c r="AC1364" s="8" t="s">
        <v>44</v>
      </c>
    </row>
    <row r="1365" spans="1:29">
      <c r="A1365" s="11">
        <v>1358</v>
      </c>
      <c r="B1365" s="11" t="s">
        <v>1690</v>
      </c>
      <c r="C1365" s="11" t="s">
        <v>1683</v>
      </c>
      <c r="D1365" s="11" t="s">
        <v>655</v>
      </c>
      <c r="E1365" s="11" t="s">
        <v>34</v>
      </c>
      <c r="F1365" s="11" t="s">
        <v>35</v>
      </c>
      <c r="G1365" s="9" t="s">
        <v>36</v>
      </c>
      <c r="H1365" s="9" t="s">
        <v>53</v>
      </c>
      <c r="I1365" s="9" t="s">
        <v>53</v>
      </c>
      <c r="J1365" s="11">
        <v>164</v>
      </c>
      <c r="K1365" s="11" t="s">
        <v>63</v>
      </c>
      <c r="L1365" s="11" t="s">
        <v>40</v>
      </c>
      <c r="M1365" s="13">
        <v>1</v>
      </c>
      <c r="N1365" s="16">
        <v>8500.0</v>
      </c>
      <c r="O1365" s="16"/>
      <c r="P1365" s="18">
        <f>IF(N1365&gt;0, O1365/N1365, 0)</f>
        <v>0</v>
      </c>
      <c r="Q1365" s="16">
        <f>N1365-O1365</f>
        <v>8500</v>
      </c>
      <c r="R1365" s="16">
        <f>M1365*N1365</f>
        <v>8500</v>
      </c>
      <c r="S1365" s="16">
        <f>M1365*O1365</f>
        <v>0</v>
      </c>
      <c r="T1365" s="16">
        <f>M1365*Q1365</f>
        <v>8500</v>
      </c>
      <c r="U1365" s="16"/>
      <c r="V1365" s="16">
        <f>M1365*U1365</f>
        <v>0</v>
      </c>
      <c r="W1365" s="16">
        <f>T1365-V1365</f>
        <v>8500</v>
      </c>
      <c r="X1365" s="18">
        <f>IF(T1365&gt;0, W1365/T1365, 0)</f>
        <v>1</v>
      </c>
      <c r="Y1365" s="9" t="s">
        <v>41</v>
      </c>
      <c r="Z1365" s="11" t="s">
        <v>42</v>
      </c>
      <c r="AA1365" s="11" t="s">
        <v>43</v>
      </c>
      <c r="AB1365" s="11" t="s">
        <v>44</v>
      </c>
      <c r="AC1365" s="9" t="s">
        <v>44</v>
      </c>
    </row>
    <row r="1366" spans="1:29">
      <c r="A1366" s="10">
        <v>1359</v>
      </c>
      <c r="B1366" s="10" t="s">
        <v>1691</v>
      </c>
      <c r="C1366" s="10" t="s">
        <v>1683</v>
      </c>
      <c r="D1366" s="10" t="s">
        <v>655</v>
      </c>
      <c r="E1366" s="10" t="s">
        <v>34</v>
      </c>
      <c r="F1366" s="10" t="s">
        <v>35</v>
      </c>
      <c r="G1366" s="8" t="s">
        <v>52</v>
      </c>
      <c r="H1366" s="8" t="s">
        <v>47</v>
      </c>
      <c r="I1366" s="8" t="s">
        <v>48</v>
      </c>
      <c r="J1366" s="10">
        <v>158</v>
      </c>
      <c r="K1366" s="10" t="s">
        <v>444</v>
      </c>
      <c r="L1366" s="10" t="s">
        <v>40</v>
      </c>
      <c r="M1366" s="12">
        <v>1</v>
      </c>
      <c r="N1366" s="15">
        <v>18000.0</v>
      </c>
      <c r="O1366" s="15"/>
      <c r="P1366" s="17">
        <f>IF(N1366&gt;0, O1366/N1366, 0)</f>
        <v>0</v>
      </c>
      <c r="Q1366" s="15">
        <f>N1366-O1366</f>
        <v>18000</v>
      </c>
      <c r="R1366" s="15">
        <f>M1366*N1366</f>
        <v>18000</v>
      </c>
      <c r="S1366" s="15">
        <f>M1366*O1366</f>
        <v>0</v>
      </c>
      <c r="T1366" s="15">
        <f>M1366*Q1366</f>
        <v>18000</v>
      </c>
      <c r="U1366" s="15"/>
      <c r="V1366" s="15">
        <f>M1366*U1366</f>
        <v>0</v>
      </c>
      <c r="W1366" s="15">
        <f>T1366-V1366</f>
        <v>18000</v>
      </c>
      <c r="X1366" s="17">
        <f>IF(T1366&gt;0, W1366/T1366, 0)</f>
        <v>1</v>
      </c>
      <c r="Y1366" s="8" t="s">
        <v>41</v>
      </c>
      <c r="Z1366" s="10" t="s">
        <v>42</v>
      </c>
      <c r="AA1366" s="10" t="s">
        <v>43</v>
      </c>
      <c r="AB1366" s="10" t="s">
        <v>44</v>
      </c>
      <c r="AC1366" s="8" t="s">
        <v>44</v>
      </c>
    </row>
    <row r="1367" spans="1:29">
      <c r="A1367" s="11">
        <v>1360</v>
      </c>
      <c r="B1367" s="11" t="s">
        <v>1692</v>
      </c>
      <c r="C1367" s="11" t="s">
        <v>1683</v>
      </c>
      <c r="D1367" s="11" t="s">
        <v>655</v>
      </c>
      <c r="E1367" s="11" t="s">
        <v>34</v>
      </c>
      <c r="F1367" s="11" t="s">
        <v>35</v>
      </c>
      <c r="G1367" s="9" t="s">
        <v>52</v>
      </c>
      <c r="H1367" s="9" t="s">
        <v>58</v>
      </c>
      <c r="I1367" s="9" t="s">
        <v>58</v>
      </c>
      <c r="J1367" s="11">
        <v>158</v>
      </c>
      <c r="K1367" s="11" t="s">
        <v>795</v>
      </c>
      <c r="L1367" s="11" t="s">
        <v>40</v>
      </c>
      <c r="M1367" s="13">
        <v>1</v>
      </c>
      <c r="N1367" s="16">
        <v>7500.0</v>
      </c>
      <c r="O1367" s="16"/>
      <c r="P1367" s="18">
        <f>IF(N1367&gt;0, O1367/N1367, 0)</f>
        <v>0</v>
      </c>
      <c r="Q1367" s="16">
        <f>N1367-O1367</f>
        <v>7500</v>
      </c>
      <c r="R1367" s="16">
        <f>M1367*N1367</f>
        <v>7500</v>
      </c>
      <c r="S1367" s="16">
        <f>M1367*O1367</f>
        <v>0</v>
      </c>
      <c r="T1367" s="16">
        <f>M1367*Q1367</f>
        <v>7500</v>
      </c>
      <c r="U1367" s="16"/>
      <c r="V1367" s="16">
        <f>M1367*U1367</f>
        <v>0</v>
      </c>
      <c r="W1367" s="16">
        <f>T1367-V1367</f>
        <v>7500</v>
      </c>
      <c r="X1367" s="18">
        <f>IF(T1367&gt;0, W1367/T1367, 0)</f>
        <v>1</v>
      </c>
      <c r="Y1367" s="9" t="s">
        <v>41</v>
      </c>
      <c r="Z1367" s="11" t="s">
        <v>42</v>
      </c>
      <c r="AA1367" s="11" t="s">
        <v>43</v>
      </c>
      <c r="AB1367" s="11" t="s">
        <v>44</v>
      </c>
      <c r="AC1367" s="9" t="s">
        <v>44</v>
      </c>
    </row>
    <row r="1368" spans="1:29">
      <c r="A1368" s="10">
        <v>1361</v>
      </c>
      <c r="B1368" s="10" t="s">
        <v>1693</v>
      </c>
      <c r="C1368" s="10" t="s">
        <v>1683</v>
      </c>
      <c r="D1368" s="10" t="s">
        <v>655</v>
      </c>
      <c r="E1368" s="10" t="s">
        <v>34</v>
      </c>
      <c r="F1368" s="10" t="s">
        <v>35</v>
      </c>
      <c r="G1368" s="8" t="s">
        <v>52</v>
      </c>
      <c r="H1368" s="8" t="s">
        <v>53</v>
      </c>
      <c r="I1368" s="8" t="s">
        <v>53</v>
      </c>
      <c r="J1368" s="10">
        <v>158</v>
      </c>
      <c r="K1368" s="10" t="s">
        <v>127</v>
      </c>
      <c r="L1368" s="10" t="s">
        <v>55</v>
      </c>
      <c r="M1368" s="12">
        <v>1</v>
      </c>
      <c r="N1368" s="15">
        <v>8500.0</v>
      </c>
      <c r="O1368" s="15"/>
      <c r="P1368" s="17">
        <f>IF(N1368&gt;0, O1368/N1368, 0)</f>
        <v>0</v>
      </c>
      <c r="Q1368" s="15">
        <f>N1368-O1368</f>
        <v>8500</v>
      </c>
      <c r="R1368" s="15">
        <f>M1368*N1368</f>
        <v>8500</v>
      </c>
      <c r="S1368" s="15">
        <f>M1368*O1368</f>
        <v>0</v>
      </c>
      <c r="T1368" s="15">
        <f>M1368*Q1368</f>
        <v>8500</v>
      </c>
      <c r="U1368" s="15"/>
      <c r="V1368" s="15">
        <f>M1368*U1368</f>
        <v>0</v>
      </c>
      <c r="W1368" s="15">
        <f>T1368-V1368</f>
        <v>8500</v>
      </c>
      <c r="X1368" s="17">
        <f>IF(T1368&gt;0, W1368/T1368, 0)</f>
        <v>1</v>
      </c>
      <c r="Y1368" s="8" t="s">
        <v>41</v>
      </c>
      <c r="Z1368" s="10" t="s">
        <v>42</v>
      </c>
      <c r="AA1368" s="10" t="s">
        <v>43</v>
      </c>
      <c r="AB1368" s="10" t="s">
        <v>44</v>
      </c>
      <c r="AC1368" s="8" t="s">
        <v>44</v>
      </c>
    </row>
    <row r="1369" spans="1:29">
      <c r="A1369" s="11">
        <v>1362</v>
      </c>
      <c r="B1369" s="11" t="s">
        <v>1694</v>
      </c>
      <c r="C1369" s="11" t="s">
        <v>1683</v>
      </c>
      <c r="D1369" s="11" t="s">
        <v>655</v>
      </c>
      <c r="E1369" s="11" t="s">
        <v>34</v>
      </c>
      <c r="F1369" s="11" t="s">
        <v>35</v>
      </c>
      <c r="G1369" s="9" t="s">
        <v>52</v>
      </c>
      <c r="H1369" s="9" t="s">
        <v>37</v>
      </c>
      <c r="I1369" s="9" t="s">
        <v>38</v>
      </c>
      <c r="J1369" s="11">
        <v>152</v>
      </c>
      <c r="K1369" s="11" t="s">
        <v>154</v>
      </c>
      <c r="L1369" s="11" t="s">
        <v>55</v>
      </c>
      <c r="M1369" s="13">
        <v>2</v>
      </c>
      <c r="N1369" s="16">
        <v>8000.0</v>
      </c>
      <c r="O1369" s="16"/>
      <c r="P1369" s="18">
        <f>IF(N1369&gt;0, O1369/N1369, 0)</f>
        <v>0</v>
      </c>
      <c r="Q1369" s="16">
        <f>N1369-O1369</f>
        <v>8000</v>
      </c>
      <c r="R1369" s="16">
        <f>M1369*N1369</f>
        <v>16000</v>
      </c>
      <c r="S1369" s="16">
        <f>M1369*O1369</f>
        <v>0</v>
      </c>
      <c r="T1369" s="16">
        <f>M1369*Q1369</f>
        <v>16000</v>
      </c>
      <c r="U1369" s="16"/>
      <c r="V1369" s="16">
        <f>M1369*U1369</f>
        <v>0</v>
      </c>
      <c r="W1369" s="16">
        <f>T1369-V1369</f>
        <v>16000</v>
      </c>
      <c r="X1369" s="18">
        <f>IF(T1369&gt;0, W1369/T1369, 0)</f>
        <v>1</v>
      </c>
      <c r="Y1369" s="9" t="s">
        <v>41</v>
      </c>
      <c r="Z1369" s="11" t="s">
        <v>42</v>
      </c>
      <c r="AA1369" s="11" t="s">
        <v>43</v>
      </c>
      <c r="AB1369" s="11" t="s">
        <v>44</v>
      </c>
      <c r="AC1369" s="9" t="s">
        <v>44</v>
      </c>
    </row>
    <row r="1370" spans="1:29">
      <c r="A1370" s="10">
        <v>1363</v>
      </c>
      <c r="B1370" s="10" t="s">
        <v>1695</v>
      </c>
      <c r="C1370" s="10" t="s">
        <v>1683</v>
      </c>
      <c r="D1370" s="10" t="s">
        <v>655</v>
      </c>
      <c r="E1370" s="10" t="s">
        <v>70</v>
      </c>
      <c r="F1370" s="10" t="s">
        <v>35</v>
      </c>
      <c r="G1370" s="8" t="s">
        <v>52</v>
      </c>
      <c r="H1370" s="8" t="s">
        <v>58</v>
      </c>
      <c r="I1370" s="8" t="s">
        <v>58</v>
      </c>
      <c r="J1370" s="10">
        <v>122</v>
      </c>
      <c r="K1370" s="10" t="s">
        <v>115</v>
      </c>
      <c r="L1370" s="10" t="s">
        <v>40</v>
      </c>
      <c r="M1370" s="12">
        <v>2</v>
      </c>
      <c r="N1370" s="15">
        <v>8000.0</v>
      </c>
      <c r="O1370" s="15"/>
      <c r="P1370" s="17">
        <f>IF(N1370&gt;0, O1370/N1370, 0)</f>
        <v>0</v>
      </c>
      <c r="Q1370" s="15">
        <f>N1370-O1370</f>
        <v>8000</v>
      </c>
      <c r="R1370" s="15">
        <f>M1370*N1370</f>
        <v>16000</v>
      </c>
      <c r="S1370" s="15">
        <f>M1370*O1370</f>
        <v>0</v>
      </c>
      <c r="T1370" s="15">
        <f>M1370*Q1370</f>
        <v>16000</v>
      </c>
      <c r="U1370" s="15"/>
      <c r="V1370" s="15">
        <f>M1370*U1370</f>
        <v>0</v>
      </c>
      <c r="W1370" s="15">
        <f>T1370-V1370</f>
        <v>16000</v>
      </c>
      <c r="X1370" s="17">
        <f>IF(T1370&gt;0, W1370/T1370, 0)</f>
        <v>1</v>
      </c>
      <c r="Y1370" s="8" t="s">
        <v>41</v>
      </c>
      <c r="Z1370" s="10" t="s">
        <v>42</v>
      </c>
      <c r="AA1370" s="10" t="s">
        <v>73</v>
      </c>
      <c r="AB1370" s="10" t="s">
        <v>44</v>
      </c>
      <c r="AC1370" s="8" t="s">
        <v>44</v>
      </c>
    </row>
    <row r="1371" spans="1:29">
      <c r="A1371" s="11">
        <v>1364</v>
      </c>
      <c r="B1371" s="11" t="s">
        <v>1696</v>
      </c>
      <c r="C1371" s="11" t="s">
        <v>1683</v>
      </c>
      <c r="D1371" s="11" t="s">
        <v>655</v>
      </c>
      <c r="E1371" s="11" t="s">
        <v>34</v>
      </c>
      <c r="F1371" s="11" t="s">
        <v>35</v>
      </c>
      <c r="G1371" s="9" t="s">
        <v>52</v>
      </c>
      <c r="H1371" s="9" t="s">
        <v>71</v>
      </c>
      <c r="I1371" s="9" t="s">
        <v>71</v>
      </c>
      <c r="J1371" s="11">
        <v>128</v>
      </c>
      <c r="K1371" s="11" t="s">
        <v>112</v>
      </c>
      <c r="L1371" s="11" t="s">
        <v>40</v>
      </c>
      <c r="M1371" s="13">
        <v>2</v>
      </c>
      <c r="N1371" s="16">
        <v>17000.0</v>
      </c>
      <c r="O1371" s="16"/>
      <c r="P1371" s="18">
        <f>IF(N1371&gt;0, O1371/N1371, 0)</f>
        <v>0</v>
      </c>
      <c r="Q1371" s="16">
        <f>N1371-O1371</f>
        <v>17000</v>
      </c>
      <c r="R1371" s="16">
        <f>M1371*N1371</f>
        <v>34000</v>
      </c>
      <c r="S1371" s="16">
        <f>M1371*O1371</f>
        <v>0</v>
      </c>
      <c r="T1371" s="16">
        <f>M1371*Q1371</f>
        <v>34000</v>
      </c>
      <c r="U1371" s="16"/>
      <c r="V1371" s="16">
        <f>M1371*U1371</f>
        <v>0</v>
      </c>
      <c r="W1371" s="16">
        <f>T1371-V1371</f>
        <v>34000</v>
      </c>
      <c r="X1371" s="18">
        <f>IF(T1371&gt;0, W1371/T1371, 0)</f>
        <v>1</v>
      </c>
      <c r="Y1371" s="9" t="s">
        <v>41</v>
      </c>
      <c r="Z1371" s="11" t="s">
        <v>42</v>
      </c>
      <c r="AA1371" s="11" t="s">
        <v>43</v>
      </c>
      <c r="AB1371" s="11" t="s">
        <v>44</v>
      </c>
      <c r="AC1371" s="9" t="s">
        <v>44</v>
      </c>
    </row>
    <row r="1372" spans="1:29">
      <c r="A1372" s="10">
        <v>1365</v>
      </c>
      <c r="B1372" s="10" t="s">
        <v>1697</v>
      </c>
      <c r="C1372" s="10" t="s">
        <v>1683</v>
      </c>
      <c r="D1372" s="10" t="s">
        <v>655</v>
      </c>
      <c r="E1372" s="10" t="s">
        <v>34</v>
      </c>
      <c r="F1372" s="10" t="s">
        <v>35</v>
      </c>
      <c r="G1372" s="8" t="s">
        <v>52</v>
      </c>
      <c r="H1372" s="8" t="s">
        <v>65</v>
      </c>
      <c r="I1372" s="8" t="s">
        <v>151</v>
      </c>
      <c r="J1372" s="10">
        <v>122</v>
      </c>
      <c r="K1372" s="10" t="s">
        <v>244</v>
      </c>
      <c r="L1372" s="10" t="s">
        <v>40</v>
      </c>
      <c r="M1372" s="12">
        <v>3</v>
      </c>
      <c r="N1372" s="15">
        <v>9000.0</v>
      </c>
      <c r="O1372" s="15"/>
      <c r="P1372" s="17">
        <f>IF(N1372&gt;0, O1372/N1372, 0)</f>
        <v>0</v>
      </c>
      <c r="Q1372" s="15">
        <f>N1372-O1372</f>
        <v>9000</v>
      </c>
      <c r="R1372" s="15">
        <f>M1372*N1372</f>
        <v>27000</v>
      </c>
      <c r="S1372" s="15">
        <f>M1372*O1372</f>
        <v>0</v>
      </c>
      <c r="T1372" s="15">
        <f>M1372*Q1372</f>
        <v>27000</v>
      </c>
      <c r="U1372" s="15"/>
      <c r="V1372" s="15">
        <f>M1372*U1372</f>
        <v>0</v>
      </c>
      <c r="W1372" s="15">
        <f>T1372-V1372</f>
        <v>27000</v>
      </c>
      <c r="X1372" s="17">
        <f>IF(T1372&gt;0, W1372/T1372, 0)</f>
        <v>1</v>
      </c>
      <c r="Y1372" s="8" t="s">
        <v>41</v>
      </c>
      <c r="Z1372" s="10" t="s">
        <v>42</v>
      </c>
      <c r="AA1372" s="10" t="s">
        <v>43</v>
      </c>
      <c r="AB1372" s="10" t="s">
        <v>44</v>
      </c>
      <c r="AC1372" s="8" t="s">
        <v>44</v>
      </c>
    </row>
    <row r="1373" spans="1:29">
      <c r="A1373" s="11">
        <v>1366</v>
      </c>
      <c r="B1373" s="11" t="s">
        <v>1698</v>
      </c>
      <c r="C1373" s="11" t="s">
        <v>1683</v>
      </c>
      <c r="D1373" s="11" t="s">
        <v>655</v>
      </c>
      <c r="E1373" s="11" t="s">
        <v>34</v>
      </c>
      <c r="F1373" s="11" t="s">
        <v>35</v>
      </c>
      <c r="G1373" s="9" t="s">
        <v>52</v>
      </c>
      <c r="H1373" s="9" t="s">
        <v>53</v>
      </c>
      <c r="I1373" s="9" t="s">
        <v>53</v>
      </c>
      <c r="J1373" s="11">
        <v>122</v>
      </c>
      <c r="K1373" s="11" t="s">
        <v>84</v>
      </c>
      <c r="L1373" s="11" t="s">
        <v>55</v>
      </c>
      <c r="M1373" s="13">
        <v>3</v>
      </c>
      <c r="N1373" s="16">
        <v>8000.0</v>
      </c>
      <c r="O1373" s="16"/>
      <c r="P1373" s="18">
        <f>IF(N1373&gt;0, O1373/N1373, 0)</f>
        <v>0</v>
      </c>
      <c r="Q1373" s="16">
        <f>N1373-O1373</f>
        <v>8000</v>
      </c>
      <c r="R1373" s="16">
        <f>M1373*N1373</f>
        <v>24000</v>
      </c>
      <c r="S1373" s="16">
        <f>M1373*O1373</f>
        <v>0</v>
      </c>
      <c r="T1373" s="16">
        <f>M1373*Q1373</f>
        <v>24000</v>
      </c>
      <c r="U1373" s="16"/>
      <c r="V1373" s="16">
        <f>M1373*U1373</f>
        <v>0</v>
      </c>
      <c r="W1373" s="16">
        <f>T1373-V1373</f>
        <v>24000</v>
      </c>
      <c r="X1373" s="18">
        <f>IF(T1373&gt;0, W1373/T1373, 0)</f>
        <v>1</v>
      </c>
      <c r="Y1373" s="9" t="s">
        <v>41</v>
      </c>
      <c r="Z1373" s="11" t="s">
        <v>42</v>
      </c>
      <c r="AA1373" s="11" t="s">
        <v>43</v>
      </c>
      <c r="AB1373" s="11" t="s">
        <v>44</v>
      </c>
      <c r="AC1373" s="9" t="s">
        <v>44</v>
      </c>
    </row>
    <row r="1374" spans="1:29">
      <c r="A1374" s="10">
        <v>1367</v>
      </c>
      <c r="B1374" s="10" t="s">
        <v>1699</v>
      </c>
      <c r="C1374" s="10" t="s">
        <v>1683</v>
      </c>
      <c r="D1374" s="10" t="s">
        <v>655</v>
      </c>
      <c r="E1374" s="10" t="s">
        <v>34</v>
      </c>
      <c r="F1374" s="10" t="s">
        <v>35</v>
      </c>
      <c r="G1374" s="8" t="s">
        <v>52</v>
      </c>
      <c r="H1374" s="8" t="s">
        <v>47</v>
      </c>
      <c r="I1374" s="8" t="s">
        <v>48</v>
      </c>
      <c r="J1374" s="10">
        <v>128</v>
      </c>
      <c r="K1374" s="10" t="s">
        <v>186</v>
      </c>
      <c r="L1374" s="10" t="s">
        <v>40</v>
      </c>
      <c r="M1374" s="12">
        <v>1</v>
      </c>
      <c r="N1374" s="15">
        <v>18000.0</v>
      </c>
      <c r="O1374" s="15"/>
      <c r="P1374" s="17">
        <f>IF(N1374&gt;0, O1374/N1374, 0)</f>
        <v>0</v>
      </c>
      <c r="Q1374" s="15">
        <f>N1374-O1374</f>
        <v>18000</v>
      </c>
      <c r="R1374" s="15">
        <f>M1374*N1374</f>
        <v>18000</v>
      </c>
      <c r="S1374" s="15">
        <f>M1374*O1374</f>
        <v>0</v>
      </c>
      <c r="T1374" s="15">
        <f>M1374*Q1374</f>
        <v>18000</v>
      </c>
      <c r="U1374" s="15"/>
      <c r="V1374" s="15">
        <f>M1374*U1374</f>
        <v>0</v>
      </c>
      <c r="W1374" s="15">
        <f>T1374-V1374</f>
        <v>18000</v>
      </c>
      <c r="X1374" s="17">
        <f>IF(T1374&gt;0, W1374/T1374, 0)</f>
        <v>1</v>
      </c>
      <c r="Y1374" s="8" t="s">
        <v>41</v>
      </c>
      <c r="Z1374" s="10" t="s">
        <v>42</v>
      </c>
      <c r="AA1374" s="10" t="s">
        <v>43</v>
      </c>
      <c r="AB1374" s="10" t="s">
        <v>44</v>
      </c>
      <c r="AC1374" s="8" t="s">
        <v>44</v>
      </c>
    </row>
    <row r="1375" spans="1:29">
      <c r="A1375" s="11">
        <v>1368</v>
      </c>
      <c r="B1375" s="11" t="s">
        <v>1700</v>
      </c>
      <c r="C1375" s="11" t="s">
        <v>1683</v>
      </c>
      <c r="D1375" s="11" t="s">
        <v>655</v>
      </c>
      <c r="E1375" s="11" t="s">
        <v>34</v>
      </c>
      <c r="F1375" s="11" t="s">
        <v>35</v>
      </c>
      <c r="G1375" s="9" t="s">
        <v>52</v>
      </c>
      <c r="H1375" s="9" t="s">
        <v>37</v>
      </c>
      <c r="I1375" s="9" t="s">
        <v>75</v>
      </c>
      <c r="J1375" s="11">
        <v>122</v>
      </c>
      <c r="K1375" s="11" t="s">
        <v>104</v>
      </c>
      <c r="L1375" s="11" t="s">
        <v>55</v>
      </c>
      <c r="M1375" s="13">
        <v>3</v>
      </c>
      <c r="N1375" s="16">
        <v>8000.0</v>
      </c>
      <c r="O1375" s="16"/>
      <c r="P1375" s="18">
        <f>IF(N1375&gt;0, O1375/N1375, 0)</f>
        <v>0</v>
      </c>
      <c r="Q1375" s="16">
        <f>N1375-O1375</f>
        <v>8000</v>
      </c>
      <c r="R1375" s="16">
        <f>M1375*N1375</f>
        <v>24000</v>
      </c>
      <c r="S1375" s="16">
        <f>M1375*O1375</f>
        <v>0</v>
      </c>
      <c r="T1375" s="16">
        <f>M1375*Q1375</f>
        <v>24000</v>
      </c>
      <c r="U1375" s="16"/>
      <c r="V1375" s="16">
        <f>M1375*U1375</f>
        <v>0</v>
      </c>
      <c r="W1375" s="16">
        <f>T1375-V1375</f>
        <v>24000</v>
      </c>
      <c r="X1375" s="18">
        <f>IF(T1375&gt;0, W1375/T1375, 0)</f>
        <v>1</v>
      </c>
      <c r="Y1375" s="9" t="s">
        <v>41</v>
      </c>
      <c r="Z1375" s="11" t="s">
        <v>42</v>
      </c>
      <c r="AA1375" s="11" t="s">
        <v>43</v>
      </c>
      <c r="AB1375" s="11" t="s">
        <v>44</v>
      </c>
      <c r="AC1375" s="9" t="s">
        <v>44</v>
      </c>
    </row>
    <row r="1376" spans="1:29">
      <c r="A1376" s="10">
        <v>1369</v>
      </c>
      <c r="B1376" s="10" t="s">
        <v>1701</v>
      </c>
      <c r="C1376" s="10" t="s">
        <v>1683</v>
      </c>
      <c r="D1376" s="10" t="s">
        <v>655</v>
      </c>
      <c r="E1376" s="10" t="s">
        <v>34</v>
      </c>
      <c r="F1376" s="10" t="s">
        <v>35</v>
      </c>
      <c r="G1376" s="8" t="s">
        <v>52</v>
      </c>
      <c r="H1376" s="8" t="s">
        <v>37</v>
      </c>
      <c r="I1376" s="8" t="s">
        <v>38</v>
      </c>
      <c r="J1376" s="10">
        <v>122</v>
      </c>
      <c r="K1376" s="10" t="s">
        <v>107</v>
      </c>
      <c r="L1376" s="10" t="s">
        <v>55</v>
      </c>
      <c r="M1376" s="12">
        <v>3</v>
      </c>
      <c r="N1376" s="15">
        <v>7000.0</v>
      </c>
      <c r="O1376" s="15"/>
      <c r="P1376" s="17">
        <f>IF(N1376&gt;0, O1376/N1376, 0)</f>
        <v>0</v>
      </c>
      <c r="Q1376" s="15">
        <f>N1376-O1376</f>
        <v>7000</v>
      </c>
      <c r="R1376" s="15">
        <f>M1376*N1376</f>
        <v>21000</v>
      </c>
      <c r="S1376" s="15">
        <f>M1376*O1376</f>
        <v>0</v>
      </c>
      <c r="T1376" s="15">
        <f>M1376*Q1376</f>
        <v>21000</v>
      </c>
      <c r="U1376" s="15"/>
      <c r="V1376" s="15">
        <f>M1376*U1376</f>
        <v>0</v>
      </c>
      <c r="W1376" s="15">
        <f>T1376-V1376</f>
        <v>21000</v>
      </c>
      <c r="X1376" s="17">
        <f>IF(T1376&gt;0, W1376/T1376, 0)</f>
        <v>1</v>
      </c>
      <c r="Y1376" s="8" t="s">
        <v>41</v>
      </c>
      <c r="Z1376" s="10" t="s">
        <v>42</v>
      </c>
      <c r="AA1376" s="10" t="s">
        <v>43</v>
      </c>
      <c r="AB1376" s="10" t="s">
        <v>44</v>
      </c>
      <c r="AC1376" s="8" t="s">
        <v>44</v>
      </c>
    </row>
    <row r="1377" spans="1:29">
      <c r="A1377" s="11">
        <v>1370</v>
      </c>
      <c r="B1377" s="11" t="s">
        <v>1702</v>
      </c>
      <c r="C1377" s="11" t="s">
        <v>1683</v>
      </c>
      <c r="D1377" s="11" t="s">
        <v>655</v>
      </c>
      <c r="E1377" s="11" t="s">
        <v>34</v>
      </c>
      <c r="F1377" s="11" t="s">
        <v>35</v>
      </c>
      <c r="G1377" s="9" t="s">
        <v>52</v>
      </c>
      <c r="H1377" s="9" t="s">
        <v>71</v>
      </c>
      <c r="I1377" s="9" t="s">
        <v>71</v>
      </c>
      <c r="J1377" s="11">
        <v>146</v>
      </c>
      <c r="K1377" s="11" t="s">
        <v>385</v>
      </c>
      <c r="L1377" s="11" t="s">
        <v>40</v>
      </c>
      <c r="M1377" s="13">
        <v>2</v>
      </c>
      <c r="N1377" s="16">
        <v>17000.0</v>
      </c>
      <c r="O1377" s="16"/>
      <c r="P1377" s="18">
        <f>IF(N1377&gt;0, O1377/N1377, 0)</f>
        <v>0</v>
      </c>
      <c r="Q1377" s="16">
        <f>N1377-O1377</f>
        <v>17000</v>
      </c>
      <c r="R1377" s="16">
        <f>M1377*N1377</f>
        <v>34000</v>
      </c>
      <c r="S1377" s="16">
        <f>M1377*O1377</f>
        <v>0</v>
      </c>
      <c r="T1377" s="16">
        <f>M1377*Q1377</f>
        <v>34000</v>
      </c>
      <c r="U1377" s="16"/>
      <c r="V1377" s="16">
        <f>M1377*U1377</f>
        <v>0</v>
      </c>
      <c r="W1377" s="16">
        <f>T1377-V1377</f>
        <v>34000</v>
      </c>
      <c r="X1377" s="18">
        <f>IF(T1377&gt;0, W1377/T1377, 0)</f>
        <v>1</v>
      </c>
      <c r="Y1377" s="9" t="s">
        <v>41</v>
      </c>
      <c r="Z1377" s="11" t="s">
        <v>42</v>
      </c>
      <c r="AA1377" s="11" t="s">
        <v>43</v>
      </c>
      <c r="AB1377" s="11" t="s">
        <v>44</v>
      </c>
      <c r="AC1377" s="9" t="s">
        <v>44</v>
      </c>
    </row>
    <row r="1378" spans="1:29">
      <c r="A1378" s="10">
        <v>1371</v>
      </c>
      <c r="B1378" s="10" t="s">
        <v>1703</v>
      </c>
      <c r="C1378" s="10" t="s">
        <v>1683</v>
      </c>
      <c r="D1378" s="10" t="s">
        <v>655</v>
      </c>
      <c r="E1378" s="10" t="s">
        <v>70</v>
      </c>
      <c r="F1378" s="10" t="s">
        <v>35</v>
      </c>
      <c r="G1378" s="8" t="s">
        <v>52</v>
      </c>
      <c r="H1378" s="8" t="s">
        <v>65</v>
      </c>
      <c r="I1378" s="8" t="s">
        <v>151</v>
      </c>
      <c r="J1378" s="10">
        <v>140</v>
      </c>
      <c r="K1378" s="10" t="s">
        <v>224</v>
      </c>
      <c r="L1378" s="10" t="s">
        <v>40</v>
      </c>
      <c r="M1378" s="12">
        <v>3</v>
      </c>
      <c r="N1378" s="15">
        <v>10000.0</v>
      </c>
      <c r="O1378" s="15"/>
      <c r="P1378" s="17">
        <f>IF(N1378&gt;0, O1378/N1378, 0)</f>
        <v>0</v>
      </c>
      <c r="Q1378" s="15">
        <f>N1378-O1378</f>
        <v>10000</v>
      </c>
      <c r="R1378" s="15">
        <f>M1378*N1378</f>
        <v>30000</v>
      </c>
      <c r="S1378" s="15">
        <f>M1378*O1378</f>
        <v>0</v>
      </c>
      <c r="T1378" s="15">
        <f>M1378*Q1378</f>
        <v>30000</v>
      </c>
      <c r="U1378" s="15"/>
      <c r="V1378" s="15">
        <f>M1378*U1378</f>
        <v>0</v>
      </c>
      <c r="W1378" s="15">
        <f>T1378-V1378</f>
        <v>30000</v>
      </c>
      <c r="X1378" s="17">
        <f>IF(T1378&gt;0, W1378/T1378, 0)</f>
        <v>1</v>
      </c>
      <c r="Y1378" s="8" t="s">
        <v>41</v>
      </c>
      <c r="Z1378" s="10" t="s">
        <v>42</v>
      </c>
      <c r="AA1378" s="10" t="s">
        <v>73</v>
      </c>
      <c r="AB1378" s="10" t="s">
        <v>44</v>
      </c>
      <c r="AC1378" s="8" t="s">
        <v>44</v>
      </c>
    </row>
    <row r="1379" spans="1:29">
      <c r="A1379" s="11">
        <v>1372</v>
      </c>
      <c r="B1379" s="11" t="s">
        <v>1704</v>
      </c>
      <c r="C1379" s="11" t="s">
        <v>1683</v>
      </c>
      <c r="D1379" s="11" t="s">
        <v>655</v>
      </c>
      <c r="E1379" s="11" t="s">
        <v>34</v>
      </c>
      <c r="F1379" s="11" t="s">
        <v>35</v>
      </c>
      <c r="G1379" s="9" t="s">
        <v>52</v>
      </c>
      <c r="H1379" s="9" t="s">
        <v>58</v>
      </c>
      <c r="I1379" s="9" t="s">
        <v>58</v>
      </c>
      <c r="J1379" s="11">
        <v>140</v>
      </c>
      <c r="K1379" s="11" t="s">
        <v>600</v>
      </c>
      <c r="L1379" s="11" t="s">
        <v>40</v>
      </c>
      <c r="M1379" s="13">
        <v>2</v>
      </c>
      <c r="N1379" s="16">
        <v>7000.0</v>
      </c>
      <c r="O1379" s="16"/>
      <c r="P1379" s="18">
        <f>IF(N1379&gt;0, O1379/N1379, 0)</f>
        <v>0</v>
      </c>
      <c r="Q1379" s="16">
        <f>N1379-O1379</f>
        <v>7000</v>
      </c>
      <c r="R1379" s="16">
        <f>M1379*N1379</f>
        <v>14000</v>
      </c>
      <c r="S1379" s="16">
        <f>M1379*O1379</f>
        <v>0</v>
      </c>
      <c r="T1379" s="16">
        <f>M1379*Q1379</f>
        <v>14000</v>
      </c>
      <c r="U1379" s="16"/>
      <c r="V1379" s="16">
        <f>M1379*U1379</f>
        <v>0</v>
      </c>
      <c r="W1379" s="16">
        <f>T1379-V1379</f>
        <v>14000</v>
      </c>
      <c r="X1379" s="18">
        <f>IF(T1379&gt;0, W1379/T1379, 0)</f>
        <v>1</v>
      </c>
      <c r="Y1379" s="9" t="s">
        <v>41</v>
      </c>
      <c r="Z1379" s="11" t="s">
        <v>42</v>
      </c>
      <c r="AA1379" s="11" t="s">
        <v>43</v>
      </c>
      <c r="AB1379" s="11" t="s">
        <v>44</v>
      </c>
      <c r="AC1379" s="9" t="s">
        <v>44</v>
      </c>
    </row>
    <row r="1380" spans="1:29">
      <c r="A1380" s="10">
        <v>1373</v>
      </c>
      <c r="B1380" s="10" t="s">
        <v>1705</v>
      </c>
      <c r="C1380" s="10" t="s">
        <v>1683</v>
      </c>
      <c r="D1380" s="10" t="s">
        <v>655</v>
      </c>
      <c r="E1380" s="10" t="s">
        <v>34</v>
      </c>
      <c r="F1380" s="10" t="s">
        <v>35</v>
      </c>
      <c r="G1380" s="8" t="s">
        <v>52</v>
      </c>
      <c r="H1380" s="8" t="s">
        <v>47</v>
      </c>
      <c r="I1380" s="8" t="s">
        <v>48</v>
      </c>
      <c r="J1380" s="10">
        <v>146</v>
      </c>
      <c r="K1380" s="10" t="s">
        <v>142</v>
      </c>
      <c r="L1380" s="10" t="s">
        <v>40</v>
      </c>
      <c r="M1380" s="12">
        <v>1</v>
      </c>
      <c r="N1380" s="15">
        <v>18000.0</v>
      </c>
      <c r="O1380" s="15"/>
      <c r="P1380" s="17">
        <f>IF(N1380&gt;0, O1380/N1380, 0)</f>
        <v>0</v>
      </c>
      <c r="Q1380" s="15">
        <f>N1380-O1380</f>
        <v>18000</v>
      </c>
      <c r="R1380" s="15">
        <f>M1380*N1380</f>
        <v>18000</v>
      </c>
      <c r="S1380" s="15">
        <f>M1380*O1380</f>
        <v>0</v>
      </c>
      <c r="T1380" s="15">
        <f>M1380*Q1380</f>
        <v>18000</v>
      </c>
      <c r="U1380" s="15"/>
      <c r="V1380" s="15">
        <f>M1380*U1380</f>
        <v>0</v>
      </c>
      <c r="W1380" s="15">
        <f>T1380-V1380</f>
        <v>18000</v>
      </c>
      <c r="X1380" s="17">
        <f>IF(T1380&gt;0, W1380/T1380, 0)</f>
        <v>1</v>
      </c>
      <c r="Y1380" s="8" t="s">
        <v>41</v>
      </c>
      <c r="Z1380" s="10" t="s">
        <v>42</v>
      </c>
      <c r="AA1380" s="10" t="s">
        <v>43</v>
      </c>
      <c r="AB1380" s="10" t="s">
        <v>44</v>
      </c>
      <c r="AC1380" s="8" t="s">
        <v>44</v>
      </c>
    </row>
    <row r="1381" spans="1:29">
      <c r="A1381" s="11">
        <v>1374</v>
      </c>
      <c r="B1381" s="11" t="s">
        <v>1706</v>
      </c>
      <c r="C1381" s="11" t="s">
        <v>1683</v>
      </c>
      <c r="D1381" s="11" t="s">
        <v>655</v>
      </c>
      <c r="E1381" s="11" t="s">
        <v>34</v>
      </c>
      <c r="F1381" s="11" t="s">
        <v>35</v>
      </c>
      <c r="G1381" s="9" t="s">
        <v>52</v>
      </c>
      <c r="H1381" s="9" t="s">
        <v>53</v>
      </c>
      <c r="I1381" s="9" t="s">
        <v>53</v>
      </c>
      <c r="J1381" s="11">
        <v>140</v>
      </c>
      <c r="K1381" s="11" t="s">
        <v>282</v>
      </c>
      <c r="L1381" s="11" t="s">
        <v>55</v>
      </c>
      <c r="M1381" s="13">
        <v>3</v>
      </c>
      <c r="N1381" s="16">
        <v>8000.0</v>
      </c>
      <c r="O1381" s="16"/>
      <c r="P1381" s="18">
        <f>IF(N1381&gt;0, O1381/N1381, 0)</f>
        <v>0</v>
      </c>
      <c r="Q1381" s="16">
        <f>N1381-O1381</f>
        <v>8000</v>
      </c>
      <c r="R1381" s="16">
        <f>M1381*N1381</f>
        <v>24000</v>
      </c>
      <c r="S1381" s="16">
        <f>M1381*O1381</f>
        <v>0</v>
      </c>
      <c r="T1381" s="16">
        <f>M1381*Q1381</f>
        <v>24000</v>
      </c>
      <c r="U1381" s="16"/>
      <c r="V1381" s="16">
        <f>M1381*U1381</f>
        <v>0</v>
      </c>
      <c r="W1381" s="16">
        <f>T1381-V1381</f>
        <v>24000</v>
      </c>
      <c r="X1381" s="18">
        <f>IF(T1381&gt;0, W1381/T1381, 0)</f>
        <v>1</v>
      </c>
      <c r="Y1381" s="9" t="s">
        <v>41</v>
      </c>
      <c r="Z1381" s="11" t="s">
        <v>42</v>
      </c>
      <c r="AA1381" s="11" t="s">
        <v>43</v>
      </c>
      <c r="AB1381" s="11" t="s">
        <v>44</v>
      </c>
      <c r="AC1381" s="9" t="s">
        <v>44</v>
      </c>
    </row>
    <row r="1382" spans="1:29">
      <c r="A1382" s="10">
        <v>1375</v>
      </c>
      <c r="B1382" s="10" t="s">
        <v>1707</v>
      </c>
      <c r="C1382" s="10" t="s">
        <v>1683</v>
      </c>
      <c r="D1382" s="10" t="s">
        <v>655</v>
      </c>
      <c r="E1382" s="10" t="s">
        <v>34</v>
      </c>
      <c r="F1382" s="10" t="s">
        <v>35</v>
      </c>
      <c r="G1382" s="8" t="s">
        <v>52</v>
      </c>
      <c r="H1382" s="8" t="s">
        <v>37</v>
      </c>
      <c r="I1382" s="8" t="s">
        <v>75</v>
      </c>
      <c r="J1382" s="10">
        <v>140</v>
      </c>
      <c r="K1382" s="10" t="s">
        <v>573</v>
      </c>
      <c r="L1382" s="10" t="s">
        <v>55</v>
      </c>
      <c r="M1382" s="12">
        <v>3</v>
      </c>
      <c r="N1382" s="15">
        <v>8000.0</v>
      </c>
      <c r="O1382" s="15"/>
      <c r="P1382" s="17">
        <f>IF(N1382&gt;0, O1382/N1382, 0)</f>
        <v>0</v>
      </c>
      <c r="Q1382" s="15">
        <f>N1382-O1382</f>
        <v>8000</v>
      </c>
      <c r="R1382" s="15">
        <f>M1382*N1382</f>
        <v>24000</v>
      </c>
      <c r="S1382" s="15">
        <f>M1382*O1382</f>
        <v>0</v>
      </c>
      <c r="T1382" s="15">
        <f>M1382*Q1382</f>
        <v>24000</v>
      </c>
      <c r="U1382" s="15"/>
      <c r="V1382" s="15">
        <f>M1382*U1382</f>
        <v>0</v>
      </c>
      <c r="W1382" s="15">
        <f>T1382-V1382</f>
        <v>24000</v>
      </c>
      <c r="X1382" s="17">
        <f>IF(T1382&gt;0, W1382/T1382, 0)</f>
        <v>1</v>
      </c>
      <c r="Y1382" s="8" t="s">
        <v>41</v>
      </c>
      <c r="Z1382" s="10" t="s">
        <v>42</v>
      </c>
      <c r="AA1382" s="10" t="s">
        <v>43</v>
      </c>
      <c r="AB1382" s="10" t="s">
        <v>44</v>
      </c>
      <c r="AC1382" s="8" t="s">
        <v>44</v>
      </c>
    </row>
    <row r="1383" spans="1:29">
      <c r="A1383" s="11">
        <v>1376</v>
      </c>
      <c r="B1383" s="11" t="s">
        <v>1708</v>
      </c>
      <c r="C1383" s="11" t="s">
        <v>1683</v>
      </c>
      <c r="D1383" s="11" t="s">
        <v>655</v>
      </c>
      <c r="E1383" s="11" t="s">
        <v>34</v>
      </c>
      <c r="F1383" s="11" t="s">
        <v>35</v>
      </c>
      <c r="G1383" s="9" t="s">
        <v>52</v>
      </c>
      <c r="H1383" s="9" t="s">
        <v>37</v>
      </c>
      <c r="I1383" s="9" t="s">
        <v>38</v>
      </c>
      <c r="J1383" s="11">
        <v>140</v>
      </c>
      <c r="K1383" s="11" t="s">
        <v>226</v>
      </c>
      <c r="L1383" s="11" t="s">
        <v>55</v>
      </c>
      <c r="M1383" s="13">
        <v>3</v>
      </c>
      <c r="N1383" s="16">
        <v>7000.0</v>
      </c>
      <c r="O1383" s="16"/>
      <c r="P1383" s="18">
        <f>IF(N1383&gt;0, O1383/N1383, 0)</f>
        <v>0</v>
      </c>
      <c r="Q1383" s="16">
        <f>N1383-O1383</f>
        <v>7000</v>
      </c>
      <c r="R1383" s="16">
        <f>M1383*N1383</f>
        <v>21000</v>
      </c>
      <c r="S1383" s="16">
        <f>M1383*O1383</f>
        <v>0</v>
      </c>
      <c r="T1383" s="16">
        <f>M1383*Q1383</f>
        <v>21000</v>
      </c>
      <c r="U1383" s="16"/>
      <c r="V1383" s="16">
        <f>M1383*U1383</f>
        <v>0</v>
      </c>
      <c r="W1383" s="16">
        <f>T1383-V1383</f>
        <v>21000</v>
      </c>
      <c r="X1383" s="18">
        <f>IF(T1383&gt;0, W1383/T1383, 0)</f>
        <v>1</v>
      </c>
      <c r="Y1383" s="9" t="s">
        <v>41</v>
      </c>
      <c r="Z1383" s="11" t="s">
        <v>42</v>
      </c>
      <c r="AA1383" s="11" t="s">
        <v>43</v>
      </c>
      <c r="AB1383" s="11" t="s">
        <v>44</v>
      </c>
      <c r="AC1383" s="9" t="s">
        <v>44</v>
      </c>
    </row>
    <row r="1384" spans="1:29">
      <c r="A1384" s="10">
        <v>1377</v>
      </c>
      <c r="B1384" s="10" t="s">
        <v>1709</v>
      </c>
      <c r="C1384" s="10" t="s">
        <v>1683</v>
      </c>
      <c r="D1384" s="10" t="s">
        <v>655</v>
      </c>
      <c r="E1384" s="10" t="s">
        <v>34</v>
      </c>
      <c r="F1384" s="10" t="s">
        <v>35</v>
      </c>
      <c r="G1384" s="8" t="s">
        <v>52</v>
      </c>
      <c r="H1384" s="8" t="s">
        <v>58</v>
      </c>
      <c r="I1384" s="8" t="s">
        <v>58</v>
      </c>
      <c r="J1384" s="10">
        <v>140</v>
      </c>
      <c r="K1384" s="10" t="s">
        <v>600</v>
      </c>
      <c r="L1384" s="10" t="s">
        <v>40</v>
      </c>
      <c r="M1384" s="12">
        <v>1</v>
      </c>
      <c r="N1384" s="15">
        <v>7000.0</v>
      </c>
      <c r="O1384" s="15"/>
      <c r="P1384" s="17">
        <f>IF(N1384&gt;0, O1384/N1384, 0)</f>
        <v>0</v>
      </c>
      <c r="Q1384" s="15">
        <f>N1384-O1384</f>
        <v>7000</v>
      </c>
      <c r="R1384" s="15">
        <f>M1384*N1384</f>
        <v>7000</v>
      </c>
      <c r="S1384" s="15">
        <f>M1384*O1384</f>
        <v>0</v>
      </c>
      <c r="T1384" s="15">
        <f>M1384*Q1384</f>
        <v>7000</v>
      </c>
      <c r="U1384" s="15"/>
      <c r="V1384" s="15">
        <f>M1384*U1384</f>
        <v>0</v>
      </c>
      <c r="W1384" s="15">
        <f>T1384-V1384</f>
        <v>7000</v>
      </c>
      <c r="X1384" s="17">
        <f>IF(T1384&gt;0, W1384/T1384, 0)</f>
        <v>1</v>
      </c>
      <c r="Y1384" s="8" t="s">
        <v>41</v>
      </c>
      <c r="Z1384" s="10" t="s">
        <v>42</v>
      </c>
      <c r="AA1384" s="10" t="s">
        <v>43</v>
      </c>
      <c r="AB1384" s="10" t="s">
        <v>44</v>
      </c>
      <c r="AC1384" s="8" t="s">
        <v>44</v>
      </c>
    </row>
    <row r="1385" spans="1:29">
      <c r="A1385" s="11">
        <v>1378</v>
      </c>
      <c r="B1385" s="11" t="s">
        <v>1710</v>
      </c>
      <c r="C1385" s="11" t="s">
        <v>1683</v>
      </c>
      <c r="D1385" s="11" t="s">
        <v>655</v>
      </c>
      <c r="E1385" s="11" t="s">
        <v>34</v>
      </c>
      <c r="F1385" s="11" t="s">
        <v>35</v>
      </c>
      <c r="G1385" s="9" t="s">
        <v>52</v>
      </c>
      <c r="H1385" s="9" t="s">
        <v>37</v>
      </c>
      <c r="I1385" s="9" t="s">
        <v>75</v>
      </c>
      <c r="J1385" s="11">
        <v>146</v>
      </c>
      <c r="K1385" s="11" t="s">
        <v>343</v>
      </c>
      <c r="L1385" s="11" t="s">
        <v>55</v>
      </c>
      <c r="M1385" s="13">
        <v>1</v>
      </c>
      <c r="N1385" s="16">
        <v>8000.0</v>
      </c>
      <c r="O1385" s="16"/>
      <c r="P1385" s="18">
        <f>IF(N1385&gt;0, O1385/N1385, 0)</f>
        <v>0</v>
      </c>
      <c r="Q1385" s="16">
        <f>N1385-O1385</f>
        <v>8000</v>
      </c>
      <c r="R1385" s="16">
        <f>M1385*N1385</f>
        <v>8000</v>
      </c>
      <c r="S1385" s="16">
        <f>M1385*O1385</f>
        <v>0</v>
      </c>
      <c r="T1385" s="16">
        <f>M1385*Q1385</f>
        <v>8000</v>
      </c>
      <c r="U1385" s="16"/>
      <c r="V1385" s="16">
        <f>M1385*U1385</f>
        <v>0</v>
      </c>
      <c r="W1385" s="16">
        <f>T1385-V1385</f>
        <v>8000</v>
      </c>
      <c r="X1385" s="18">
        <f>IF(T1385&gt;0, W1385/T1385, 0)</f>
        <v>1</v>
      </c>
      <c r="Y1385" s="9" t="s">
        <v>41</v>
      </c>
      <c r="Z1385" s="11" t="s">
        <v>42</v>
      </c>
      <c r="AA1385" s="11" t="s">
        <v>43</v>
      </c>
      <c r="AB1385" s="11" t="s">
        <v>44</v>
      </c>
      <c r="AC1385" s="9" t="s">
        <v>44</v>
      </c>
    </row>
    <row r="1386" spans="1:29">
      <c r="A1386" s="10">
        <v>1379</v>
      </c>
      <c r="B1386" s="10" t="s">
        <v>1711</v>
      </c>
      <c r="C1386" s="10" t="s">
        <v>1683</v>
      </c>
      <c r="D1386" s="10" t="s">
        <v>655</v>
      </c>
      <c r="E1386" s="10" t="s">
        <v>34</v>
      </c>
      <c r="F1386" s="10" t="s">
        <v>35</v>
      </c>
      <c r="G1386" s="8" t="s">
        <v>52</v>
      </c>
      <c r="H1386" s="8" t="s">
        <v>37</v>
      </c>
      <c r="I1386" s="8" t="s">
        <v>38</v>
      </c>
      <c r="J1386" s="10">
        <v>146</v>
      </c>
      <c r="K1386" s="10" t="s">
        <v>260</v>
      </c>
      <c r="L1386" s="10" t="s">
        <v>55</v>
      </c>
      <c r="M1386" s="12">
        <v>1</v>
      </c>
      <c r="N1386" s="15">
        <v>7000.0</v>
      </c>
      <c r="O1386" s="15"/>
      <c r="P1386" s="17">
        <f>IF(N1386&gt;0, O1386/N1386, 0)</f>
        <v>0</v>
      </c>
      <c r="Q1386" s="15">
        <f>N1386-O1386</f>
        <v>7000</v>
      </c>
      <c r="R1386" s="15">
        <f>M1386*N1386</f>
        <v>7000</v>
      </c>
      <c r="S1386" s="15">
        <f>M1386*O1386</f>
        <v>0</v>
      </c>
      <c r="T1386" s="15">
        <f>M1386*Q1386</f>
        <v>7000</v>
      </c>
      <c r="U1386" s="15"/>
      <c r="V1386" s="15">
        <f>M1386*U1386</f>
        <v>0</v>
      </c>
      <c r="W1386" s="15">
        <f>T1386-V1386</f>
        <v>7000</v>
      </c>
      <c r="X1386" s="17">
        <f>IF(T1386&gt;0, W1386/T1386, 0)</f>
        <v>1</v>
      </c>
      <c r="Y1386" s="8" t="s">
        <v>41</v>
      </c>
      <c r="Z1386" s="10" t="s">
        <v>42</v>
      </c>
      <c r="AA1386" s="10" t="s">
        <v>43</v>
      </c>
      <c r="AB1386" s="10" t="s">
        <v>44</v>
      </c>
      <c r="AC1386" s="8" t="s">
        <v>44</v>
      </c>
    </row>
    <row r="1387" spans="1:29">
      <c r="A1387" s="11">
        <v>1380</v>
      </c>
      <c r="B1387" s="11" t="s">
        <v>1712</v>
      </c>
      <c r="C1387" s="11" t="s">
        <v>1683</v>
      </c>
      <c r="D1387" s="11" t="s">
        <v>655</v>
      </c>
      <c r="E1387" s="11" t="s">
        <v>34</v>
      </c>
      <c r="F1387" s="11" t="s">
        <v>35</v>
      </c>
      <c r="G1387" s="9" t="s">
        <v>52</v>
      </c>
      <c r="H1387" s="9" t="s">
        <v>47</v>
      </c>
      <c r="I1387" s="9" t="s">
        <v>48</v>
      </c>
      <c r="J1387" s="11">
        <v>116</v>
      </c>
      <c r="K1387" s="11" t="s">
        <v>597</v>
      </c>
      <c r="L1387" s="11" t="s">
        <v>40</v>
      </c>
      <c r="M1387" s="13">
        <v>1</v>
      </c>
      <c r="N1387" s="16">
        <v>18000.0</v>
      </c>
      <c r="O1387" s="16"/>
      <c r="P1387" s="18">
        <f>IF(N1387&gt;0, O1387/N1387, 0)</f>
        <v>0</v>
      </c>
      <c r="Q1387" s="16">
        <f>N1387-O1387</f>
        <v>18000</v>
      </c>
      <c r="R1387" s="16">
        <f>M1387*N1387</f>
        <v>18000</v>
      </c>
      <c r="S1387" s="16">
        <f>M1387*O1387</f>
        <v>0</v>
      </c>
      <c r="T1387" s="16">
        <f>M1387*Q1387</f>
        <v>18000</v>
      </c>
      <c r="U1387" s="16"/>
      <c r="V1387" s="16">
        <f>M1387*U1387</f>
        <v>0</v>
      </c>
      <c r="W1387" s="16">
        <f>T1387-V1387</f>
        <v>18000</v>
      </c>
      <c r="X1387" s="18">
        <f>IF(T1387&gt;0, W1387/T1387, 0)</f>
        <v>1</v>
      </c>
      <c r="Y1387" s="9" t="s">
        <v>41</v>
      </c>
      <c r="Z1387" s="11" t="s">
        <v>42</v>
      </c>
      <c r="AA1387" s="11" t="s">
        <v>43</v>
      </c>
      <c r="AB1387" s="11" t="s">
        <v>44</v>
      </c>
      <c r="AC1387" s="9" t="s">
        <v>44</v>
      </c>
    </row>
    <row r="1388" spans="1:29">
      <c r="A1388" s="10">
        <v>1381</v>
      </c>
      <c r="B1388" s="10" t="s">
        <v>1713</v>
      </c>
      <c r="C1388" s="10" t="s">
        <v>1683</v>
      </c>
      <c r="D1388" s="10" t="s">
        <v>655</v>
      </c>
      <c r="E1388" s="10" t="s">
        <v>34</v>
      </c>
      <c r="F1388" s="10" t="s">
        <v>35</v>
      </c>
      <c r="G1388" s="8" t="s">
        <v>52</v>
      </c>
      <c r="H1388" s="8" t="s">
        <v>71</v>
      </c>
      <c r="I1388" s="8" t="s">
        <v>71</v>
      </c>
      <c r="J1388" s="10">
        <v>116</v>
      </c>
      <c r="K1388" s="10" t="s">
        <v>89</v>
      </c>
      <c r="L1388" s="10" t="s">
        <v>40</v>
      </c>
      <c r="M1388" s="12">
        <v>1</v>
      </c>
      <c r="N1388" s="15">
        <v>16000.0</v>
      </c>
      <c r="O1388" s="15"/>
      <c r="P1388" s="17">
        <f>IF(N1388&gt;0, O1388/N1388, 0)</f>
        <v>0</v>
      </c>
      <c r="Q1388" s="15">
        <f>N1388-O1388</f>
        <v>16000</v>
      </c>
      <c r="R1388" s="15">
        <f>M1388*N1388</f>
        <v>16000</v>
      </c>
      <c r="S1388" s="15">
        <f>M1388*O1388</f>
        <v>0</v>
      </c>
      <c r="T1388" s="15">
        <f>M1388*Q1388</f>
        <v>16000</v>
      </c>
      <c r="U1388" s="15"/>
      <c r="V1388" s="15">
        <f>M1388*U1388</f>
        <v>0</v>
      </c>
      <c r="W1388" s="15">
        <f>T1388-V1388</f>
        <v>16000</v>
      </c>
      <c r="X1388" s="17">
        <f>IF(T1388&gt;0, W1388/T1388, 0)</f>
        <v>1</v>
      </c>
      <c r="Y1388" s="8" t="s">
        <v>41</v>
      </c>
      <c r="Z1388" s="10" t="s">
        <v>42</v>
      </c>
      <c r="AA1388" s="10" t="s">
        <v>43</v>
      </c>
      <c r="AB1388" s="10" t="s">
        <v>44</v>
      </c>
      <c r="AC1388" s="8" t="s">
        <v>44</v>
      </c>
    </row>
    <row r="1389" spans="1:29">
      <c r="A1389" s="11">
        <v>1382</v>
      </c>
      <c r="B1389" s="11" t="s">
        <v>1714</v>
      </c>
      <c r="C1389" s="11" t="s">
        <v>1683</v>
      </c>
      <c r="D1389" s="11" t="s">
        <v>655</v>
      </c>
      <c r="E1389" s="11" t="s">
        <v>34</v>
      </c>
      <c r="F1389" s="11" t="s">
        <v>35</v>
      </c>
      <c r="G1389" s="9" t="s">
        <v>52</v>
      </c>
      <c r="H1389" s="9" t="s">
        <v>37</v>
      </c>
      <c r="I1389" s="9" t="s">
        <v>38</v>
      </c>
      <c r="J1389" s="11">
        <v>122</v>
      </c>
      <c r="K1389" s="11" t="s">
        <v>107</v>
      </c>
      <c r="L1389" s="11" t="s">
        <v>55</v>
      </c>
      <c r="M1389" s="13">
        <v>1</v>
      </c>
      <c r="N1389" s="16">
        <v>7000.0</v>
      </c>
      <c r="O1389" s="16"/>
      <c r="P1389" s="18">
        <f>IF(N1389&gt;0, O1389/N1389, 0)</f>
        <v>0</v>
      </c>
      <c r="Q1389" s="16">
        <f>N1389-O1389</f>
        <v>7000</v>
      </c>
      <c r="R1389" s="16">
        <f>M1389*N1389</f>
        <v>7000</v>
      </c>
      <c r="S1389" s="16">
        <f>M1389*O1389</f>
        <v>0</v>
      </c>
      <c r="T1389" s="16">
        <f>M1389*Q1389</f>
        <v>7000</v>
      </c>
      <c r="U1389" s="16"/>
      <c r="V1389" s="16">
        <f>M1389*U1389</f>
        <v>0</v>
      </c>
      <c r="W1389" s="16">
        <f>T1389-V1389</f>
        <v>7000</v>
      </c>
      <c r="X1389" s="18">
        <f>IF(T1389&gt;0, W1389/T1389, 0)</f>
        <v>1</v>
      </c>
      <c r="Y1389" s="9" t="s">
        <v>41</v>
      </c>
      <c r="Z1389" s="11" t="s">
        <v>42</v>
      </c>
      <c r="AA1389" s="11" t="s">
        <v>43</v>
      </c>
      <c r="AB1389" s="11" t="s">
        <v>44</v>
      </c>
      <c r="AC1389" s="9" t="s">
        <v>44</v>
      </c>
    </row>
    <row r="1390" spans="1:29">
      <c r="A1390" s="10">
        <v>1383</v>
      </c>
      <c r="B1390" s="10" t="s">
        <v>1715</v>
      </c>
      <c r="C1390" s="10" t="s">
        <v>1683</v>
      </c>
      <c r="D1390" s="10" t="s">
        <v>655</v>
      </c>
      <c r="E1390" s="10" t="s">
        <v>34</v>
      </c>
      <c r="F1390" s="10" t="s">
        <v>35</v>
      </c>
      <c r="G1390" s="8" t="s">
        <v>36</v>
      </c>
      <c r="H1390" s="8" t="s">
        <v>47</v>
      </c>
      <c r="I1390" s="8" t="s">
        <v>48</v>
      </c>
      <c r="J1390" s="10">
        <v>182</v>
      </c>
      <c r="K1390" s="10" t="s">
        <v>811</v>
      </c>
      <c r="L1390" s="10" t="s">
        <v>40</v>
      </c>
      <c r="M1390" s="12">
        <v>1</v>
      </c>
      <c r="N1390" s="15">
        <v>18000.0</v>
      </c>
      <c r="O1390" s="15"/>
      <c r="P1390" s="17">
        <f>IF(N1390&gt;0, O1390/N1390, 0)</f>
        <v>0</v>
      </c>
      <c r="Q1390" s="15">
        <f>N1390-O1390</f>
        <v>18000</v>
      </c>
      <c r="R1390" s="15">
        <f>M1390*N1390</f>
        <v>18000</v>
      </c>
      <c r="S1390" s="15">
        <f>M1390*O1390</f>
        <v>0</v>
      </c>
      <c r="T1390" s="15">
        <f>M1390*Q1390</f>
        <v>18000</v>
      </c>
      <c r="U1390" s="15"/>
      <c r="V1390" s="15">
        <f>M1390*U1390</f>
        <v>0</v>
      </c>
      <c r="W1390" s="15">
        <f>T1390-V1390</f>
        <v>18000</v>
      </c>
      <c r="X1390" s="17">
        <f>IF(T1390&gt;0, W1390/T1390, 0)</f>
        <v>1</v>
      </c>
      <c r="Y1390" s="8" t="s">
        <v>41</v>
      </c>
      <c r="Z1390" s="10" t="s">
        <v>42</v>
      </c>
      <c r="AA1390" s="10" t="s">
        <v>43</v>
      </c>
      <c r="AB1390" s="10" t="s">
        <v>44</v>
      </c>
      <c r="AC1390" s="8" t="s">
        <v>44</v>
      </c>
    </row>
    <row r="1391" spans="1:29">
      <c r="A1391" s="11">
        <v>1384</v>
      </c>
      <c r="B1391" s="11" t="s">
        <v>1716</v>
      </c>
      <c r="C1391" s="11" t="s">
        <v>1683</v>
      </c>
      <c r="D1391" s="11" t="s">
        <v>655</v>
      </c>
      <c r="E1391" s="11" t="s">
        <v>34</v>
      </c>
      <c r="F1391" s="11" t="s">
        <v>35</v>
      </c>
      <c r="G1391" s="9" t="s">
        <v>36</v>
      </c>
      <c r="H1391" s="9" t="s">
        <v>65</v>
      </c>
      <c r="I1391" s="9" t="s">
        <v>151</v>
      </c>
      <c r="J1391" s="11">
        <v>182</v>
      </c>
      <c r="K1391" s="11" t="s">
        <v>742</v>
      </c>
      <c r="L1391" s="11" t="s">
        <v>40</v>
      </c>
      <c r="M1391" s="13">
        <v>1</v>
      </c>
      <c r="N1391" s="16">
        <v>9500.0</v>
      </c>
      <c r="O1391" s="16"/>
      <c r="P1391" s="18">
        <f>IF(N1391&gt;0, O1391/N1391, 0)</f>
        <v>0</v>
      </c>
      <c r="Q1391" s="16">
        <f>N1391-O1391</f>
        <v>9500</v>
      </c>
      <c r="R1391" s="16">
        <f>M1391*N1391</f>
        <v>9500</v>
      </c>
      <c r="S1391" s="16">
        <f>M1391*O1391</f>
        <v>0</v>
      </c>
      <c r="T1391" s="16">
        <f>M1391*Q1391</f>
        <v>9500</v>
      </c>
      <c r="U1391" s="16"/>
      <c r="V1391" s="16">
        <f>M1391*U1391</f>
        <v>0</v>
      </c>
      <c r="W1391" s="16">
        <f>T1391-V1391</f>
        <v>9500</v>
      </c>
      <c r="X1391" s="18">
        <f>IF(T1391&gt;0, W1391/T1391, 0)</f>
        <v>1</v>
      </c>
      <c r="Y1391" s="9" t="s">
        <v>41</v>
      </c>
      <c r="Z1391" s="11" t="s">
        <v>42</v>
      </c>
      <c r="AA1391" s="11" t="s">
        <v>43</v>
      </c>
      <c r="AB1391" s="11" t="s">
        <v>44</v>
      </c>
      <c r="AC1391" s="9" t="s">
        <v>44</v>
      </c>
    </row>
    <row r="1392" spans="1:29">
      <c r="A1392" s="10">
        <v>1385</v>
      </c>
      <c r="B1392" s="10" t="s">
        <v>1717</v>
      </c>
      <c r="C1392" s="10" t="s">
        <v>1683</v>
      </c>
      <c r="D1392" s="10" t="s">
        <v>655</v>
      </c>
      <c r="E1392" s="10" t="s">
        <v>34</v>
      </c>
      <c r="F1392" s="10" t="s">
        <v>35</v>
      </c>
      <c r="G1392" s="8" t="s">
        <v>36</v>
      </c>
      <c r="H1392" s="8" t="s">
        <v>58</v>
      </c>
      <c r="I1392" s="8" t="s">
        <v>58</v>
      </c>
      <c r="J1392" s="10">
        <v>176</v>
      </c>
      <c r="K1392" s="10" t="s">
        <v>668</v>
      </c>
      <c r="L1392" s="10" t="s">
        <v>40</v>
      </c>
      <c r="M1392" s="12">
        <v>1</v>
      </c>
      <c r="N1392" s="15">
        <v>7500.0</v>
      </c>
      <c r="O1392" s="15"/>
      <c r="P1392" s="17">
        <f>IF(N1392&gt;0, O1392/N1392, 0)</f>
        <v>0</v>
      </c>
      <c r="Q1392" s="15">
        <f>N1392-O1392</f>
        <v>7500</v>
      </c>
      <c r="R1392" s="15">
        <f>M1392*N1392</f>
        <v>7500</v>
      </c>
      <c r="S1392" s="15">
        <f>M1392*O1392</f>
        <v>0</v>
      </c>
      <c r="T1392" s="15">
        <f>M1392*Q1392</f>
        <v>7500</v>
      </c>
      <c r="U1392" s="15"/>
      <c r="V1392" s="15">
        <f>M1392*U1392</f>
        <v>0</v>
      </c>
      <c r="W1392" s="15">
        <f>T1392-V1392</f>
        <v>7500</v>
      </c>
      <c r="X1392" s="17">
        <f>IF(T1392&gt;0, W1392/T1392, 0)</f>
        <v>1</v>
      </c>
      <c r="Y1392" s="8" t="s">
        <v>41</v>
      </c>
      <c r="Z1392" s="10" t="s">
        <v>42</v>
      </c>
      <c r="AA1392" s="10" t="s">
        <v>43</v>
      </c>
      <c r="AB1392" s="10" t="s">
        <v>44</v>
      </c>
      <c r="AC1392" s="8" t="s">
        <v>44</v>
      </c>
    </row>
    <row r="1393" spans="1:29">
      <c r="A1393" s="11">
        <v>1386</v>
      </c>
      <c r="B1393" s="11" t="s">
        <v>1718</v>
      </c>
      <c r="C1393" s="11" t="s">
        <v>1683</v>
      </c>
      <c r="D1393" s="11" t="s">
        <v>655</v>
      </c>
      <c r="E1393" s="11" t="s">
        <v>34</v>
      </c>
      <c r="F1393" s="11" t="s">
        <v>35</v>
      </c>
      <c r="G1393" s="9" t="s">
        <v>36</v>
      </c>
      <c r="H1393" s="9" t="s">
        <v>71</v>
      </c>
      <c r="I1393" s="9" t="s">
        <v>71</v>
      </c>
      <c r="J1393" s="11">
        <v>188</v>
      </c>
      <c r="K1393" s="11" t="s">
        <v>921</v>
      </c>
      <c r="L1393" s="11" t="s">
        <v>40</v>
      </c>
      <c r="M1393" s="13">
        <v>1</v>
      </c>
      <c r="N1393" s="16">
        <v>16500.0</v>
      </c>
      <c r="O1393" s="16"/>
      <c r="P1393" s="18">
        <f>IF(N1393&gt;0, O1393/N1393, 0)</f>
        <v>0</v>
      </c>
      <c r="Q1393" s="16">
        <f>N1393-O1393</f>
        <v>16500</v>
      </c>
      <c r="R1393" s="16">
        <f>M1393*N1393</f>
        <v>16500</v>
      </c>
      <c r="S1393" s="16">
        <f>M1393*O1393</f>
        <v>0</v>
      </c>
      <c r="T1393" s="16">
        <f>M1393*Q1393</f>
        <v>16500</v>
      </c>
      <c r="U1393" s="16"/>
      <c r="V1393" s="16">
        <f>M1393*U1393</f>
        <v>0</v>
      </c>
      <c r="W1393" s="16">
        <f>T1393-V1393</f>
        <v>16500</v>
      </c>
      <c r="X1393" s="18">
        <f>IF(T1393&gt;0, W1393/T1393, 0)</f>
        <v>1</v>
      </c>
      <c r="Y1393" s="9" t="s">
        <v>41</v>
      </c>
      <c r="Z1393" s="11" t="s">
        <v>42</v>
      </c>
      <c r="AA1393" s="11" t="s">
        <v>43</v>
      </c>
      <c r="AB1393" s="11" t="s">
        <v>44</v>
      </c>
      <c r="AC1393" s="9" t="s">
        <v>44</v>
      </c>
    </row>
    <row r="1394" spans="1:29">
      <c r="A1394" s="10">
        <v>1387</v>
      </c>
      <c r="B1394" s="10" t="s">
        <v>1719</v>
      </c>
      <c r="C1394" s="10" t="s">
        <v>1683</v>
      </c>
      <c r="D1394" s="10" t="s">
        <v>655</v>
      </c>
      <c r="E1394" s="10" t="s">
        <v>34</v>
      </c>
      <c r="F1394" s="10" t="s">
        <v>35</v>
      </c>
      <c r="G1394" s="8" t="s">
        <v>36</v>
      </c>
      <c r="H1394" s="8" t="s">
        <v>53</v>
      </c>
      <c r="I1394" s="8" t="s">
        <v>53</v>
      </c>
      <c r="J1394" s="10">
        <v>182</v>
      </c>
      <c r="K1394" s="10" t="s">
        <v>324</v>
      </c>
      <c r="L1394" s="10" t="s">
        <v>40</v>
      </c>
      <c r="M1394" s="12">
        <v>1</v>
      </c>
      <c r="N1394" s="15">
        <v>8500.0</v>
      </c>
      <c r="O1394" s="15"/>
      <c r="P1394" s="17">
        <f>IF(N1394&gt;0, O1394/N1394, 0)</f>
        <v>0</v>
      </c>
      <c r="Q1394" s="15">
        <f>N1394-O1394</f>
        <v>8500</v>
      </c>
      <c r="R1394" s="15">
        <f>M1394*N1394</f>
        <v>8500</v>
      </c>
      <c r="S1394" s="15">
        <f>M1394*O1394</f>
        <v>0</v>
      </c>
      <c r="T1394" s="15">
        <f>M1394*Q1394</f>
        <v>8500</v>
      </c>
      <c r="U1394" s="15"/>
      <c r="V1394" s="15">
        <f>M1394*U1394</f>
        <v>0</v>
      </c>
      <c r="W1394" s="15">
        <f>T1394-V1394</f>
        <v>8500</v>
      </c>
      <c r="X1394" s="17">
        <f>IF(T1394&gt;0, W1394/T1394, 0)</f>
        <v>1</v>
      </c>
      <c r="Y1394" s="8" t="s">
        <v>41</v>
      </c>
      <c r="Z1394" s="10" t="s">
        <v>42</v>
      </c>
      <c r="AA1394" s="10" t="s">
        <v>43</v>
      </c>
      <c r="AB1394" s="10" t="s">
        <v>44</v>
      </c>
      <c r="AC1394" s="8" t="s">
        <v>44</v>
      </c>
    </row>
    <row r="1395" spans="1:29">
      <c r="A1395" s="11">
        <v>1388</v>
      </c>
      <c r="B1395" s="11" t="s">
        <v>1720</v>
      </c>
      <c r="C1395" s="11" t="s">
        <v>1683</v>
      </c>
      <c r="D1395" s="11" t="s">
        <v>655</v>
      </c>
      <c r="E1395" s="11" t="s">
        <v>34</v>
      </c>
      <c r="F1395" s="11" t="s">
        <v>35</v>
      </c>
      <c r="G1395" s="9" t="s">
        <v>36</v>
      </c>
      <c r="H1395" s="9" t="s">
        <v>37</v>
      </c>
      <c r="I1395" s="9" t="s">
        <v>75</v>
      </c>
      <c r="J1395" s="11">
        <v>182</v>
      </c>
      <c r="K1395" s="11" t="s">
        <v>357</v>
      </c>
      <c r="L1395" s="11" t="s">
        <v>40</v>
      </c>
      <c r="M1395" s="13">
        <v>1</v>
      </c>
      <c r="N1395" s="16">
        <v>9000.0</v>
      </c>
      <c r="O1395" s="16"/>
      <c r="P1395" s="18">
        <f>IF(N1395&gt;0, O1395/N1395, 0)</f>
        <v>0</v>
      </c>
      <c r="Q1395" s="16">
        <f>N1395-O1395</f>
        <v>9000</v>
      </c>
      <c r="R1395" s="16">
        <f>M1395*N1395</f>
        <v>9000</v>
      </c>
      <c r="S1395" s="16">
        <f>M1395*O1395</f>
        <v>0</v>
      </c>
      <c r="T1395" s="16">
        <f>M1395*Q1395</f>
        <v>9000</v>
      </c>
      <c r="U1395" s="16"/>
      <c r="V1395" s="16">
        <f>M1395*U1395</f>
        <v>0</v>
      </c>
      <c r="W1395" s="16">
        <f>T1395-V1395</f>
        <v>9000</v>
      </c>
      <c r="X1395" s="18">
        <f>IF(T1395&gt;0, W1395/T1395, 0)</f>
        <v>1</v>
      </c>
      <c r="Y1395" s="9" t="s">
        <v>41</v>
      </c>
      <c r="Z1395" s="11" t="s">
        <v>42</v>
      </c>
      <c r="AA1395" s="11" t="s">
        <v>43</v>
      </c>
      <c r="AB1395" s="11" t="s">
        <v>44</v>
      </c>
      <c r="AC1395" s="9" t="s">
        <v>44</v>
      </c>
    </row>
    <row r="1396" spans="1:29">
      <c r="A1396" s="10">
        <v>1389</v>
      </c>
      <c r="B1396" s="10" t="s">
        <v>1721</v>
      </c>
      <c r="C1396" s="10" t="s">
        <v>1683</v>
      </c>
      <c r="D1396" s="10" t="s">
        <v>655</v>
      </c>
      <c r="E1396" s="10" t="s">
        <v>34</v>
      </c>
      <c r="F1396" s="10" t="s">
        <v>35</v>
      </c>
      <c r="G1396" s="8" t="s">
        <v>36</v>
      </c>
      <c r="H1396" s="8" t="s">
        <v>37</v>
      </c>
      <c r="I1396" s="8" t="s">
        <v>38</v>
      </c>
      <c r="J1396" s="10">
        <v>182</v>
      </c>
      <c r="K1396" s="10" t="s">
        <v>338</v>
      </c>
      <c r="L1396" s="10" t="s">
        <v>40</v>
      </c>
      <c r="M1396" s="12">
        <v>1</v>
      </c>
      <c r="N1396" s="15">
        <v>8000.0</v>
      </c>
      <c r="O1396" s="15"/>
      <c r="P1396" s="17">
        <f>IF(N1396&gt;0, O1396/N1396, 0)</f>
        <v>0</v>
      </c>
      <c r="Q1396" s="15">
        <f>N1396-O1396</f>
        <v>8000</v>
      </c>
      <c r="R1396" s="15">
        <f>M1396*N1396</f>
        <v>8000</v>
      </c>
      <c r="S1396" s="15">
        <f>M1396*O1396</f>
        <v>0</v>
      </c>
      <c r="T1396" s="15">
        <f>M1396*Q1396</f>
        <v>8000</v>
      </c>
      <c r="U1396" s="15"/>
      <c r="V1396" s="15">
        <f>M1396*U1396</f>
        <v>0</v>
      </c>
      <c r="W1396" s="15">
        <f>T1396-V1396</f>
        <v>8000</v>
      </c>
      <c r="X1396" s="17">
        <f>IF(T1396&gt;0, W1396/T1396, 0)</f>
        <v>1</v>
      </c>
      <c r="Y1396" s="8" t="s">
        <v>41</v>
      </c>
      <c r="Z1396" s="10" t="s">
        <v>42</v>
      </c>
      <c r="AA1396" s="10" t="s">
        <v>43</v>
      </c>
      <c r="AB1396" s="10" t="s">
        <v>44</v>
      </c>
      <c r="AC1396" s="8" t="s">
        <v>44</v>
      </c>
    </row>
    <row r="1397" spans="1:29">
      <c r="A1397" s="11">
        <v>1390</v>
      </c>
      <c r="B1397" s="11" t="s">
        <v>1722</v>
      </c>
      <c r="C1397" s="11" t="s">
        <v>1723</v>
      </c>
      <c r="D1397" s="11" t="s">
        <v>655</v>
      </c>
      <c r="E1397" s="11" t="s">
        <v>34</v>
      </c>
      <c r="F1397" s="11" t="s">
        <v>35</v>
      </c>
      <c r="G1397" s="9" t="s">
        <v>52</v>
      </c>
      <c r="H1397" s="9" t="s">
        <v>71</v>
      </c>
      <c r="I1397" s="9" t="s">
        <v>71</v>
      </c>
      <c r="J1397" s="11">
        <v>134</v>
      </c>
      <c r="K1397" s="11" t="s">
        <v>212</v>
      </c>
      <c r="L1397" s="11" t="s">
        <v>40</v>
      </c>
      <c r="M1397" s="13">
        <v>1</v>
      </c>
      <c r="N1397" s="16">
        <v>17000.0</v>
      </c>
      <c r="O1397" s="16"/>
      <c r="P1397" s="18">
        <f>IF(N1397&gt;0, O1397/N1397, 0)</f>
        <v>0</v>
      </c>
      <c r="Q1397" s="16">
        <f>N1397-O1397</f>
        <v>17000</v>
      </c>
      <c r="R1397" s="16">
        <f>M1397*N1397</f>
        <v>17000</v>
      </c>
      <c r="S1397" s="16">
        <f>M1397*O1397</f>
        <v>0</v>
      </c>
      <c r="T1397" s="16">
        <f>M1397*Q1397</f>
        <v>17000</v>
      </c>
      <c r="U1397" s="16"/>
      <c r="V1397" s="16">
        <f>M1397*U1397</f>
        <v>0</v>
      </c>
      <c r="W1397" s="16">
        <f>T1397-V1397</f>
        <v>17000</v>
      </c>
      <c r="X1397" s="18">
        <f>IF(T1397&gt;0, W1397/T1397, 0)</f>
        <v>1</v>
      </c>
      <c r="Y1397" s="9" t="s">
        <v>41</v>
      </c>
      <c r="Z1397" s="11" t="s">
        <v>42</v>
      </c>
      <c r="AA1397" s="11" t="s">
        <v>43</v>
      </c>
      <c r="AB1397" s="11" t="s">
        <v>44</v>
      </c>
      <c r="AC1397" s="9" t="s">
        <v>44</v>
      </c>
    </row>
    <row r="1398" spans="1:29">
      <c r="A1398" s="10">
        <v>1391</v>
      </c>
      <c r="B1398" s="10" t="s">
        <v>1724</v>
      </c>
      <c r="C1398" s="10" t="s">
        <v>1723</v>
      </c>
      <c r="D1398" s="10" t="s">
        <v>655</v>
      </c>
      <c r="E1398" s="10" t="s">
        <v>34</v>
      </c>
      <c r="F1398" s="10" t="s">
        <v>35</v>
      </c>
      <c r="G1398" s="8" t="s">
        <v>52</v>
      </c>
      <c r="H1398" s="8" t="s">
        <v>53</v>
      </c>
      <c r="I1398" s="8" t="s">
        <v>53</v>
      </c>
      <c r="J1398" s="10">
        <v>134</v>
      </c>
      <c r="K1398" s="10" t="s">
        <v>178</v>
      </c>
      <c r="L1398" s="10" t="s">
        <v>55</v>
      </c>
      <c r="M1398" s="12">
        <v>1</v>
      </c>
      <c r="N1398" s="15">
        <v>8000.0</v>
      </c>
      <c r="O1398" s="15"/>
      <c r="P1398" s="17">
        <f>IF(N1398&gt;0, O1398/N1398, 0)</f>
        <v>0</v>
      </c>
      <c r="Q1398" s="15">
        <f>N1398-O1398</f>
        <v>8000</v>
      </c>
      <c r="R1398" s="15">
        <f>M1398*N1398</f>
        <v>8000</v>
      </c>
      <c r="S1398" s="15">
        <f>M1398*O1398</f>
        <v>0</v>
      </c>
      <c r="T1398" s="15">
        <f>M1398*Q1398</f>
        <v>8000</v>
      </c>
      <c r="U1398" s="15"/>
      <c r="V1398" s="15">
        <f>M1398*U1398</f>
        <v>0</v>
      </c>
      <c r="W1398" s="15">
        <f>T1398-V1398</f>
        <v>8000</v>
      </c>
      <c r="X1398" s="17">
        <f>IF(T1398&gt;0, W1398/T1398, 0)</f>
        <v>1</v>
      </c>
      <c r="Y1398" s="8" t="s">
        <v>41</v>
      </c>
      <c r="Z1398" s="10" t="s">
        <v>42</v>
      </c>
      <c r="AA1398" s="10" t="s">
        <v>43</v>
      </c>
      <c r="AB1398" s="10" t="s">
        <v>44</v>
      </c>
      <c r="AC1398" s="8" t="s">
        <v>44</v>
      </c>
    </row>
    <row r="1399" spans="1:29">
      <c r="A1399" s="11">
        <v>1392</v>
      </c>
      <c r="B1399" s="11" t="s">
        <v>1725</v>
      </c>
      <c r="C1399" s="11" t="s">
        <v>1723</v>
      </c>
      <c r="D1399" s="11" t="s">
        <v>655</v>
      </c>
      <c r="E1399" s="11" t="s">
        <v>34</v>
      </c>
      <c r="F1399" s="11" t="s">
        <v>35</v>
      </c>
      <c r="G1399" s="9" t="s">
        <v>52</v>
      </c>
      <c r="H1399" s="9" t="s">
        <v>37</v>
      </c>
      <c r="I1399" s="9" t="s">
        <v>75</v>
      </c>
      <c r="J1399" s="11">
        <v>134</v>
      </c>
      <c r="K1399" s="11" t="s">
        <v>149</v>
      </c>
      <c r="L1399" s="11" t="s">
        <v>55</v>
      </c>
      <c r="M1399" s="13">
        <v>1</v>
      </c>
      <c r="N1399" s="16">
        <v>8000.0</v>
      </c>
      <c r="O1399" s="16"/>
      <c r="P1399" s="18">
        <f>IF(N1399&gt;0, O1399/N1399, 0)</f>
        <v>0</v>
      </c>
      <c r="Q1399" s="16">
        <f>N1399-O1399</f>
        <v>8000</v>
      </c>
      <c r="R1399" s="16">
        <f>M1399*N1399</f>
        <v>8000</v>
      </c>
      <c r="S1399" s="16">
        <f>M1399*O1399</f>
        <v>0</v>
      </c>
      <c r="T1399" s="16">
        <f>M1399*Q1399</f>
        <v>8000</v>
      </c>
      <c r="U1399" s="16"/>
      <c r="V1399" s="16">
        <f>M1399*U1399</f>
        <v>0</v>
      </c>
      <c r="W1399" s="16">
        <f>T1399-V1399</f>
        <v>8000</v>
      </c>
      <c r="X1399" s="18">
        <f>IF(T1399&gt;0, W1399/T1399, 0)</f>
        <v>1</v>
      </c>
      <c r="Y1399" s="9" t="s">
        <v>41</v>
      </c>
      <c r="Z1399" s="11" t="s">
        <v>42</v>
      </c>
      <c r="AA1399" s="11" t="s">
        <v>43</v>
      </c>
      <c r="AB1399" s="11" t="s">
        <v>44</v>
      </c>
      <c r="AC1399" s="9" t="s">
        <v>44</v>
      </c>
    </row>
    <row r="1400" spans="1:29">
      <c r="A1400" s="10">
        <v>1393</v>
      </c>
      <c r="B1400" s="10" t="s">
        <v>1726</v>
      </c>
      <c r="C1400" s="10" t="s">
        <v>1723</v>
      </c>
      <c r="D1400" s="10" t="s">
        <v>655</v>
      </c>
      <c r="E1400" s="10" t="s">
        <v>34</v>
      </c>
      <c r="F1400" s="10" t="s">
        <v>35</v>
      </c>
      <c r="G1400" s="8" t="s">
        <v>52</v>
      </c>
      <c r="H1400" s="8" t="s">
        <v>37</v>
      </c>
      <c r="I1400" s="8" t="s">
        <v>38</v>
      </c>
      <c r="J1400" s="10">
        <v>134</v>
      </c>
      <c r="K1400" s="10" t="s">
        <v>180</v>
      </c>
      <c r="L1400" s="10" t="s">
        <v>55</v>
      </c>
      <c r="M1400" s="12">
        <v>1</v>
      </c>
      <c r="N1400" s="15">
        <v>7000.0</v>
      </c>
      <c r="O1400" s="15"/>
      <c r="P1400" s="17">
        <f>IF(N1400&gt;0, O1400/N1400, 0)</f>
        <v>0</v>
      </c>
      <c r="Q1400" s="15">
        <f>N1400-O1400</f>
        <v>7000</v>
      </c>
      <c r="R1400" s="15">
        <f>M1400*N1400</f>
        <v>7000</v>
      </c>
      <c r="S1400" s="15">
        <f>M1400*O1400</f>
        <v>0</v>
      </c>
      <c r="T1400" s="15">
        <f>M1400*Q1400</f>
        <v>7000</v>
      </c>
      <c r="U1400" s="15"/>
      <c r="V1400" s="15">
        <f>M1400*U1400</f>
        <v>0</v>
      </c>
      <c r="W1400" s="15">
        <f>T1400-V1400</f>
        <v>7000</v>
      </c>
      <c r="X1400" s="17">
        <f>IF(T1400&gt;0, W1400/T1400, 0)</f>
        <v>1</v>
      </c>
      <c r="Y1400" s="8" t="s">
        <v>41</v>
      </c>
      <c r="Z1400" s="10" t="s">
        <v>42</v>
      </c>
      <c r="AA1400" s="10" t="s">
        <v>43</v>
      </c>
      <c r="AB1400" s="10" t="s">
        <v>44</v>
      </c>
      <c r="AC1400" s="8" t="s">
        <v>44</v>
      </c>
    </row>
    <row r="1401" spans="1:29">
      <c r="A1401" s="11">
        <v>1394</v>
      </c>
      <c r="B1401" s="11" t="s">
        <v>1727</v>
      </c>
      <c r="C1401" s="11" t="s">
        <v>1723</v>
      </c>
      <c r="D1401" s="11" t="s">
        <v>655</v>
      </c>
      <c r="E1401" s="11" t="s">
        <v>34</v>
      </c>
      <c r="F1401" s="11" t="s">
        <v>35</v>
      </c>
      <c r="G1401" s="9" t="s">
        <v>52</v>
      </c>
      <c r="H1401" s="9" t="s">
        <v>53</v>
      </c>
      <c r="I1401" s="9" t="s">
        <v>53</v>
      </c>
      <c r="J1401" s="11">
        <v>164</v>
      </c>
      <c r="K1401" s="11" t="s">
        <v>407</v>
      </c>
      <c r="L1401" s="11" t="s">
        <v>55</v>
      </c>
      <c r="M1401" s="13">
        <v>1</v>
      </c>
      <c r="N1401" s="16">
        <v>8000.0</v>
      </c>
      <c r="O1401" s="16"/>
      <c r="P1401" s="18">
        <f>IF(N1401&gt;0, O1401/N1401, 0)</f>
        <v>0</v>
      </c>
      <c r="Q1401" s="16">
        <f>N1401-O1401</f>
        <v>8000</v>
      </c>
      <c r="R1401" s="16">
        <f>M1401*N1401</f>
        <v>8000</v>
      </c>
      <c r="S1401" s="16">
        <f>M1401*O1401</f>
        <v>0</v>
      </c>
      <c r="T1401" s="16">
        <f>M1401*Q1401</f>
        <v>8000</v>
      </c>
      <c r="U1401" s="16"/>
      <c r="V1401" s="16">
        <f>M1401*U1401</f>
        <v>0</v>
      </c>
      <c r="W1401" s="16">
        <f>T1401-V1401</f>
        <v>8000</v>
      </c>
      <c r="X1401" s="18">
        <f>IF(T1401&gt;0, W1401/T1401, 0)</f>
        <v>1</v>
      </c>
      <c r="Y1401" s="9" t="s">
        <v>41</v>
      </c>
      <c r="Z1401" s="11" t="s">
        <v>42</v>
      </c>
      <c r="AA1401" s="11" t="s">
        <v>43</v>
      </c>
      <c r="AB1401" s="11" t="s">
        <v>44</v>
      </c>
      <c r="AC1401" s="9" t="s">
        <v>44</v>
      </c>
    </row>
    <row r="1402" spans="1:29">
      <c r="A1402" s="10">
        <v>1395</v>
      </c>
      <c r="B1402" s="10" t="s">
        <v>1728</v>
      </c>
      <c r="C1402" s="10" t="s">
        <v>1723</v>
      </c>
      <c r="D1402" s="10" t="s">
        <v>655</v>
      </c>
      <c r="E1402" s="10" t="s">
        <v>34</v>
      </c>
      <c r="F1402" s="10" t="s">
        <v>35</v>
      </c>
      <c r="G1402" s="8" t="s">
        <v>52</v>
      </c>
      <c r="H1402" s="8" t="s">
        <v>37</v>
      </c>
      <c r="I1402" s="8" t="s">
        <v>75</v>
      </c>
      <c r="J1402" s="10">
        <v>134</v>
      </c>
      <c r="K1402" s="10" t="s">
        <v>149</v>
      </c>
      <c r="L1402" s="10" t="s">
        <v>55</v>
      </c>
      <c r="M1402" s="12">
        <v>1</v>
      </c>
      <c r="N1402" s="15">
        <v>8000.0</v>
      </c>
      <c r="O1402" s="15"/>
      <c r="P1402" s="17">
        <f>IF(N1402&gt;0, O1402/N1402, 0)</f>
        <v>0</v>
      </c>
      <c r="Q1402" s="15">
        <f>N1402-O1402</f>
        <v>8000</v>
      </c>
      <c r="R1402" s="15">
        <f>M1402*N1402</f>
        <v>8000</v>
      </c>
      <c r="S1402" s="15">
        <f>M1402*O1402</f>
        <v>0</v>
      </c>
      <c r="T1402" s="15">
        <f>M1402*Q1402</f>
        <v>8000</v>
      </c>
      <c r="U1402" s="15"/>
      <c r="V1402" s="15">
        <f>M1402*U1402</f>
        <v>0</v>
      </c>
      <c r="W1402" s="15">
        <f>T1402-V1402</f>
        <v>8000</v>
      </c>
      <c r="X1402" s="17">
        <f>IF(T1402&gt;0, W1402/T1402, 0)</f>
        <v>1</v>
      </c>
      <c r="Y1402" s="8" t="s">
        <v>41</v>
      </c>
      <c r="Z1402" s="10" t="s">
        <v>42</v>
      </c>
      <c r="AA1402" s="10" t="s">
        <v>43</v>
      </c>
      <c r="AB1402" s="10" t="s">
        <v>44</v>
      </c>
      <c r="AC1402" s="8" t="s">
        <v>44</v>
      </c>
    </row>
    <row r="1403" spans="1:29">
      <c r="A1403" s="11">
        <v>1396</v>
      </c>
      <c r="B1403" s="11" t="s">
        <v>1729</v>
      </c>
      <c r="C1403" s="11" t="s">
        <v>1723</v>
      </c>
      <c r="D1403" s="11" t="s">
        <v>655</v>
      </c>
      <c r="E1403" s="11" t="s">
        <v>34</v>
      </c>
      <c r="F1403" s="11" t="s">
        <v>35</v>
      </c>
      <c r="G1403" s="9" t="s">
        <v>52</v>
      </c>
      <c r="H1403" s="9" t="s">
        <v>37</v>
      </c>
      <c r="I1403" s="9" t="s">
        <v>38</v>
      </c>
      <c r="J1403" s="11">
        <v>140</v>
      </c>
      <c r="K1403" s="11" t="s">
        <v>226</v>
      </c>
      <c r="L1403" s="11" t="s">
        <v>55</v>
      </c>
      <c r="M1403" s="13">
        <v>1</v>
      </c>
      <c r="N1403" s="16">
        <v>7000.0</v>
      </c>
      <c r="O1403" s="16"/>
      <c r="P1403" s="18">
        <f>IF(N1403&gt;0, O1403/N1403, 0)</f>
        <v>0</v>
      </c>
      <c r="Q1403" s="16">
        <f>N1403-O1403</f>
        <v>7000</v>
      </c>
      <c r="R1403" s="16">
        <f>M1403*N1403</f>
        <v>7000</v>
      </c>
      <c r="S1403" s="16">
        <f>M1403*O1403</f>
        <v>0</v>
      </c>
      <c r="T1403" s="16">
        <f>M1403*Q1403</f>
        <v>7000</v>
      </c>
      <c r="U1403" s="16"/>
      <c r="V1403" s="16">
        <f>M1403*U1403</f>
        <v>0</v>
      </c>
      <c r="W1403" s="16">
        <f>T1403-V1403</f>
        <v>7000</v>
      </c>
      <c r="X1403" s="18">
        <f>IF(T1403&gt;0, W1403/T1403, 0)</f>
        <v>1</v>
      </c>
      <c r="Y1403" s="9" t="s">
        <v>41</v>
      </c>
      <c r="Z1403" s="11" t="s">
        <v>42</v>
      </c>
      <c r="AA1403" s="11" t="s">
        <v>43</v>
      </c>
      <c r="AB1403" s="11" t="s">
        <v>44</v>
      </c>
      <c r="AC1403" s="9" t="s">
        <v>44</v>
      </c>
    </row>
    <row r="1404" spans="1:29">
      <c r="A1404" s="10">
        <v>1397</v>
      </c>
      <c r="B1404" s="10" t="s">
        <v>1730</v>
      </c>
      <c r="C1404" s="10" t="s">
        <v>1723</v>
      </c>
      <c r="D1404" s="10" t="s">
        <v>655</v>
      </c>
      <c r="E1404" s="10" t="s">
        <v>34</v>
      </c>
      <c r="F1404" s="10" t="s">
        <v>35</v>
      </c>
      <c r="G1404" s="8" t="s">
        <v>36</v>
      </c>
      <c r="H1404" s="8" t="s">
        <v>47</v>
      </c>
      <c r="I1404" s="8" t="s">
        <v>48</v>
      </c>
      <c r="J1404" s="10">
        <v>140</v>
      </c>
      <c r="K1404" s="10" t="s">
        <v>1731</v>
      </c>
      <c r="L1404" s="10" t="s">
        <v>40</v>
      </c>
      <c r="M1404" s="12">
        <v>1</v>
      </c>
      <c r="N1404" s="15">
        <v>18000.0</v>
      </c>
      <c r="O1404" s="15"/>
      <c r="P1404" s="17">
        <f>IF(N1404&gt;0, O1404/N1404, 0)</f>
        <v>0</v>
      </c>
      <c r="Q1404" s="15">
        <f>N1404-O1404</f>
        <v>18000</v>
      </c>
      <c r="R1404" s="15">
        <f>M1404*N1404</f>
        <v>18000</v>
      </c>
      <c r="S1404" s="15">
        <f>M1404*O1404</f>
        <v>0</v>
      </c>
      <c r="T1404" s="15">
        <f>M1404*Q1404</f>
        <v>18000</v>
      </c>
      <c r="U1404" s="15"/>
      <c r="V1404" s="15">
        <f>M1404*U1404</f>
        <v>0</v>
      </c>
      <c r="W1404" s="15">
        <f>T1404-V1404</f>
        <v>18000</v>
      </c>
      <c r="X1404" s="17">
        <f>IF(T1404&gt;0, W1404/T1404, 0)</f>
        <v>1</v>
      </c>
      <c r="Y1404" s="8" t="s">
        <v>41</v>
      </c>
      <c r="Z1404" s="10" t="s">
        <v>42</v>
      </c>
      <c r="AA1404" s="10" t="s">
        <v>43</v>
      </c>
      <c r="AB1404" s="10" t="s">
        <v>44</v>
      </c>
      <c r="AC1404" s="8" t="s">
        <v>44</v>
      </c>
    </row>
    <row r="1405" spans="1:29">
      <c r="A1405" s="11">
        <v>1398</v>
      </c>
      <c r="B1405" s="11" t="s">
        <v>1732</v>
      </c>
      <c r="C1405" s="11" t="s">
        <v>1723</v>
      </c>
      <c r="D1405" s="11" t="s">
        <v>655</v>
      </c>
      <c r="E1405" s="11" t="s">
        <v>34</v>
      </c>
      <c r="F1405" s="11" t="s">
        <v>35</v>
      </c>
      <c r="G1405" s="9" t="s">
        <v>36</v>
      </c>
      <c r="H1405" s="9" t="s">
        <v>47</v>
      </c>
      <c r="I1405" s="9" t="s">
        <v>48</v>
      </c>
      <c r="J1405" s="11">
        <v>164</v>
      </c>
      <c r="K1405" s="11" t="s">
        <v>321</v>
      </c>
      <c r="L1405" s="11" t="s">
        <v>40</v>
      </c>
      <c r="M1405" s="13">
        <v>1</v>
      </c>
      <c r="N1405" s="16">
        <v>18000.0</v>
      </c>
      <c r="O1405" s="16"/>
      <c r="P1405" s="18">
        <f>IF(N1405&gt;0, O1405/N1405, 0)</f>
        <v>0</v>
      </c>
      <c r="Q1405" s="16">
        <f>N1405-O1405</f>
        <v>18000</v>
      </c>
      <c r="R1405" s="16">
        <f>M1405*N1405</f>
        <v>18000</v>
      </c>
      <c r="S1405" s="16">
        <f>M1405*O1405</f>
        <v>0</v>
      </c>
      <c r="T1405" s="16">
        <f>M1405*Q1405</f>
        <v>18000</v>
      </c>
      <c r="U1405" s="16"/>
      <c r="V1405" s="16">
        <f>M1405*U1405</f>
        <v>0</v>
      </c>
      <c r="W1405" s="16">
        <f>T1405-V1405</f>
        <v>18000</v>
      </c>
      <c r="X1405" s="18">
        <f>IF(T1405&gt;0, W1405/T1405, 0)</f>
        <v>1</v>
      </c>
      <c r="Y1405" s="9" t="s">
        <v>41</v>
      </c>
      <c r="Z1405" s="11" t="s">
        <v>42</v>
      </c>
      <c r="AA1405" s="11" t="s">
        <v>43</v>
      </c>
      <c r="AB1405" s="11" t="s">
        <v>44</v>
      </c>
      <c r="AC1405" s="9" t="s">
        <v>44</v>
      </c>
    </row>
    <row r="1406" spans="1:29">
      <c r="A1406" s="10">
        <v>1399</v>
      </c>
      <c r="B1406" s="10" t="s">
        <v>1733</v>
      </c>
      <c r="C1406" s="10" t="s">
        <v>1723</v>
      </c>
      <c r="D1406" s="10" t="s">
        <v>655</v>
      </c>
      <c r="E1406" s="10" t="s">
        <v>34</v>
      </c>
      <c r="F1406" s="10" t="s">
        <v>35</v>
      </c>
      <c r="G1406" s="8" t="s">
        <v>36</v>
      </c>
      <c r="H1406" s="8" t="s">
        <v>53</v>
      </c>
      <c r="I1406" s="8" t="s">
        <v>53</v>
      </c>
      <c r="J1406" s="10">
        <v>158</v>
      </c>
      <c r="K1406" s="10" t="s">
        <v>124</v>
      </c>
      <c r="L1406" s="10" t="s">
        <v>40</v>
      </c>
      <c r="M1406" s="12">
        <v>1</v>
      </c>
      <c r="N1406" s="15">
        <v>8500.0</v>
      </c>
      <c r="O1406" s="15"/>
      <c r="P1406" s="17">
        <f>IF(N1406&gt;0, O1406/N1406, 0)</f>
        <v>0</v>
      </c>
      <c r="Q1406" s="15">
        <f>N1406-O1406</f>
        <v>8500</v>
      </c>
      <c r="R1406" s="15">
        <f>M1406*N1406</f>
        <v>8500</v>
      </c>
      <c r="S1406" s="15">
        <f>M1406*O1406</f>
        <v>0</v>
      </c>
      <c r="T1406" s="15">
        <f>M1406*Q1406</f>
        <v>8500</v>
      </c>
      <c r="U1406" s="15"/>
      <c r="V1406" s="15">
        <f>M1406*U1406</f>
        <v>0</v>
      </c>
      <c r="W1406" s="15">
        <f>T1406-V1406</f>
        <v>8500</v>
      </c>
      <c r="X1406" s="17">
        <f>IF(T1406&gt;0, W1406/T1406, 0)</f>
        <v>1</v>
      </c>
      <c r="Y1406" s="8" t="s">
        <v>41</v>
      </c>
      <c r="Z1406" s="10" t="s">
        <v>42</v>
      </c>
      <c r="AA1406" s="10" t="s">
        <v>43</v>
      </c>
      <c r="AB1406" s="10" t="s">
        <v>44</v>
      </c>
      <c r="AC1406" s="8" t="s">
        <v>44</v>
      </c>
    </row>
    <row r="1407" spans="1:29">
      <c r="A1407" s="11">
        <v>1400</v>
      </c>
      <c r="B1407" s="11" t="s">
        <v>1734</v>
      </c>
      <c r="C1407" s="11" t="s">
        <v>1723</v>
      </c>
      <c r="D1407" s="11" t="s">
        <v>655</v>
      </c>
      <c r="E1407" s="11" t="s">
        <v>34</v>
      </c>
      <c r="F1407" s="11" t="s">
        <v>35</v>
      </c>
      <c r="G1407" s="9" t="s">
        <v>36</v>
      </c>
      <c r="H1407" s="9" t="s">
        <v>37</v>
      </c>
      <c r="I1407" s="9" t="s">
        <v>38</v>
      </c>
      <c r="J1407" s="11">
        <v>158</v>
      </c>
      <c r="K1407" s="11" t="s">
        <v>39</v>
      </c>
      <c r="L1407" s="11" t="s">
        <v>40</v>
      </c>
      <c r="M1407" s="13">
        <v>3</v>
      </c>
      <c r="N1407" s="16">
        <v>8000.0</v>
      </c>
      <c r="O1407" s="16"/>
      <c r="P1407" s="18">
        <f>IF(N1407&gt;0, O1407/N1407, 0)</f>
        <v>0</v>
      </c>
      <c r="Q1407" s="16">
        <f>N1407-O1407</f>
        <v>8000</v>
      </c>
      <c r="R1407" s="16">
        <f>M1407*N1407</f>
        <v>24000</v>
      </c>
      <c r="S1407" s="16">
        <f>M1407*O1407</f>
        <v>0</v>
      </c>
      <c r="T1407" s="16">
        <f>M1407*Q1407</f>
        <v>24000</v>
      </c>
      <c r="U1407" s="16"/>
      <c r="V1407" s="16">
        <f>M1407*U1407</f>
        <v>0</v>
      </c>
      <c r="W1407" s="16">
        <f>T1407-V1407</f>
        <v>24000</v>
      </c>
      <c r="X1407" s="18">
        <f>IF(T1407&gt;0, W1407/T1407, 0)</f>
        <v>1</v>
      </c>
      <c r="Y1407" s="9" t="s">
        <v>41</v>
      </c>
      <c r="Z1407" s="11" t="s">
        <v>42</v>
      </c>
      <c r="AA1407" s="11" t="s">
        <v>43</v>
      </c>
      <c r="AB1407" s="11" t="s">
        <v>44</v>
      </c>
      <c r="AC1407" s="9" t="s">
        <v>44</v>
      </c>
    </row>
    <row r="1408" spans="1:29">
      <c r="A1408" s="10">
        <v>1401</v>
      </c>
      <c r="B1408" s="10" t="s">
        <v>1735</v>
      </c>
      <c r="C1408" s="10" t="s">
        <v>1723</v>
      </c>
      <c r="D1408" s="10" t="s">
        <v>655</v>
      </c>
      <c r="E1408" s="10" t="s">
        <v>34</v>
      </c>
      <c r="F1408" s="10" t="s">
        <v>35</v>
      </c>
      <c r="G1408" s="8" t="s">
        <v>36</v>
      </c>
      <c r="H1408" s="8" t="s">
        <v>71</v>
      </c>
      <c r="I1408" s="8" t="s">
        <v>71</v>
      </c>
      <c r="J1408" s="10">
        <v>176</v>
      </c>
      <c r="K1408" s="10" t="s">
        <v>206</v>
      </c>
      <c r="L1408" s="10" t="s">
        <v>40</v>
      </c>
      <c r="M1408" s="12">
        <v>2</v>
      </c>
      <c r="N1408" s="15">
        <v>16500.0</v>
      </c>
      <c r="O1408" s="15"/>
      <c r="P1408" s="17">
        <f>IF(N1408&gt;0, O1408/N1408, 0)</f>
        <v>0</v>
      </c>
      <c r="Q1408" s="15">
        <f>N1408-O1408</f>
        <v>16500</v>
      </c>
      <c r="R1408" s="15">
        <f>M1408*N1408</f>
        <v>33000</v>
      </c>
      <c r="S1408" s="15">
        <f>M1408*O1408</f>
        <v>0</v>
      </c>
      <c r="T1408" s="15">
        <f>M1408*Q1408</f>
        <v>33000</v>
      </c>
      <c r="U1408" s="15"/>
      <c r="V1408" s="15">
        <f>M1408*U1408</f>
        <v>0</v>
      </c>
      <c r="W1408" s="15">
        <f>T1408-V1408</f>
        <v>33000</v>
      </c>
      <c r="X1408" s="17">
        <f>IF(T1408&gt;0, W1408/T1408, 0)</f>
        <v>1</v>
      </c>
      <c r="Y1408" s="8" t="s">
        <v>41</v>
      </c>
      <c r="Z1408" s="10" t="s">
        <v>42</v>
      </c>
      <c r="AA1408" s="10" t="s">
        <v>43</v>
      </c>
      <c r="AB1408" s="10" t="s">
        <v>44</v>
      </c>
      <c r="AC1408" s="8" t="s">
        <v>44</v>
      </c>
    </row>
    <row r="1409" spans="1:29">
      <c r="A1409" s="11">
        <v>1402</v>
      </c>
      <c r="B1409" s="11" t="s">
        <v>1736</v>
      </c>
      <c r="C1409" s="11" t="s">
        <v>1723</v>
      </c>
      <c r="D1409" s="11" t="s">
        <v>655</v>
      </c>
      <c r="E1409" s="11" t="s">
        <v>34</v>
      </c>
      <c r="F1409" s="11" t="s">
        <v>35</v>
      </c>
      <c r="G1409" s="9" t="s">
        <v>36</v>
      </c>
      <c r="H1409" s="9" t="s">
        <v>53</v>
      </c>
      <c r="I1409" s="9" t="s">
        <v>53</v>
      </c>
      <c r="J1409" s="11">
        <v>176</v>
      </c>
      <c r="K1409" s="11" t="s">
        <v>421</v>
      </c>
      <c r="L1409" s="11" t="s">
        <v>40</v>
      </c>
      <c r="M1409" s="13">
        <v>2</v>
      </c>
      <c r="N1409" s="16">
        <v>8500.0</v>
      </c>
      <c r="O1409" s="16"/>
      <c r="P1409" s="18">
        <f>IF(N1409&gt;0, O1409/N1409, 0)</f>
        <v>0</v>
      </c>
      <c r="Q1409" s="16">
        <f>N1409-O1409</f>
        <v>8500</v>
      </c>
      <c r="R1409" s="16">
        <f>M1409*N1409</f>
        <v>17000</v>
      </c>
      <c r="S1409" s="16">
        <f>M1409*O1409</f>
        <v>0</v>
      </c>
      <c r="T1409" s="16">
        <f>M1409*Q1409</f>
        <v>17000</v>
      </c>
      <c r="U1409" s="16"/>
      <c r="V1409" s="16">
        <f>M1409*U1409</f>
        <v>0</v>
      </c>
      <c r="W1409" s="16">
        <f>T1409-V1409</f>
        <v>17000</v>
      </c>
      <c r="X1409" s="18">
        <f>IF(T1409&gt;0, W1409/T1409, 0)</f>
        <v>1</v>
      </c>
      <c r="Y1409" s="9" t="s">
        <v>41</v>
      </c>
      <c r="Z1409" s="11" t="s">
        <v>42</v>
      </c>
      <c r="AA1409" s="11" t="s">
        <v>43</v>
      </c>
      <c r="AB1409" s="11" t="s">
        <v>44</v>
      </c>
      <c r="AC1409" s="9" t="s">
        <v>44</v>
      </c>
    </row>
    <row r="1410" spans="1:29">
      <c r="A1410" s="10">
        <v>1403</v>
      </c>
      <c r="B1410" s="10" t="s">
        <v>1737</v>
      </c>
      <c r="C1410" s="10" t="s">
        <v>1723</v>
      </c>
      <c r="D1410" s="10" t="s">
        <v>655</v>
      </c>
      <c r="E1410" s="10" t="s">
        <v>34</v>
      </c>
      <c r="F1410" s="10" t="s">
        <v>35</v>
      </c>
      <c r="G1410" s="8" t="s">
        <v>36</v>
      </c>
      <c r="H1410" s="8" t="s">
        <v>37</v>
      </c>
      <c r="I1410" s="8" t="s">
        <v>75</v>
      </c>
      <c r="J1410" s="10">
        <v>176</v>
      </c>
      <c r="K1410" s="10" t="s">
        <v>423</v>
      </c>
      <c r="L1410" s="10" t="s">
        <v>40</v>
      </c>
      <c r="M1410" s="12">
        <v>2</v>
      </c>
      <c r="N1410" s="15">
        <v>9000.0</v>
      </c>
      <c r="O1410" s="15"/>
      <c r="P1410" s="17">
        <f>IF(N1410&gt;0, O1410/N1410, 0)</f>
        <v>0</v>
      </c>
      <c r="Q1410" s="15">
        <f>N1410-O1410</f>
        <v>9000</v>
      </c>
      <c r="R1410" s="15">
        <f>M1410*N1410</f>
        <v>18000</v>
      </c>
      <c r="S1410" s="15">
        <f>M1410*O1410</f>
        <v>0</v>
      </c>
      <c r="T1410" s="15">
        <f>M1410*Q1410</f>
        <v>18000</v>
      </c>
      <c r="U1410" s="15"/>
      <c r="V1410" s="15">
        <f>M1410*U1410</f>
        <v>0</v>
      </c>
      <c r="W1410" s="15">
        <f>T1410-V1410</f>
        <v>18000</v>
      </c>
      <c r="X1410" s="17">
        <f>IF(T1410&gt;0, W1410/T1410, 0)</f>
        <v>1</v>
      </c>
      <c r="Y1410" s="8" t="s">
        <v>41</v>
      </c>
      <c r="Z1410" s="10" t="s">
        <v>42</v>
      </c>
      <c r="AA1410" s="10" t="s">
        <v>43</v>
      </c>
      <c r="AB1410" s="10" t="s">
        <v>44</v>
      </c>
      <c r="AC1410" s="8" t="s">
        <v>44</v>
      </c>
    </row>
    <row r="1411" spans="1:29">
      <c r="A1411" s="11">
        <v>1404</v>
      </c>
      <c r="B1411" s="11" t="s">
        <v>1738</v>
      </c>
      <c r="C1411" s="11" t="s">
        <v>1723</v>
      </c>
      <c r="D1411" s="11" t="s">
        <v>655</v>
      </c>
      <c r="E1411" s="11" t="s">
        <v>34</v>
      </c>
      <c r="F1411" s="11" t="s">
        <v>35</v>
      </c>
      <c r="G1411" s="9" t="s">
        <v>52</v>
      </c>
      <c r="H1411" s="9" t="s">
        <v>37</v>
      </c>
      <c r="I1411" s="9" t="s">
        <v>38</v>
      </c>
      <c r="J1411" s="11">
        <v>128</v>
      </c>
      <c r="K1411" s="11" t="s">
        <v>159</v>
      </c>
      <c r="L1411" s="11" t="s">
        <v>55</v>
      </c>
      <c r="M1411" s="13">
        <v>3</v>
      </c>
      <c r="N1411" s="16">
        <v>7000.0</v>
      </c>
      <c r="O1411" s="16"/>
      <c r="P1411" s="18">
        <f>IF(N1411&gt;0, O1411/N1411, 0)</f>
        <v>0</v>
      </c>
      <c r="Q1411" s="16">
        <f>N1411-O1411</f>
        <v>7000</v>
      </c>
      <c r="R1411" s="16">
        <f>M1411*N1411</f>
        <v>21000</v>
      </c>
      <c r="S1411" s="16">
        <f>M1411*O1411</f>
        <v>0</v>
      </c>
      <c r="T1411" s="16">
        <f>M1411*Q1411</f>
        <v>21000</v>
      </c>
      <c r="U1411" s="16"/>
      <c r="V1411" s="16">
        <f>M1411*U1411</f>
        <v>0</v>
      </c>
      <c r="W1411" s="16">
        <f>T1411-V1411</f>
        <v>21000</v>
      </c>
      <c r="X1411" s="18">
        <f>IF(T1411&gt;0, W1411/T1411, 0)</f>
        <v>1</v>
      </c>
      <c r="Y1411" s="9" t="s">
        <v>41</v>
      </c>
      <c r="Z1411" s="11" t="s">
        <v>42</v>
      </c>
      <c r="AA1411" s="11" t="s">
        <v>43</v>
      </c>
      <c r="AB1411" s="11" t="s">
        <v>44</v>
      </c>
      <c r="AC1411" s="9" t="s">
        <v>44</v>
      </c>
    </row>
    <row r="1412" spans="1:29">
      <c r="A1412" s="10">
        <v>1405</v>
      </c>
      <c r="B1412" s="10" t="s">
        <v>1739</v>
      </c>
      <c r="C1412" s="10" t="s">
        <v>1740</v>
      </c>
      <c r="D1412" s="10" t="s">
        <v>655</v>
      </c>
      <c r="E1412" s="10" t="s">
        <v>34</v>
      </c>
      <c r="F1412" s="10" t="s">
        <v>35</v>
      </c>
      <c r="G1412" s="8" t="s">
        <v>36</v>
      </c>
      <c r="H1412" s="8" t="s">
        <v>37</v>
      </c>
      <c r="I1412" s="8" t="s">
        <v>38</v>
      </c>
      <c r="J1412" s="10">
        <v>176</v>
      </c>
      <c r="K1412" s="10" t="s">
        <v>355</v>
      </c>
      <c r="L1412" s="10" t="s">
        <v>40</v>
      </c>
      <c r="M1412" s="12">
        <v>2</v>
      </c>
      <c r="N1412" s="15">
        <v>8000.0</v>
      </c>
      <c r="O1412" s="15"/>
      <c r="P1412" s="17">
        <f>IF(N1412&gt;0, O1412/N1412, 0)</f>
        <v>0</v>
      </c>
      <c r="Q1412" s="15">
        <f>N1412-O1412</f>
        <v>8000</v>
      </c>
      <c r="R1412" s="15">
        <f>M1412*N1412</f>
        <v>16000</v>
      </c>
      <c r="S1412" s="15">
        <f>M1412*O1412</f>
        <v>0</v>
      </c>
      <c r="T1412" s="15">
        <f>M1412*Q1412</f>
        <v>16000</v>
      </c>
      <c r="U1412" s="15"/>
      <c r="V1412" s="15">
        <f>M1412*U1412</f>
        <v>0</v>
      </c>
      <c r="W1412" s="15">
        <f>T1412-V1412</f>
        <v>16000</v>
      </c>
      <c r="X1412" s="17">
        <f>IF(T1412&gt;0, W1412/T1412, 0)</f>
        <v>1</v>
      </c>
      <c r="Y1412" s="8" t="s">
        <v>41</v>
      </c>
      <c r="Z1412" s="10" t="s">
        <v>42</v>
      </c>
      <c r="AA1412" s="10" t="s">
        <v>43</v>
      </c>
      <c r="AB1412" s="10" t="s">
        <v>44</v>
      </c>
      <c r="AC1412" s="8" t="s">
        <v>44</v>
      </c>
    </row>
    <row r="1413" spans="1:29">
      <c r="A1413" s="11">
        <v>1406</v>
      </c>
      <c r="B1413" s="11" t="s">
        <v>1741</v>
      </c>
      <c r="C1413" s="11" t="s">
        <v>1740</v>
      </c>
      <c r="D1413" s="11" t="s">
        <v>655</v>
      </c>
      <c r="E1413" s="11" t="s">
        <v>70</v>
      </c>
      <c r="F1413" s="11" t="s">
        <v>35</v>
      </c>
      <c r="G1413" s="9" t="s">
        <v>135</v>
      </c>
      <c r="H1413" s="9" t="s">
        <v>58</v>
      </c>
      <c r="I1413" s="9" t="s">
        <v>1742</v>
      </c>
      <c r="J1413" s="11">
        <v>134</v>
      </c>
      <c r="K1413" s="11" t="s">
        <v>1743</v>
      </c>
      <c r="L1413" s="11" t="s">
        <v>44</v>
      </c>
      <c r="M1413" s="13">
        <v>1</v>
      </c>
      <c r="N1413" s="16">
        <v>9000.0</v>
      </c>
      <c r="O1413" s="16"/>
      <c r="P1413" s="18">
        <f>IF(N1413&gt;0, O1413/N1413, 0)</f>
        <v>0</v>
      </c>
      <c r="Q1413" s="16">
        <f>N1413-O1413</f>
        <v>9000</v>
      </c>
      <c r="R1413" s="16">
        <f>M1413*N1413</f>
        <v>9000</v>
      </c>
      <c r="S1413" s="16">
        <f>M1413*O1413</f>
        <v>0</v>
      </c>
      <c r="T1413" s="16">
        <f>M1413*Q1413</f>
        <v>9000</v>
      </c>
      <c r="U1413" s="16"/>
      <c r="V1413" s="16">
        <f>M1413*U1413</f>
        <v>0</v>
      </c>
      <c r="W1413" s="16">
        <f>T1413-V1413</f>
        <v>9000</v>
      </c>
      <c r="X1413" s="18">
        <f>IF(T1413&gt;0, W1413/T1413, 0)</f>
        <v>1</v>
      </c>
      <c r="Y1413" s="9" t="s">
        <v>41</v>
      </c>
      <c r="Z1413" s="11" t="s">
        <v>42</v>
      </c>
      <c r="AA1413" s="11" t="s">
        <v>73</v>
      </c>
      <c r="AB1413" s="11" t="s">
        <v>44</v>
      </c>
      <c r="AC1413" s="9" t="s">
        <v>44</v>
      </c>
    </row>
    <row r="1414" spans="1:29">
      <c r="A1414" s="10">
        <v>1407</v>
      </c>
      <c r="B1414" s="10" t="s">
        <v>1744</v>
      </c>
      <c r="C1414" s="10" t="s">
        <v>1740</v>
      </c>
      <c r="D1414" s="10" t="s">
        <v>655</v>
      </c>
      <c r="E1414" s="10" t="s">
        <v>34</v>
      </c>
      <c r="F1414" s="10" t="s">
        <v>35</v>
      </c>
      <c r="G1414" s="8" t="s">
        <v>52</v>
      </c>
      <c r="H1414" s="8" t="s">
        <v>71</v>
      </c>
      <c r="I1414" s="8" t="s">
        <v>71</v>
      </c>
      <c r="J1414" s="10">
        <v>140</v>
      </c>
      <c r="K1414" s="10" t="s">
        <v>228</v>
      </c>
      <c r="L1414" s="10" t="s">
        <v>40</v>
      </c>
      <c r="M1414" s="12">
        <v>1</v>
      </c>
      <c r="N1414" s="15">
        <v>17000.0</v>
      </c>
      <c r="O1414" s="15"/>
      <c r="P1414" s="17">
        <f>IF(N1414&gt;0, O1414/N1414, 0)</f>
        <v>0</v>
      </c>
      <c r="Q1414" s="15">
        <f>N1414-O1414</f>
        <v>17000</v>
      </c>
      <c r="R1414" s="15">
        <f>M1414*N1414</f>
        <v>17000</v>
      </c>
      <c r="S1414" s="15">
        <f>M1414*O1414</f>
        <v>0</v>
      </c>
      <c r="T1414" s="15">
        <f>M1414*Q1414</f>
        <v>17000</v>
      </c>
      <c r="U1414" s="15"/>
      <c r="V1414" s="15">
        <f>M1414*U1414</f>
        <v>0</v>
      </c>
      <c r="W1414" s="15">
        <f>T1414-V1414</f>
        <v>17000</v>
      </c>
      <c r="X1414" s="17">
        <f>IF(T1414&gt;0, W1414/T1414, 0)</f>
        <v>1</v>
      </c>
      <c r="Y1414" s="8" t="s">
        <v>41</v>
      </c>
      <c r="Z1414" s="10" t="s">
        <v>42</v>
      </c>
      <c r="AA1414" s="10" t="s">
        <v>43</v>
      </c>
      <c r="AB1414" s="10" t="s">
        <v>44</v>
      </c>
      <c r="AC1414" s="8" t="s">
        <v>44</v>
      </c>
    </row>
    <row r="1415" spans="1:29">
      <c r="A1415" s="11">
        <v>1408</v>
      </c>
      <c r="B1415" s="11" t="s">
        <v>1745</v>
      </c>
      <c r="C1415" s="11" t="s">
        <v>1740</v>
      </c>
      <c r="D1415" s="11" t="s">
        <v>655</v>
      </c>
      <c r="E1415" s="11" t="s">
        <v>34</v>
      </c>
      <c r="F1415" s="11" t="s">
        <v>35</v>
      </c>
      <c r="G1415" s="9" t="s">
        <v>52</v>
      </c>
      <c r="H1415" s="9" t="s">
        <v>71</v>
      </c>
      <c r="I1415" s="9" t="s">
        <v>71</v>
      </c>
      <c r="J1415" s="11">
        <v>134</v>
      </c>
      <c r="K1415" s="11" t="s">
        <v>212</v>
      </c>
      <c r="L1415" s="11" t="s">
        <v>40</v>
      </c>
      <c r="M1415" s="13">
        <v>2</v>
      </c>
      <c r="N1415" s="16">
        <v>17000.0</v>
      </c>
      <c r="O1415" s="16"/>
      <c r="P1415" s="18">
        <f>IF(N1415&gt;0, O1415/N1415, 0)</f>
        <v>0</v>
      </c>
      <c r="Q1415" s="16">
        <f>N1415-O1415</f>
        <v>17000</v>
      </c>
      <c r="R1415" s="16">
        <f>M1415*N1415</f>
        <v>34000</v>
      </c>
      <c r="S1415" s="16">
        <f>M1415*O1415</f>
        <v>0</v>
      </c>
      <c r="T1415" s="16">
        <f>M1415*Q1415</f>
        <v>34000</v>
      </c>
      <c r="U1415" s="16"/>
      <c r="V1415" s="16">
        <f>M1415*U1415</f>
        <v>0</v>
      </c>
      <c r="W1415" s="16">
        <f>T1415-V1415</f>
        <v>34000</v>
      </c>
      <c r="X1415" s="18">
        <f>IF(T1415&gt;0, W1415/T1415, 0)</f>
        <v>1</v>
      </c>
      <c r="Y1415" s="9" t="s">
        <v>41</v>
      </c>
      <c r="Z1415" s="11" t="s">
        <v>42</v>
      </c>
      <c r="AA1415" s="11" t="s">
        <v>43</v>
      </c>
      <c r="AB1415" s="11" t="s">
        <v>44</v>
      </c>
      <c r="AC1415" s="9" t="s">
        <v>44</v>
      </c>
    </row>
    <row r="1416" spans="1:29">
      <c r="A1416" s="10">
        <v>1409</v>
      </c>
      <c r="B1416" s="10" t="s">
        <v>1746</v>
      </c>
      <c r="C1416" s="10" t="s">
        <v>1740</v>
      </c>
      <c r="D1416" s="10" t="s">
        <v>655</v>
      </c>
      <c r="E1416" s="10" t="s">
        <v>34</v>
      </c>
      <c r="F1416" s="10" t="s">
        <v>35</v>
      </c>
      <c r="G1416" s="8" t="s">
        <v>52</v>
      </c>
      <c r="H1416" s="8" t="s">
        <v>71</v>
      </c>
      <c r="I1416" s="8" t="s">
        <v>71</v>
      </c>
      <c r="J1416" s="10">
        <v>128</v>
      </c>
      <c r="K1416" s="10" t="s">
        <v>112</v>
      </c>
      <c r="L1416" s="10" t="s">
        <v>40</v>
      </c>
      <c r="M1416" s="12">
        <v>1</v>
      </c>
      <c r="N1416" s="15">
        <v>17000.0</v>
      </c>
      <c r="O1416" s="15"/>
      <c r="P1416" s="17">
        <f>IF(N1416&gt;0, O1416/N1416, 0)</f>
        <v>0</v>
      </c>
      <c r="Q1416" s="15">
        <f>N1416-O1416</f>
        <v>17000</v>
      </c>
      <c r="R1416" s="15">
        <f>M1416*N1416</f>
        <v>17000</v>
      </c>
      <c r="S1416" s="15">
        <f>M1416*O1416</f>
        <v>0</v>
      </c>
      <c r="T1416" s="15">
        <f>M1416*Q1416</f>
        <v>17000</v>
      </c>
      <c r="U1416" s="15"/>
      <c r="V1416" s="15">
        <f>M1416*U1416</f>
        <v>0</v>
      </c>
      <c r="W1416" s="15">
        <f>T1416-V1416</f>
        <v>17000</v>
      </c>
      <c r="X1416" s="17">
        <f>IF(T1416&gt;0, W1416/T1416, 0)</f>
        <v>1</v>
      </c>
      <c r="Y1416" s="8" t="s">
        <v>41</v>
      </c>
      <c r="Z1416" s="10" t="s">
        <v>42</v>
      </c>
      <c r="AA1416" s="10" t="s">
        <v>43</v>
      </c>
      <c r="AB1416" s="10" t="s">
        <v>44</v>
      </c>
      <c r="AC1416" s="8" t="s">
        <v>44</v>
      </c>
    </row>
    <row r="1417" spans="1:29">
      <c r="A1417" s="11">
        <v>1410</v>
      </c>
      <c r="B1417" s="11" t="s">
        <v>1747</v>
      </c>
      <c r="C1417" s="11" t="s">
        <v>1740</v>
      </c>
      <c r="D1417" s="11" t="s">
        <v>655</v>
      </c>
      <c r="E1417" s="11" t="s">
        <v>34</v>
      </c>
      <c r="F1417" s="11" t="s">
        <v>35</v>
      </c>
      <c r="G1417" s="9" t="s">
        <v>52</v>
      </c>
      <c r="H1417" s="9" t="s">
        <v>53</v>
      </c>
      <c r="I1417" s="9" t="s">
        <v>53</v>
      </c>
      <c r="J1417" s="11">
        <v>128</v>
      </c>
      <c r="K1417" s="11" t="s">
        <v>393</v>
      </c>
      <c r="L1417" s="11" t="s">
        <v>55</v>
      </c>
      <c r="M1417" s="13">
        <v>2</v>
      </c>
      <c r="N1417" s="16">
        <v>8000.0</v>
      </c>
      <c r="O1417" s="16"/>
      <c r="P1417" s="18">
        <f>IF(N1417&gt;0, O1417/N1417, 0)</f>
        <v>0</v>
      </c>
      <c r="Q1417" s="16">
        <f>N1417-O1417</f>
        <v>8000</v>
      </c>
      <c r="R1417" s="16">
        <f>M1417*N1417</f>
        <v>16000</v>
      </c>
      <c r="S1417" s="16">
        <f>M1417*O1417</f>
        <v>0</v>
      </c>
      <c r="T1417" s="16">
        <f>M1417*Q1417</f>
        <v>16000</v>
      </c>
      <c r="U1417" s="16"/>
      <c r="V1417" s="16">
        <f>M1417*U1417</f>
        <v>0</v>
      </c>
      <c r="W1417" s="16">
        <f>T1417-V1417</f>
        <v>16000</v>
      </c>
      <c r="X1417" s="18">
        <f>IF(T1417&gt;0, W1417/T1417, 0)</f>
        <v>1</v>
      </c>
      <c r="Y1417" s="9" t="s">
        <v>41</v>
      </c>
      <c r="Z1417" s="11" t="s">
        <v>42</v>
      </c>
      <c r="AA1417" s="11" t="s">
        <v>43</v>
      </c>
      <c r="AB1417" s="11" t="s">
        <v>44</v>
      </c>
      <c r="AC1417" s="9" t="s">
        <v>44</v>
      </c>
    </row>
    <row r="1418" spans="1:29">
      <c r="A1418" s="10">
        <v>1411</v>
      </c>
      <c r="B1418" s="10" t="s">
        <v>1748</v>
      </c>
      <c r="C1418" s="10" t="s">
        <v>1740</v>
      </c>
      <c r="D1418" s="10" t="s">
        <v>655</v>
      </c>
      <c r="E1418" s="10" t="s">
        <v>34</v>
      </c>
      <c r="F1418" s="10" t="s">
        <v>35</v>
      </c>
      <c r="G1418" s="8" t="s">
        <v>52</v>
      </c>
      <c r="H1418" s="8" t="s">
        <v>37</v>
      </c>
      <c r="I1418" s="8" t="s">
        <v>75</v>
      </c>
      <c r="J1418" s="10">
        <v>128</v>
      </c>
      <c r="K1418" s="10" t="s">
        <v>188</v>
      </c>
      <c r="L1418" s="10" t="s">
        <v>55</v>
      </c>
      <c r="M1418" s="12">
        <v>1</v>
      </c>
      <c r="N1418" s="15">
        <v>8000.0</v>
      </c>
      <c r="O1418" s="15"/>
      <c r="P1418" s="17">
        <f>IF(N1418&gt;0, O1418/N1418, 0)</f>
        <v>0</v>
      </c>
      <c r="Q1418" s="15">
        <f>N1418-O1418</f>
        <v>8000</v>
      </c>
      <c r="R1418" s="15">
        <f>M1418*N1418</f>
        <v>8000</v>
      </c>
      <c r="S1418" s="15">
        <f>M1418*O1418</f>
        <v>0</v>
      </c>
      <c r="T1418" s="15">
        <f>M1418*Q1418</f>
        <v>8000</v>
      </c>
      <c r="U1418" s="15"/>
      <c r="V1418" s="15">
        <f>M1418*U1418</f>
        <v>0</v>
      </c>
      <c r="W1418" s="15">
        <f>T1418-V1418</f>
        <v>8000</v>
      </c>
      <c r="X1418" s="17">
        <f>IF(T1418&gt;0, W1418/T1418, 0)</f>
        <v>1</v>
      </c>
      <c r="Y1418" s="8" t="s">
        <v>41</v>
      </c>
      <c r="Z1418" s="10" t="s">
        <v>42</v>
      </c>
      <c r="AA1418" s="10" t="s">
        <v>43</v>
      </c>
      <c r="AB1418" s="10" t="s">
        <v>44</v>
      </c>
      <c r="AC1418" s="8" t="s">
        <v>44</v>
      </c>
    </row>
    <row r="1419" spans="1:29">
      <c r="A1419" s="11">
        <v>1412</v>
      </c>
      <c r="B1419" s="11" t="s">
        <v>1749</v>
      </c>
      <c r="C1419" s="11" t="s">
        <v>1740</v>
      </c>
      <c r="D1419" s="11" t="s">
        <v>655</v>
      </c>
      <c r="E1419" s="11" t="s">
        <v>34</v>
      </c>
      <c r="F1419" s="11" t="s">
        <v>35</v>
      </c>
      <c r="G1419" s="9" t="s">
        <v>52</v>
      </c>
      <c r="H1419" s="9" t="s">
        <v>53</v>
      </c>
      <c r="I1419" s="9" t="s">
        <v>53</v>
      </c>
      <c r="J1419" s="11">
        <v>134</v>
      </c>
      <c r="K1419" s="11" t="s">
        <v>178</v>
      </c>
      <c r="L1419" s="11" t="s">
        <v>55</v>
      </c>
      <c r="M1419" s="13">
        <v>2</v>
      </c>
      <c r="N1419" s="16">
        <v>8000.0</v>
      </c>
      <c r="O1419" s="16"/>
      <c r="P1419" s="18">
        <f>IF(N1419&gt;0, O1419/N1419, 0)</f>
        <v>0</v>
      </c>
      <c r="Q1419" s="16">
        <f>N1419-O1419</f>
        <v>8000</v>
      </c>
      <c r="R1419" s="16">
        <f>M1419*N1419</f>
        <v>16000</v>
      </c>
      <c r="S1419" s="16">
        <f>M1419*O1419</f>
        <v>0</v>
      </c>
      <c r="T1419" s="16">
        <f>M1419*Q1419</f>
        <v>16000</v>
      </c>
      <c r="U1419" s="16"/>
      <c r="V1419" s="16">
        <f>M1419*U1419</f>
        <v>0</v>
      </c>
      <c r="W1419" s="16">
        <f>T1419-V1419</f>
        <v>16000</v>
      </c>
      <c r="X1419" s="18">
        <f>IF(T1419&gt;0, W1419/T1419, 0)</f>
        <v>1</v>
      </c>
      <c r="Y1419" s="9" t="s">
        <v>41</v>
      </c>
      <c r="Z1419" s="11" t="s">
        <v>42</v>
      </c>
      <c r="AA1419" s="11" t="s">
        <v>43</v>
      </c>
      <c r="AB1419" s="11" t="s">
        <v>44</v>
      </c>
      <c r="AC1419" s="9" t="s">
        <v>44</v>
      </c>
    </row>
    <row r="1420" spans="1:29">
      <c r="A1420" s="10">
        <v>1413</v>
      </c>
      <c r="B1420" s="10" t="s">
        <v>1750</v>
      </c>
      <c r="C1420" s="10" t="s">
        <v>1740</v>
      </c>
      <c r="D1420" s="10" t="s">
        <v>655</v>
      </c>
      <c r="E1420" s="10" t="s">
        <v>34</v>
      </c>
      <c r="F1420" s="10" t="s">
        <v>35</v>
      </c>
      <c r="G1420" s="8" t="s">
        <v>52</v>
      </c>
      <c r="H1420" s="8" t="s">
        <v>53</v>
      </c>
      <c r="I1420" s="8" t="s">
        <v>53</v>
      </c>
      <c r="J1420" s="10">
        <v>134</v>
      </c>
      <c r="K1420" s="10" t="s">
        <v>178</v>
      </c>
      <c r="L1420" s="10" t="s">
        <v>55</v>
      </c>
      <c r="M1420" s="12">
        <v>2</v>
      </c>
      <c r="N1420" s="15">
        <v>8900.0</v>
      </c>
      <c r="O1420" s="15"/>
      <c r="P1420" s="17">
        <f>IF(N1420&gt;0, O1420/N1420, 0)</f>
        <v>0</v>
      </c>
      <c r="Q1420" s="15">
        <f>N1420-O1420</f>
        <v>8900</v>
      </c>
      <c r="R1420" s="15">
        <f>M1420*N1420</f>
        <v>17800</v>
      </c>
      <c r="S1420" s="15">
        <f>M1420*O1420</f>
        <v>0</v>
      </c>
      <c r="T1420" s="15">
        <f>M1420*Q1420</f>
        <v>17800</v>
      </c>
      <c r="U1420" s="15"/>
      <c r="V1420" s="15">
        <f>M1420*U1420</f>
        <v>0</v>
      </c>
      <c r="W1420" s="15">
        <f>T1420-V1420</f>
        <v>17800</v>
      </c>
      <c r="X1420" s="17">
        <f>IF(T1420&gt;0, W1420/T1420, 0)</f>
        <v>1</v>
      </c>
      <c r="Y1420" s="8" t="s">
        <v>41</v>
      </c>
      <c r="Z1420" s="10" t="s">
        <v>42</v>
      </c>
      <c r="AA1420" s="10" t="s">
        <v>43</v>
      </c>
      <c r="AB1420" s="10" t="s">
        <v>44</v>
      </c>
      <c r="AC1420" s="8" t="s">
        <v>44</v>
      </c>
    </row>
    <row r="1421" spans="1:29">
      <c r="A1421" s="11">
        <v>1414</v>
      </c>
      <c r="B1421" s="11" t="s">
        <v>1751</v>
      </c>
      <c r="C1421" s="11" t="s">
        <v>1740</v>
      </c>
      <c r="D1421" s="11" t="s">
        <v>655</v>
      </c>
      <c r="E1421" s="11" t="s">
        <v>34</v>
      </c>
      <c r="F1421" s="11" t="s">
        <v>35</v>
      </c>
      <c r="G1421" s="9" t="s">
        <v>52</v>
      </c>
      <c r="H1421" s="9" t="s">
        <v>37</v>
      </c>
      <c r="I1421" s="9" t="s">
        <v>38</v>
      </c>
      <c r="J1421" s="11">
        <v>134</v>
      </c>
      <c r="K1421" s="11" t="s">
        <v>180</v>
      </c>
      <c r="L1421" s="11" t="s">
        <v>55</v>
      </c>
      <c r="M1421" s="13">
        <v>3</v>
      </c>
      <c r="N1421" s="16">
        <v>7000.0</v>
      </c>
      <c r="O1421" s="16"/>
      <c r="P1421" s="18">
        <f>IF(N1421&gt;0, O1421/N1421, 0)</f>
        <v>0</v>
      </c>
      <c r="Q1421" s="16">
        <f>N1421-O1421</f>
        <v>7000</v>
      </c>
      <c r="R1421" s="16">
        <f>M1421*N1421</f>
        <v>21000</v>
      </c>
      <c r="S1421" s="16">
        <f>M1421*O1421</f>
        <v>0</v>
      </c>
      <c r="T1421" s="16">
        <f>M1421*Q1421</f>
        <v>21000</v>
      </c>
      <c r="U1421" s="16"/>
      <c r="V1421" s="16">
        <f>M1421*U1421</f>
        <v>0</v>
      </c>
      <c r="W1421" s="16">
        <f>T1421-V1421</f>
        <v>21000</v>
      </c>
      <c r="X1421" s="18">
        <f>IF(T1421&gt;0, W1421/T1421, 0)</f>
        <v>1</v>
      </c>
      <c r="Y1421" s="9" t="s">
        <v>41</v>
      </c>
      <c r="Z1421" s="11" t="s">
        <v>42</v>
      </c>
      <c r="AA1421" s="11" t="s">
        <v>43</v>
      </c>
      <c r="AB1421" s="11" t="s">
        <v>44</v>
      </c>
      <c r="AC1421" s="9" t="s">
        <v>44</v>
      </c>
    </row>
    <row r="1422" spans="1:29">
      <c r="A1422" s="10">
        <v>1415</v>
      </c>
      <c r="B1422" s="10" t="s">
        <v>1752</v>
      </c>
      <c r="C1422" s="10" t="s">
        <v>1740</v>
      </c>
      <c r="D1422" s="10" t="s">
        <v>655</v>
      </c>
      <c r="E1422" s="10" t="s">
        <v>70</v>
      </c>
      <c r="F1422" s="10" t="s">
        <v>35</v>
      </c>
      <c r="G1422" s="8" t="s">
        <v>52</v>
      </c>
      <c r="H1422" s="8" t="s">
        <v>58</v>
      </c>
      <c r="I1422" s="8" t="s">
        <v>58</v>
      </c>
      <c r="J1422" s="10">
        <v>128</v>
      </c>
      <c r="K1422" s="10" t="s">
        <v>580</v>
      </c>
      <c r="L1422" s="10" t="s">
        <v>40</v>
      </c>
      <c r="M1422" s="12">
        <v>1</v>
      </c>
      <c r="N1422" s="15">
        <v>8000.0</v>
      </c>
      <c r="O1422" s="15"/>
      <c r="P1422" s="17">
        <f>IF(N1422&gt;0, O1422/N1422, 0)</f>
        <v>0</v>
      </c>
      <c r="Q1422" s="15">
        <f>N1422-O1422</f>
        <v>8000</v>
      </c>
      <c r="R1422" s="15">
        <f>M1422*N1422</f>
        <v>8000</v>
      </c>
      <c r="S1422" s="15">
        <f>M1422*O1422</f>
        <v>0</v>
      </c>
      <c r="T1422" s="15">
        <f>M1422*Q1422</f>
        <v>8000</v>
      </c>
      <c r="U1422" s="15"/>
      <c r="V1422" s="15">
        <f>M1422*U1422</f>
        <v>0</v>
      </c>
      <c r="W1422" s="15">
        <f>T1422-V1422</f>
        <v>8000</v>
      </c>
      <c r="X1422" s="17">
        <f>IF(T1422&gt;0, W1422/T1422, 0)</f>
        <v>1</v>
      </c>
      <c r="Y1422" s="8" t="s">
        <v>41</v>
      </c>
      <c r="Z1422" s="10" t="s">
        <v>42</v>
      </c>
      <c r="AA1422" s="10" t="s">
        <v>73</v>
      </c>
      <c r="AB1422" s="10" t="s">
        <v>44</v>
      </c>
      <c r="AC1422" s="8" t="s">
        <v>44</v>
      </c>
    </row>
    <row r="1423" spans="1:29">
      <c r="A1423" s="11">
        <v>1416</v>
      </c>
      <c r="B1423" s="11" t="s">
        <v>1753</v>
      </c>
      <c r="C1423" s="11" t="s">
        <v>1740</v>
      </c>
      <c r="D1423" s="11" t="s">
        <v>655</v>
      </c>
      <c r="E1423" s="11" t="s">
        <v>34</v>
      </c>
      <c r="F1423" s="11" t="s">
        <v>35</v>
      </c>
      <c r="G1423" s="9" t="s">
        <v>52</v>
      </c>
      <c r="H1423" s="9" t="s">
        <v>71</v>
      </c>
      <c r="I1423" s="9" t="s">
        <v>71</v>
      </c>
      <c r="J1423" s="11">
        <v>134</v>
      </c>
      <c r="K1423" s="11" t="s">
        <v>212</v>
      </c>
      <c r="L1423" s="11" t="s">
        <v>40</v>
      </c>
      <c r="M1423" s="13">
        <v>1</v>
      </c>
      <c r="N1423" s="16">
        <v>17000.0</v>
      </c>
      <c r="O1423" s="16"/>
      <c r="P1423" s="18">
        <f>IF(N1423&gt;0, O1423/N1423, 0)</f>
        <v>0</v>
      </c>
      <c r="Q1423" s="16">
        <f>N1423-O1423</f>
        <v>17000</v>
      </c>
      <c r="R1423" s="16">
        <f>M1423*N1423</f>
        <v>17000</v>
      </c>
      <c r="S1423" s="16">
        <f>M1423*O1423</f>
        <v>0</v>
      </c>
      <c r="T1423" s="16">
        <f>M1423*Q1423</f>
        <v>17000</v>
      </c>
      <c r="U1423" s="16"/>
      <c r="V1423" s="16">
        <f>M1423*U1423</f>
        <v>0</v>
      </c>
      <c r="W1423" s="16">
        <f>T1423-V1423</f>
        <v>17000</v>
      </c>
      <c r="X1423" s="18">
        <f>IF(T1423&gt;0, W1423/T1423, 0)</f>
        <v>1</v>
      </c>
      <c r="Y1423" s="9" t="s">
        <v>41</v>
      </c>
      <c r="Z1423" s="11" t="s">
        <v>42</v>
      </c>
      <c r="AA1423" s="11" t="s">
        <v>43</v>
      </c>
      <c r="AB1423" s="11" t="s">
        <v>44</v>
      </c>
      <c r="AC1423" s="9" t="s">
        <v>44</v>
      </c>
    </row>
    <row r="1424" spans="1:29">
      <c r="A1424" s="10">
        <v>1417</v>
      </c>
      <c r="B1424" s="10" t="s">
        <v>1754</v>
      </c>
      <c r="C1424" s="10" t="s">
        <v>1740</v>
      </c>
      <c r="D1424" s="10" t="s">
        <v>655</v>
      </c>
      <c r="E1424" s="10" t="s">
        <v>34</v>
      </c>
      <c r="F1424" s="10" t="s">
        <v>35</v>
      </c>
      <c r="G1424" s="8" t="s">
        <v>52</v>
      </c>
      <c r="H1424" s="8" t="s">
        <v>47</v>
      </c>
      <c r="I1424" s="8" t="s">
        <v>48</v>
      </c>
      <c r="J1424" s="10">
        <v>134</v>
      </c>
      <c r="K1424" s="10" t="s">
        <v>379</v>
      </c>
      <c r="L1424" s="10" t="s">
        <v>40</v>
      </c>
      <c r="M1424" s="12">
        <v>1</v>
      </c>
      <c r="N1424" s="15">
        <v>18000.0</v>
      </c>
      <c r="O1424" s="15"/>
      <c r="P1424" s="17">
        <f>IF(N1424&gt;0, O1424/N1424, 0)</f>
        <v>0</v>
      </c>
      <c r="Q1424" s="15">
        <f>N1424-O1424</f>
        <v>18000</v>
      </c>
      <c r="R1424" s="15">
        <f>M1424*N1424</f>
        <v>18000</v>
      </c>
      <c r="S1424" s="15">
        <f>M1424*O1424</f>
        <v>0</v>
      </c>
      <c r="T1424" s="15">
        <f>M1424*Q1424</f>
        <v>18000</v>
      </c>
      <c r="U1424" s="15"/>
      <c r="V1424" s="15">
        <f>M1424*U1424</f>
        <v>0</v>
      </c>
      <c r="W1424" s="15">
        <f>T1424-V1424</f>
        <v>18000</v>
      </c>
      <c r="X1424" s="17">
        <f>IF(T1424&gt;0, W1424/T1424, 0)</f>
        <v>1</v>
      </c>
      <c r="Y1424" s="8" t="s">
        <v>41</v>
      </c>
      <c r="Z1424" s="10" t="s">
        <v>42</v>
      </c>
      <c r="AA1424" s="10" t="s">
        <v>43</v>
      </c>
      <c r="AB1424" s="10" t="s">
        <v>44</v>
      </c>
      <c r="AC1424" s="8" t="s">
        <v>44</v>
      </c>
    </row>
    <row r="1425" spans="1:29">
      <c r="A1425" s="11">
        <v>1418</v>
      </c>
      <c r="B1425" s="11" t="s">
        <v>1755</v>
      </c>
      <c r="C1425" s="11" t="s">
        <v>1740</v>
      </c>
      <c r="D1425" s="11" t="s">
        <v>655</v>
      </c>
      <c r="E1425" s="11" t="s">
        <v>34</v>
      </c>
      <c r="F1425" s="11" t="s">
        <v>35</v>
      </c>
      <c r="G1425" s="9" t="s">
        <v>52</v>
      </c>
      <c r="H1425" s="9" t="s">
        <v>53</v>
      </c>
      <c r="I1425" s="9" t="s">
        <v>53</v>
      </c>
      <c r="J1425" s="11">
        <v>134</v>
      </c>
      <c r="K1425" s="11" t="s">
        <v>178</v>
      </c>
      <c r="L1425" s="11" t="s">
        <v>55</v>
      </c>
      <c r="M1425" s="13">
        <v>1</v>
      </c>
      <c r="N1425" s="16">
        <v>9000.0</v>
      </c>
      <c r="O1425" s="16"/>
      <c r="P1425" s="18">
        <f>IF(N1425&gt;0, O1425/N1425, 0)</f>
        <v>0</v>
      </c>
      <c r="Q1425" s="16">
        <f>N1425-O1425</f>
        <v>9000</v>
      </c>
      <c r="R1425" s="16">
        <f>M1425*N1425</f>
        <v>9000</v>
      </c>
      <c r="S1425" s="16">
        <f>M1425*O1425</f>
        <v>0</v>
      </c>
      <c r="T1425" s="16">
        <f>M1425*Q1425</f>
        <v>9000</v>
      </c>
      <c r="U1425" s="16"/>
      <c r="V1425" s="16">
        <f>M1425*U1425</f>
        <v>0</v>
      </c>
      <c r="W1425" s="16">
        <f>T1425-V1425</f>
        <v>9000</v>
      </c>
      <c r="X1425" s="18">
        <f>IF(T1425&gt;0, W1425/T1425, 0)</f>
        <v>1</v>
      </c>
      <c r="Y1425" s="9" t="s">
        <v>41</v>
      </c>
      <c r="Z1425" s="11" t="s">
        <v>42</v>
      </c>
      <c r="AA1425" s="11" t="s">
        <v>43</v>
      </c>
      <c r="AB1425" s="11" t="s">
        <v>44</v>
      </c>
      <c r="AC1425" s="9" t="s">
        <v>44</v>
      </c>
    </row>
    <row r="1426" spans="1:29">
      <c r="A1426" s="10">
        <v>1419</v>
      </c>
      <c r="B1426" s="10" t="s">
        <v>1756</v>
      </c>
      <c r="C1426" s="10" t="s">
        <v>1740</v>
      </c>
      <c r="D1426" s="10" t="s">
        <v>655</v>
      </c>
      <c r="E1426" s="10" t="s">
        <v>34</v>
      </c>
      <c r="F1426" s="10" t="s">
        <v>35</v>
      </c>
      <c r="G1426" s="8" t="s">
        <v>52</v>
      </c>
      <c r="H1426" s="8" t="s">
        <v>37</v>
      </c>
      <c r="I1426" s="8" t="s">
        <v>75</v>
      </c>
      <c r="J1426" s="10">
        <v>140</v>
      </c>
      <c r="K1426" s="10" t="s">
        <v>573</v>
      </c>
      <c r="L1426" s="10" t="s">
        <v>55</v>
      </c>
      <c r="M1426" s="12">
        <v>2</v>
      </c>
      <c r="N1426" s="15">
        <v>8000.0</v>
      </c>
      <c r="O1426" s="15"/>
      <c r="P1426" s="17">
        <f>IF(N1426&gt;0, O1426/N1426, 0)</f>
        <v>0</v>
      </c>
      <c r="Q1426" s="15">
        <f>N1426-O1426</f>
        <v>8000</v>
      </c>
      <c r="R1426" s="15">
        <f>M1426*N1426</f>
        <v>16000</v>
      </c>
      <c r="S1426" s="15">
        <f>M1426*O1426</f>
        <v>0</v>
      </c>
      <c r="T1426" s="15">
        <f>M1426*Q1426</f>
        <v>16000</v>
      </c>
      <c r="U1426" s="15"/>
      <c r="V1426" s="15">
        <f>M1426*U1426</f>
        <v>0</v>
      </c>
      <c r="W1426" s="15">
        <f>T1426-V1426</f>
        <v>16000</v>
      </c>
      <c r="X1426" s="17">
        <f>IF(T1426&gt;0, W1426/T1426, 0)</f>
        <v>1</v>
      </c>
      <c r="Y1426" s="8" t="s">
        <v>41</v>
      </c>
      <c r="Z1426" s="10" t="s">
        <v>42</v>
      </c>
      <c r="AA1426" s="10" t="s">
        <v>43</v>
      </c>
      <c r="AB1426" s="10" t="s">
        <v>44</v>
      </c>
      <c r="AC1426" s="8" t="s">
        <v>44</v>
      </c>
    </row>
    <row r="1427" spans="1:29">
      <c r="A1427" s="11">
        <v>1420</v>
      </c>
      <c r="B1427" s="11" t="s">
        <v>1757</v>
      </c>
      <c r="C1427" s="11" t="s">
        <v>1740</v>
      </c>
      <c r="D1427" s="11" t="s">
        <v>655</v>
      </c>
      <c r="E1427" s="11" t="s">
        <v>34</v>
      </c>
      <c r="F1427" s="11" t="s">
        <v>35</v>
      </c>
      <c r="G1427" s="9" t="s">
        <v>52</v>
      </c>
      <c r="H1427" s="9" t="s">
        <v>37</v>
      </c>
      <c r="I1427" s="9" t="s">
        <v>38</v>
      </c>
      <c r="J1427" s="11">
        <v>140</v>
      </c>
      <c r="K1427" s="11" t="s">
        <v>226</v>
      </c>
      <c r="L1427" s="11" t="s">
        <v>55</v>
      </c>
      <c r="M1427" s="13">
        <v>2</v>
      </c>
      <c r="N1427" s="16">
        <v>7000.0</v>
      </c>
      <c r="O1427" s="16"/>
      <c r="P1427" s="18">
        <f>IF(N1427&gt;0, O1427/N1427, 0)</f>
        <v>0</v>
      </c>
      <c r="Q1427" s="16">
        <f>N1427-O1427</f>
        <v>7000</v>
      </c>
      <c r="R1427" s="16">
        <f>M1427*N1427</f>
        <v>14000</v>
      </c>
      <c r="S1427" s="16">
        <f>M1427*O1427</f>
        <v>0</v>
      </c>
      <c r="T1427" s="16">
        <f>M1427*Q1427</f>
        <v>14000</v>
      </c>
      <c r="U1427" s="16"/>
      <c r="V1427" s="16">
        <f>M1427*U1427</f>
        <v>0</v>
      </c>
      <c r="W1427" s="16">
        <f>T1427-V1427</f>
        <v>14000</v>
      </c>
      <c r="X1427" s="18">
        <f>IF(T1427&gt;0, W1427/T1427, 0)</f>
        <v>1</v>
      </c>
      <c r="Y1427" s="9" t="s">
        <v>41</v>
      </c>
      <c r="Z1427" s="11" t="s">
        <v>42</v>
      </c>
      <c r="AA1427" s="11" t="s">
        <v>43</v>
      </c>
      <c r="AB1427" s="11" t="s">
        <v>44</v>
      </c>
      <c r="AC1427" s="9" t="s">
        <v>44</v>
      </c>
    </row>
    <row r="1428" spans="1:29">
      <c r="A1428" s="10">
        <v>1421</v>
      </c>
      <c r="B1428" s="10" t="s">
        <v>1758</v>
      </c>
      <c r="C1428" s="10" t="s">
        <v>1740</v>
      </c>
      <c r="D1428" s="10" t="s">
        <v>655</v>
      </c>
      <c r="E1428" s="10" t="s">
        <v>34</v>
      </c>
      <c r="F1428" s="10" t="s">
        <v>35</v>
      </c>
      <c r="G1428" s="8" t="s">
        <v>52</v>
      </c>
      <c r="H1428" s="8" t="s">
        <v>71</v>
      </c>
      <c r="I1428" s="8" t="s">
        <v>71</v>
      </c>
      <c r="J1428" s="10">
        <v>140</v>
      </c>
      <c r="K1428" s="10" t="s">
        <v>228</v>
      </c>
      <c r="L1428" s="10" t="s">
        <v>40</v>
      </c>
      <c r="M1428" s="12">
        <v>1</v>
      </c>
      <c r="N1428" s="15">
        <v>17000.0</v>
      </c>
      <c r="O1428" s="15"/>
      <c r="P1428" s="17">
        <f>IF(N1428&gt;0, O1428/N1428, 0)</f>
        <v>0</v>
      </c>
      <c r="Q1428" s="15">
        <f>N1428-O1428</f>
        <v>17000</v>
      </c>
      <c r="R1428" s="15">
        <f>M1428*N1428</f>
        <v>17000</v>
      </c>
      <c r="S1428" s="15">
        <f>M1428*O1428</f>
        <v>0</v>
      </c>
      <c r="T1428" s="15">
        <f>M1428*Q1428</f>
        <v>17000</v>
      </c>
      <c r="U1428" s="15"/>
      <c r="V1428" s="15">
        <f>M1428*U1428</f>
        <v>0</v>
      </c>
      <c r="W1428" s="15">
        <f>T1428-V1428</f>
        <v>17000</v>
      </c>
      <c r="X1428" s="17">
        <f>IF(T1428&gt;0, W1428/T1428, 0)</f>
        <v>1</v>
      </c>
      <c r="Y1428" s="8" t="s">
        <v>41</v>
      </c>
      <c r="Z1428" s="10" t="s">
        <v>42</v>
      </c>
      <c r="AA1428" s="10" t="s">
        <v>43</v>
      </c>
      <c r="AB1428" s="10" t="s">
        <v>44</v>
      </c>
      <c r="AC1428" s="8" t="s">
        <v>44</v>
      </c>
    </row>
    <row r="1429" spans="1:29">
      <c r="A1429" s="11">
        <v>1422</v>
      </c>
      <c r="B1429" s="11" t="s">
        <v>1759</v>
      </c>
      <c r="C1429" s="11" t="s">
        <v>1740</v>
      </c>
      <c r="D1429" s="11" t="s">
        <v>655</v>
      </c>
      <c r="E1429" s="11" t="s">
        <v>34</v>
      </c>
      <c r="F1429" s="11" t="s">
        <v>35</v>
      </c>
      <c r="G1429" s="9" t="s">
        <v>52</v>
      </c>
      <c r="H1429" s="9" t="s">
        <v>53</v>
      </c>
      <c r="I1429" s="9" t="s">
        <v>53</v>
      </c>
      <c r="J1429" s="11">
        <v>140</v>
      </c>
      <c r="K1429" s="11" t="s">
        <v>282</v>
      </c>
      <c r="L1429" s="11" t="s">
        <v>55</v>
      </c>
      <c r="M1429" s="13">
        <v>2</v>
      </c>
      <c r="N1429" s="16">
        <v>8000.0</v>
      </c>
      <c r="O1429" s="16"/>
      <c r="P1429" s="18">
        <f>IF(N1429&gt;0, O1429/N1429, 0)</f>
        <v>0</v>
      </c>
      <c r="Q1429" s="16">
        <f>N1429-O1429</f>
        <v>8000</v>
      </c>
      <c r="R1429" s="16">
        <f>M1429*N1429</f>
        <v>16000</v>
      </c>
      <c r="S1429" s="16">
        <f>M1429*O1429</f>
        <v>0</v>
      </c>
      <c r="T1429" s="16">
        <f>M1429*Q1429</f>
        <v>16000</v>
      </c>
      <c r="U1429" s="16"/>
      <c r="V1429" s="16">
        <f>M1429*U1429</f>
        <v>0</v>
      </c>
      <c r="W1429" s="16">
        <f>T1429-V1429</f>
        <v>16000</v>
      </c>
      <c r="X1429" s="18">
        <f>IF(T1429&gt;0, W1429/T1429, 0)</f>
        <v>1</v>
      </c>
      <c r="Y1429" s="9" t="s">
        <v>41</v>
      </c>
      <c r="Z1429" s="11" t="s">
        <v>42</v>
      </c>
      <c r="AA1429" s="11" t="s">
        <v>43</v>
      </c>
      <c r="AB1429" s="11" t="s">
        <v>44</v>
      </c>
      <c r="AC1429" s="9" t="s">
        <v>44</v>
      </c>
    </row>
    <row r="1430" spans="1:29">
      <c r="A1430" s="10">
        <v>1423</v>
      </c>
      <c r="B1430" s="10" t="s">
        <v>1760</v>
      </c>
      <c r="C1430" s="10" t="s">
        <v>1740</v>
      </c>
      <c r="D1430" s="10" t="s">
        <v>655</v>
      </c>
      <c r="E1430" s="10" t="s">
        <v>34</v>
      </c>
      <c r="F1430" s="10" t="s">
        <v>35</v>
      </c>
      <c r="G1430" s="8" t="s">
        <v>52</v>
      </c>
      <c r="H1430" s="8" t="s">
        <v>47</v>
      </c>
      <c r="I1430" s="8" t="s">
        <v>48</v>
      </c>
      <c r="J1430" s="10">
        <v>140</v>
      </c>
      <c r="K1430" s="10" t="s">
        <v>417</v>
      </c>
      <c r="L1430" s="10" t="s">
        <v>40</v>
      </c>
      <c r="M1430" s="12">
        <v>1</v>
      </c>
      <c r="N1430" s="15">
        <v>18000.0</v>
      </c>
      <c r="O1430" s="15"/>
      <c r="P1430" s="17">
        <f>IF(N1430&gt;0, O1430/N1430, 0)</f>
        <v>0</v>
      </c>
      <c r="Q1430" s="15">
        <f>N1430-O1430</f>
        <v>18000</v>
      </c>
      <c r="R1430" s="15">
        <f>M1430*N1430</f>
        <v>18000</v>
      </c>
      <c r="S1430" s="15">
        <f>M1430*O1430</f>
        <v>0</v>
      </c>
      <c r="T1430" s="15">
        <f>M1430*Q1430</f>
        <v>18000</v>
      </c>
      <c r="U1430" s="15"/>
      <c r="V1430" s="15">
        <f>M1430*U1430</f>
        <v>0</v>
      </c>
      <c r="W1430" s="15">
        <f>T1430-V1430</f>
        <v>18000</v>
      </c>
      <c r="X1430" s="17">
        <f>IF(T1430&gt;0, W1430/T1430, 0)</f>
        <v>1</v>
      </c>
      <c r="Y1430" s="8" t="s">
        <v>41</v>
      </c>
      <c r="Z1430" s="10" t="s">
        <v>42</v>
      </c>
      <c r="AA1430" s="10" t="s">
        <v>43</v>
      </c>
      <c r="AB1430" s="10" t="s">
        <v>44</v>
      </c>
      <c r="AC1430" s="8" t="s">
        <v>44</v>
      </c>
    </row>
    <row r="1431" spans="1:29">
      <c r="A1431" s="11">
        <v>1424</v>
      </c>
      <c r="B1431" s="11" t="s">
        <v>1761</v>
      </c>
      <c r="C1431" s="11" t="s">
        <v>1740</v>
      </c>
      <c r="D1431" s="11" t="s">
        <v>655</v>
      </c>
      <c r="E1431" s="11" t="s">
        <v>34</v>
      </c>
      <c r="F1431" s="11" t="s">
        <v>35</v>
      </c>
      <c r="G1431" s="9" t="s">
        <v>52</v>
      </c>
      <c r="H1431" s="9" t="s">
        <v>58</v>
      </c>
      <c r="I1431" s="9" t="s">
        <v>58</v>
      </c>
      <c r="J1431" s="11">
        <v>140</v>
      </c>
      <c r="K1431" s="11" t="s">
        <v>600</v>
      </c>
      <c r="L1431" s="11" t="s">
        <v>40</v>
      </c>
      <c r="M1431" s="13">
        <v>1</v>
      </c>
      <c r="N1431" s="16">
        <v>7000.0</v>
      </c>
      <c r="O1431" s="16"/>
      <c r="P1431" s="18">
        <f>IF(N1431&gt;0, O1431/N1431, 0)</f>
        <v>0</v>
      </c>
      <c r="Q1431" s="16">
        <f>N1431-O1431</f>
        <v>7000</v>
      </c>
      <c r="R1431" s="16">
        <f>M1431*N1431</f>
        <v>7000</v>
      </c>
      <c r="S1431" s="16">
        <f>M1431*O1431</f>
        <v>0</v>
      </c>
      <c r="T1431" s="16">
        <f>M1431*Q1431</f>
        <v>7000</v>
      </c>
      <c r="U1431" s="16"/>
      <c r="V1431" s="16">
        <f>M1431*U1431</f>
        <v>0</v>
      </c>
      <c r="W1431" s="16">
        <f>T1431-V1431</f>
        <v>7000</v>
      </c>
      <c r="X1431" s="18">
        <f>IF(T1431&gt;0, W1431/T1431, 0)</f>
        <v>1</v>
      </c>
      <c r="Y1431" s="9" t="s">
        <v>41</v>
      </c>
      <c r="Z1431" s="11" t="s">
        <v>42</v>
      </c>
      <c r="AA1431" s="11" t="s">
        <v>43</v>
      </c>
      <c r="AB1431" s="11" t="s">
        <v>44</v>
      </c>
      <c r="AC1431" s="9" t="s">
        <v>44</v>
      </c>
    </row>
    <row r="1432" spans="1:29">
      <c r="A1432" s="10">
        <v>1425</v>
      </c>
      <c r="B1432" s="10" t="s">
        <v>1762</v>
      </c>
      <c r="C1432" s="10" t="s">
        <v>1740</v>
      </c>
      <c r="D1432" s="10" t="s">
        <v>655</v>
      </c>
      <c r="E1432" s="10" t="s">
        <v>34</v>
      </c>
      <c r="F1432" s="10" t="s">
        <v>35</v>
      </c>
      <c r="G1432" s="8" t="s">
        <v>52</v>
      </c>
      <c r="H1432" s="8" t="s">
        <v>37</v>
      </c>
      <c r="I1432" s="8" t="s">
        <v>75</v>
      </c>
      <c r="J1432" s="10">
        <v>140</v>
      </c>
      <c r="K1432" s="10" t="s">
        <v>573</v>
      </c>
      <c r="L1432" s="10" t="s">
        <v>55</v>
      </c>
      <c r="M1432" s="12">
        <v>1</v>
      </c>
      <c r="N1432" s="15">
        <v>8000.0</v>
      </c>
      <c r="O1432" s="15"/>
      <c r="P1432" s="17">
        <f>IF(N1432&gt;0, O1432/N1432, 0)</f>
        <v>0</v>
      </c>
      <c r="Q1432" s="15">
        <f>N1432-O1432</f>
        <v>8000</v>
      </c>
      <c r="R1432" s="15">
        <f>M1432*N1432</f>
        <v>8000</v>
      </c>
      <c r="S1432" s="15">
        <f>M1432*O1432</f>
        <v>0</v>
      </c>
      <c r="T1432" s="15">
        <f>M1432*Q1432</f>
        <v>8000</v>
      </c>
      <c r="U1432" s="15"/>
      <c r="V1432" s="15">
        <f>M1432*U1432</f>
        <v>0</v>
      </c>
      <c r="W1432" s="15">
        <f>T1432-V1432</f>
        <v>8000</v>
      </c>
      <c r="X1432" s="17">
        <f>IF(T1432&gt;0, W1432/T1432, 0)</f>
        <v>1</v>
      </c>
      <c r="Y1432" s="8" t="s">
        <v>41</v>
      </c>
      <c r="Z1432" s="10" t="s">
        <v>42</v>
      </c>
      <c r="AA1432" s="10" t="s">
        <v>43</v>
      </c>
      <c r="AB1432" s="10" t="s">
        <v>44</v>
      </c>
      <c r="AC1432" s="8" t="s">
        <v>44</v>
      </c>
    </row>
    <row r="1433" spans="1:29">
      <c r="A1433" s="11">
        <v>1426</v>
      </c>
      <c r="B1433" s="11" t="s">
        <v>1763</v>
      </c>
      <c r="C1433" s="11" t="s">
        <v>1740</v>
      </c>
      <c r="D1433" s="11" t="s">
        <v>655</v>
      </c>
      <c r="E1433" s="11" t="s">
        <v>34</v>
      </c>
      <c r="F1433" s="11" t="s">
        <v>35</v>
      </c>
      <c r="G1433" s="9" t="s">
        <v>52</v>
      </c>
      <c r="H1433" s="9" t="s">
        <v>37</v>
      </c>
      <c r="I1433" s="9" t="s">
        <v>38</v>
      </c>
      <c r="J1433" s="11">
        <v>146</v>
      </c>
      <c r="K1433" s="11" t="s">
        <v>260</v>
      </c>
      <c r="L1433" s="11" t="s">
        <v>55</v>
      </c>
      <c r="M1433" s="13">
        <v>1</v>
      </c>
      <c r="N1433" s="16">
        <v>7000.0</v>
      </c>
      <c r="O1433" s="16"/>
      <c r="P1433" s="18">
        <f>IF(N1433&gt;0, O1433/N1433, 0)</f>
        <v>0</v>
      </c>
      <c r="Q1433" s="16">
        <f>N1433-O1433</f>
        <v>7000</v>
      </c>
      <c r="R1433" s="16">
        <f>M1433*N1433</f>
        <v>7000</v>
      </c>
      <c r="S1433" s="16">
        <f>M1433*O1433</f>
        <v>0</v>
      </c>
      <c r="T1433" s="16">
        <f>M1433*Q1433</f>
        <v>7000</v>
      </c>
      <c r="U1433" s="16"/>
      <c r="V1433" s="16">
        <f>M1433*U1433</f>
        <v>0</v>
      </c>
      <c r="W1433" s="16">
        <f>T1433-V1433</f>
        <v>7000</v>
      </c>
      <c r="X1433" s="18">
        <f>IF(T1433&gt;0, W1433/T1433, 0)</f>
        <v>1</v>
      </c>
      <c r="Y1433" s="9" t="s">
        <v>41</v>
      </c>
      <c r="Z1433" s="11" t="s">
        <v>42</v>
      </c>
      <c r="AA1433" s="11" t="s">
        <v>43</v>
      </c>
      <c r="AB1433" s="11" t="s">
        <v>44</v>
      </c>
      <c r="AC1433" s="9" t="s">
        <v>44</v>
      </c>
    </row>
    <row r="1434" spans="1:29">
      <c r="A1434" s="10">
        <v>1427</v>
      </c>
      <c r="B1434" s="10" t="s">
        <v>1764</v>
      </c>
      <c r="C1434" s="10" t="s">
        <v>1740</v>
      </c>
      <c r="D1434" s="10" t="s">
        <v>655</v>
      </c>
      <c r="E1434" s="10" t="s">
        <v>34</v>
      </c>
      <c r="F1434" s="10" t="s">
        <v>35</v>
      </c>
      <c r="G1434" s="8" t="s">
        <v>52</v>
      </c>
      <c r="H1434" s="8" t="s">
        <v>37</v>
      </c>
      <c r="I1434" s="8" t="s">
        <v>38</v>
      </c>
      <c r="J1434" s="10">
        <v>140</v>
      </c>
      <c r="K1434" s="10" t="s">
        <v>226</v>
      </c>
      <c r="L1434" s="10" t="s">
        <v>55</v>
      </c>
      <c r="M1434" s="12">
        <v>2</v>
      </c>
      <c r="N1434" s="15">
        <v>7000.0</v>
      </c>
      <c r="O1434" s="15"/>
      <c r="P1434" s="17">
        <f>IF(N1434&gt;0, O1434/N1434, 0)</f>
        <v>0</v>
      </c>
      <c r="Q1434" s="15">
        <f>N1434-O1434</f>
        <v>7000</v>
      </c>
      <c r="R1434" s="15">
        <f>M1434*N1434</f>
        <v>14000</v>
      </c>
      <c r="S1434" s="15">
        <f>M1434*O1434</f>
        <v>0</v>
      </c>
      <c r="T1434" s="15">
        <f>M1434*Q1434</f>
        <v>14000</v>
      </c>
      <c r="U1434" s="15"/>
      <c r="V1434" s="15">
        <f>M1434*U1434</f>
        <v>0</v>
      </c>
      <c r="W1434" s="15">
        <f>T1434-V1434</f>
        <v>14000</v>
      </c>
      <c r="X1434" s="17">
        <f>IF(T1434&gt;0, W1434/T1434, 0)</f>
        <v>1</v>
      </c>
      <c r="Y1434" s="8" t="s">
        <v>41</v>
      </c>
      <c r="Z1434" s="10" t="s">
        <v>42</v>
      </c>
      <c r="AA1434" s="10" t="s">
        <v>43</v>
      </c>
      <c r="AB1434" s="10" t="s">
        <v>44</v>
      </c>
      <c r="AC1434" s="8" t="s">
        <v>44</v>
      </c>
    </row>
    <row r="1435" spans="1:29">
      <c r="A1435" s="11">
        <v>1428</v>
      </c>
      <c r="B1435" s="11" t="s">
        <v>1765</v>
      </c>
      <c r="C1435" s="11" t="s">
        <v>1740</v>
      </c>
      <c r="D1435" s="11" t="s">
        <v>655</v>
      </c>
      <c r="E1435" s="11" t="s">
        <v>34</v>
      </c>
      <c r="F1435" s="11" t="s">
        <v>35</v>
      </c>
      <c r="G1435" s="9" t="s">
        <v>52</v>
      </c>
      <c r="H1435" s="9" t="s">
        <v>71</v>
      </c>
      <c r="I1435" s="9" t="s">
        <v>71</v>
      </c>
      <c r="J1435" s="11">
        <v>134</v>
      </c>
      <c r="K1435" s="11" t="s">
        <v>212</v>
      </c>
      <c r="L1435" s="11" t="s">
        <v>40</v>
      </c>
      <c r="M1435" s="13">
        <v>1</v>
      </c>
      <c r="N1435" s="16">
        <v>17000.0</v>
      </c>
      <c r="O1435" s="16"/>
      <c r="P1435" s="18">
        <f>IF(N1435&gt;0, O1435/N1435, 0)</f>
        <v>0</v>
      </c>
      <c r="Q1435" s="16">
        <f>N1435-O1435</f>
        <v>17000</v>
      </c>
      <c r="R1435" s="16">
        <f>M1435*N1435</f>
        <v>17000</v>
      </c>
      <c r="S1435" s="16">
        <f>M1435*O1435</f>
        <v>0</v>
      </c>
      <c r="T1435" s="16">
        <f>M1435*Q1435</f>
        <v>17000</v>
      </c>
      <c r="U1435" s="16"/>
      <c r="V1435" s="16">
        <f>M1435*U1435</f>
        <v>0</v>
      </c>
      <c r="W1435" s="16">
        <f>T1435-V1435</f>
        <v>17000</v>
      </c>
      <c r="X1435" s="18">
        <f>IF(T1435&gt;0, W1435/T1435, 0)</f>
        <v>1</v>
      </c>
      <c r="Y1435" s="9" t="s">
        <v>41</v>
      </c>
      <c r="Z1435" s="11" t="s">
        <v>42</v>
      </c>
      <c r="AA1435" s="11" t="s">
        <v>43</v>
      </c>
      <c r="AB1435" s="11" t="s">
        <v>44</v>
      </c>
      <c r="AC1435" s="9" t="s">
        <v>44</v>
      </c>
    </row>
    <row r="1436" spans="1:29">
      <c r="A1436" s="10">
        <v>1429</v>
      </c>
      <c r="B1436" s="10" t="s">
        <v>1766</v>
      </c>
      <c r="C1436" s="10" t="s">
        <v>1740</v>
      </c>
      <c r="D1436" s="10" t="s">
        <v>655</v>
      </c>
      <c r="E1436" s="10" t="s">
        <v>70</v>
      </c>
      <c r="F1436" s="10" t="s">
        <v>35</v>
      </c>
      <c r="G1436" s="8" t="s">
        <v>52</v>
      </c>
      <c r="H1436" s="8" t="s">
        <v>65</v>
      </c>
      <c r="I1436" s="8" t="s">
        <v>151</v>
      </c>
      <c r="J1436" s="10">
        <v>128</v>
      </c>
      <c r="K1436" s="10" t="s">
        <v>168</v>
      </c>
      <c r="L1436" s="10" t="s">
        <v>40</v>
      </c>
      <c r="M1436" s="12">
        <v>1</v>
      </c>
      <c r="N1436" s="15">
        <v>10000.0</v>
      </c>
      <c r="O1436" s="15"/>
      <c r="P1436" s="17">
        <f>IF(N1436&gt;0, O1436/N1436, 0)</f>
        <v>0</v>
      </c>
      <c r="Q1436" s="15">
        <f>N1436-O1436</f>
        <v>10000</v>
      </c>
      <c r="R1436" s="15">
        <f>M1436*N1436</f>
        <v>10000</v>
      </c>
      <c r="S1436" s="15">
        <f>M1436*O1436</f>
        <v>0</v>
      </c>
      <c r="T1436" s="15">
        <f>M1436*Q1436</f>
        <v>10000</v>
      </c>
      <c r="U1436" s="15"/>
      <c r="V1436" s="15">
        <f>M1436*U1436</f>
        <v>0</v>
      </c>
      <c r="W1436" s="15">
        <f>T1436-V1436</f>
        <v>10000</v>
      </c>
      <c r="X1436" s="17">
        <f>IF(T1436&gt;0, W1436/T1436, 0)</f>
        <v>1</v>
      </c>
      <c r="Y1436" s="8" t="s">
        <v>41</v>
      </c>
      <c r="Z1436" s="10" t="s">
        <v>42</v>
      </c>
      <c r="AA1436" s="10" t="s">
        <v>73</v>
      </c>
      <c r="AB1436" s="10" t="s">
        <v>44</v>
      </c>
      <c r="AC1436" s="8" t="s">
        <v>44</v>
      </c>
    </row>
    <row r="1437" spans="1:29">
      <c r="A1437" s="11">
        <v>1430</v>
      </c>
      <c r="B1437" s="11" t="s">
        <v>1767</v>
      </c>
      <c r="C1437" s="11" t="s">
        <v>1740</v>
      </c>
      <c r="D1437" s="11" t="s">
        <v>655</v>
      </c>
      <c r="E1437" s="11" t="s">
        <v>70</v>
      </c>
      <c r="F1437" s="11" t="s">
        <v>35</v>
      </c>
      <c r="G1437" s="9" t="s">
        <v>52</v>
      </c>
      <c r="H1437" s="9" t="s">
        <v>58</v>
      </c>
      <c r="I1437" s="9" t="s">
        <v>58</v>
      </c>
      <c r="J1437" s="11">
        <v>128</v>
      </c>
      <c r="K1437" s="11" t="s">
        <v>580</v>
      </c>
      <c r="L1437" s="11" t="s">
        <v>40</v>
      </c>
      <c r="M1437" s="13">
        <v>2</v>
      </c>
      <c r="N1437" s="16">
        <v>8000.0</v>
      </c>
      <c r="O1437" s="16"/>
      <c r="P1437" s="18">
        <f>IF(N1437&gt;0, O1437/N1437, 0)</f>
        <v>0</v>
      </c>
      <c r="Q1437" s="16">
        <f>N1437-O1437</f>
        <v>8000</v>
      </c>
      <c r="R1437" s="16">
        <f>M1437*N1437</f>
        <v>16000</v>
      </c>
      <c r="S1437" s="16">
        <f>M1437*O1437</f>
        <v>0</v>
      </c>
      <c r="T1437" s="16">
        <f>M1437*Q1437</f>
        <v>16000</v>
      </c>
      <c r="U1437" s="16"/>
      <c r="V1437" s="16">
        <f>M1437*U1437</f>
        <v>0</v>
      </c>
      <c r="W1437" s="16">
        <f>T1437-V1437</f>
        <v>16000</v>
      </c>
      <c r="X1437" s="18">
        <f>IF(T1437&gt;0, W1437/T1437, 0)</f>
        <v>1</v>
      </c>
      <c r="Y1437" s="9" t="s">
        <v>41</v>
      </c>
      <c r="Z1437" s="11" t="s">
        <v>42</v>
      </c>
      <c r="AA1437" s="11" t="s">
        <v>73</v>
      </c>
      <c r="AB1437" s="11" t="s">
        <v>44</v>
      </c>
      <c r="AC1437" s="9" t="s">
        <v>44</v>
      </c>
    </row>
    <row r="1438" spans="1:29">
      <c r="A1438" s="10">
        <v>1431</v>
      </c>
      <c r="B1438" s="10" t="s">
        <v>1768</v>
      </c>
      <c r="C1438" s="10" t="s">
        <v>1769</v>
      </c>
      <c r="D1438" s="10" t="s">
        <v>655</v>
      </c>
      <c r="E1438" s="10" t="s">
        <v>34</v>
      </c>
      <c r="F1438" s="10" t="s">
        <v>35</v>
      </c>
      <c r="G1438" s="8" t="s">
        <v>52</v>
      </c>
      <c r="H1438" s="8" t="s">
        <v>53</v>
      </c>
      <c r="I1438" s="8" t="s">
        <v>53</v>
      </c>
      <c r="J1438" s="10">
        <v>134</v>
      </c>
      <c r="K1438" s="10" t="s">
        <v>178</v>
      </c>
      <c r="L1438" s="10" t="s">
        <v>55</v>
      </c>
      <c r="M1438" s="12">
        <v>2</v>
      </c>
      <c r="N1438" s="15">
        <v>8000.0</v>
      </c>
      <c r="O1438" s="15"/>
      <c r="P1438" s="17">
        <f>IF(N1438&gt;0, O1438/N1438, 0)</f>
        <v>0</v>
      </c>
      <c r="Q1438" s="15">
        <f>N1438-O1438</f>
        <v>8000</v>
      </c>
      <c r="R1438" s="15">
        <f>M1438*N1438</f>
        <v>16000</v>
      </c>
      <c r="S1438" s="15">
        <f>M1438*O1438</f>
        <v>0</v>
      </c>
      <c r="T1438" s="15">
        <f>M1438*Q1438</f>
        <v>16000</v>
      </c>
      <c r="U1438" s="15"/>
      <c r="V1438" s="15">
        <f>M1438*U1438</f>
        <v>0</v>
      </c>
      <c r="W1438" s="15">
        <f>T1438-V1438</f>
        <v>16000</v>
      </c>
      <c r="X1438" s="17">
        <f>IF(T1438&gt;0, W1438/T1438, 0)</f>
        <v>1</v>
      </c>
      <c r="Y1438" s="8" t="s">
        <v>41</v>
      </c>
      <c r="Z1438" s="10" t="s">
        <v>42</v>
      </c>
      <c r="AA1438" s="10" t="s">
        <v>43</v>
      </c>
      <c r="AB1438" s="10" t="s">
        <v>44</v>
      </c>
      <c r="AC1438" s="8" t="s">
        <v>44</v>
      </c>
    </row>
    <row r="1439" spans="1:29">
      <c r="A1439" s="11">
        <v>1432</v>
      </c>
      <c r="B1439" s="11" t="s">
        <v>1770</v>
      </c>
      <c r="C1439" s="11" t="s">
        <v>1769</v>
      </c>
      <c r="D1439" s="11" t="s">
        <v>655</v>
      </c>
      <c r="E1439" s="11" t="s">
        <v>34</v>
      </c>
      <c r="F1439" s="11" t="s">
        <v>35</v>
      </c>
      <c r="G1439" s="9" t="s">
        <v>52</v>
      </c>
      <c r="H1439" s="9" t="s">
        <v>37</v>
      </c>
      <c r="I1439" s="9" t="s">
        <v>75</v>
      </c>
      <c r="J1439" s="11">
        <v>134</v>
      </c>
      <c r="K1439" s="11" t="s">
        <v>149</v>
      </c>
      <c r="L1439" s="11" t="s">
        <v>55</v>
      </c>
      <c r="M1439" s="13">
        <v>3</v>
      </c>
      <c r="N1439" s="16">
        <v>8000.0</v>
      </c>
      <c r="O1439" s="16"/>
      <c r="P1439" s="18">
        <f>IF(N1439&gt;0, O1439/N1439, 0)</f>
        <v>0</v>
      </c>
      <c r="Q1439" s="16">
        <f>N1439-O1439</f>
        <v>8000</v>
      </c>
      <c r="R1439" s="16">
        <f>M1439*N1439</f>
        <v>24000</v>
      </c>
      <c r="S1439" s="16">
        <f>M1439*O1439</f>
        <v>0</v>
      </c>
      <c r="T1439" s="16">
        <f>M1439*Q1439</f>
        <v>24000</v>
      </c>
      <c r="U1439" s="16"/>
      <c r="V1439" s="16">
        <f>M1439*U1439</f>
        <v>0</v>
      </c>
      <c r="W1439" s="16">
        <f>T1439-V1439</f>
        <v>24000</v>
      </c>
      <c r="X1439" s="18">
        <f>IF(T1439&gt;0, W1439/T1439, 0)</f>
        <v>1</v>
      </c>
      <c r="Y1439" s="9" t="s">
        <v>41</v>
      </c>
      <c r="Z1439" s="11" t="s">
        <v>42</v>
      </c>
      <c r="AA1439" s="11" t="s">
        <v>43</v>
      </c>
      <c r="AB1439" s="11" t="s">
        <v>44</v>
      </c>
      <c r="AC1439" s="9" t="s">
        <v>44</v>
      </c>
    </row>
    <row r="1440" spans="1:29">
      <c r="A1440" s="10">
        <v>1433</v>
      </c>
      <c r="B1440" s="10" t="s">
        <v>1771</v>
      </c>
      <c r="C1440" s="10" t="s">
        <v>1769</v>
      </c>
      <c r="D1440" s="10" t="s">
        <v>655</v>
      </c>
      <c r="E1440" s="10" t="s">
        <v>34</v>
      </c>
      <c r="F1440" s="10" t="s">
        <v>35</v>
      </c>
      <c r="G1440" s="8" t="s">
        <v>52</v>
      </c>
      <c r="H1440" s="8" t="s">
        <v>37</v>
      </c>
      <c r="I1440" s="8" t="s">
        <v>38</v>
      </c>
      <c r="J1440" s="10">
        <v>134</v>
      </c>
      <c r="K1440" s="10" t="s">
        <v>180</v>
      </c>
      <c r="L1440" s="10" t="s">
        <v>55</v>
      </c>
      <c r="M1440" s="12">
        <v>3</v>
      </c>
      <c r="N1440" s="15">
        <v>7000.0</v>
      </c>
      <c r="O1440" s="15"/>
      <c r="P1440" s="17">
        <f>IF(N1440&gt;0, O1440/N1440, 0)</f>
        <v>0</v>
      </c>
      <c r="Q1440" s="15">
        <f>N1440-O1440</f>
        <v>7000</v>
      </c>
      <c r="R1440" s="15">
        <f>M1440*N1440</f>
        <v>21000</v>
      </c>
      <c r="S1440" s="15">
        <f>M1440*O1440</f>
        <v>0</v>
      </c>
      <c r="T1440" s="15">
        <f>M1440*Q1440</f>
        <v>21000</v>
      </c>
      <c r="U1440" s="15"/>
      <c r="V1440" s="15">
        <f>M1440*U1440</f>
        <v>0</v>
      </c>
      <c r="W1440" s="15">
        <f>T1440-V1440</f>
        <v>21000</v>
      </c>
      <c r="X1440" s="17">
        <f>IF(T1440&gt;0, W1440/T1440, 0)</f>
        <v>1</v>
      </c>
      <c r="Y1440" s="8" t="s">
        <v>41</v>
      </c>
      <c r="Z1440" s="10" t="s">
        <v>42</v>
      </c>
      <c r="AA1440" s="10" t="s">
        <v>43</v>
      </c>
      <c r="AB1440" s="10" t="s">
        <v>44</v>
      </c>
      <c r="AC1440" s="8" t="s">
        <v>44</v>
      </c>
    </row>
    <row r="1441" spans="1:29">
      <c r="A1441" s="11">
        <v>1434</v>
      </c>
      <c r="B1441" s="11" t="s">
        <v>1772</v>
      </c>
      <c r="C1441" s="11" t="s">
        <v>1769</v>
      </c>
      <c r="D1441" s="11" t="s">
        <v>655</v>
      </c>
      <c r="E1441" s="11" t="s">
        <v>70</v>
      </c>
      <c r="F1441" s="11" t="s">
        <v>35</v>
      </c>
      <c r="G1441" s="9" t="s">
        <v>36</v>
      </c>
      <c r="H1441" s="9" t="s">
        <v>65</v>
      </c>
      <c r="I1441" s="9" t="s">
        <v>151</v>
      </c>
      <c r="J1441" s="11">
        <v>134</v>
      </c>
      <c r="K1441" s="11" t="s">
        <v>1773</v>
      </c>
      <c r="L1441" s="11" t="s">
        <v>40</v>
      </c>
      <c r="M1441" s="13">
        <v>1</v>
      </c>
      <c r="N1441" s="16">
        <v>11000.0</v>
      </c>
      <c r="O1441" s="16"/>
      <c r="P1441" s="18">
        <f>IF(N1441&gt;0, O1441/N1441, 0)</f>
        <v>0</v>
      </c>
      <c r="Q1441" s="16">
        <f>N1441-O1441</f>
        <v>11000</v>
      </c>
      <c r="R1441" s="16">
        <f>M1441*N1441</f>
        <v>11000</v>
      </c>
      <c r="S1441" s="16">
        <f>M1441*O1441</f>
        <v>0</v>
      </c>
      <c r="T1441" s="16">
        <f>M1441*Q1441</f>
        <v>11000</v>
      </c>
      <c r="U1441" s="16"/>
      <c r="V1441" s="16">
        <f>M1441*U1441</f>
        <v>0</v>
      </c>
      <c r="W1441" s="16">
        <f>T1441-V1441</f>
        <v>11000</v>
      </c>
      <c r="X1441" s="18">
        <f>IF(T1441&gt;0, W1441/T1441, 0)</f>
        <v>1</v>
      </c>
      <c r="Y1441" s="9" t="s">
        <v>41</v>
      </c>
      <c r="Z1441" s="11" t="s">
        <v>42</v>
      </c>
      <c r="AA1441" s="11" t="s">
        <v>73</v>
      </c>
      <c r="AB1441" s="11" t="s">
        <v>44</v>
      </c>
      <c r="AC1441" s="9" t="s">
        <v>44</v>
      </c>
    </row>
    <row r="1442" spans="1:29">
      <c r="A1442" s="10">
        <v>1435</v>
      </c>
      <c r="B1442" s="10" t="s">
        <v>1774</v>
      </c>
      <c r="C1442" s="10" t="s">
        <v>1769</v>
      </c>
      <c r="D1442" s="10" t="s">
        <v>655</v>
      </c>
      <c r="E1442" s="10" t="s">
        <v>34</v>
      </c>
      <c r="F1442" s="10" t="s">
        <v>35</v>
      </c>
      <c r="G1442" s="8" t="s">
        <v>36</v>
      </c>
      <c r="H1442" s="8" t="s">
        <v>47</v>
      </c>
      <c r="I1442" s="8" t="s">
        <v>48</v>
      </c>
      <c r="J1442" s="10">
        <v>146</v>
      </c>
      <c r="K1442" s="10" t="s">
        <v>710</v>
      </c>
      <c r="L1442" s="10" t="s">
        <v>40</v>
      </c>
      <c r="M1442" s="12">
        <v>1</v>
      </c>
      <c r="N1442" s="15">
        <v>18000.0</v>
      </c>
      <c r="O1442" s="15"/>
      <c r="P1442" s="17">
        <f>IF(N1442&gt;0, O1442/N1442, 0)</f>
        <v>0</v>
      </c>
      <c r="Q1442" s="15">
        <f>N1442-O1442</f>
        <v>18000</v>
      </c>
      <c r="R1442" s="15">
        <f>M1442*N1442</f>
        <v>18000</v>
      </c>
      <c r="S1442" s="15">
        <f>M1442*O1442</f>
        <v>0</v>
      </c>
      <c r="T1442" s="15">
        <f>M1442*Q1442</f>
        <v>18000</v>
      </c>
      <c r="U1442" s="15"/>
      <c r="V1442" s="15">
        <f>M1442*U1442</f>
        <v>0</v>
      </c>
      <c r="W1442" s="15">
        <f>T1442-V1442</f>
        <v>18000</v>
      </c>
      <c r="X1442" s="17">
        <f>IF(T1442&gt;0, W1442/T1442, 0)</f>
        <v>1</v>
      </c>
      <c r="Y1442" s="8" t="s">
        <v>41</v>
      </c>
      <c r="Z1442" s="10" t="s">
        <v>42</v>
      </c>
      <c r="AA1442" s="10" t="s">
        <v>43</v>
      </c>
      <c r="AB1442" s="10" t="s">
        <v>44</v>
      </c>
      <c r="AC1442" s="8" t="s">
        <v>44</v>
      </c>
    </row>
    <row r="1443" spans="1:29">
      <c r="A1443" s="11">
        <v>1436</v>
      </c>
      <c r="B1443" s="11" t="s">
        <v>1775</v>
      </c>
      <c r="C1443" s="11" t="s">
        <v>1769</v>
      </c>
      <c r="D1443" s="11" t="s">
        <v>655</v>
      </c>
      <c r="E1443" s="11" t="s">
        <v>34</v>
      </c>
      <c r="F1443" s="11" t="s">
        <v>35</v>
      </c>
      <c r="G1443" s="9" t="s">
        <v>36</v>
      </c>
      <c r="H1443" s="9" t="s">
        <v>53</v>
      </c>
      <c r="I1443" s="9" t="s">
        <v>53</v>
      </c>
      <c r="J1443" s="11">
        <v>152</v>
      </c>
      <c r="K1443" s="11" t="s">
        <v>305</v>
      </c>
      <c r="L1443" s="11" t="s">
        <v>40</v>
      </c>
      <c r="M1443" s="13">
        <v>1</v>
      </c>
      <c r="N1443" s="16">
        <v>8500.0</v>
      </c>
      <c r="O1443" s="16"/>
      <c r="P1443" s="18">
        <f>IF(N1443&gt;0, O1443/N1443, 0)</f>
        <v>0</v>
      </c>
      <c r="Q1443" s="16">
        <f>N1443-O1443</f>
        <v>8500</v>
      </c>
      <c r="R1443" s="16">
        <f>M1443*N1443</f>
        <v>8500</v>
      </c>
      <c r="S1443" s="16">
        <f>M1443*O1443</f>
        <v>0</v>
      </c>
      <c r="T1443" s="16">
        <f>M1443*Q1443</f>
        <v>8500</v>
      </c>
      <c r="U1443" s="16"/>
      <c r="V1443" s="16">
        <f>M1443*U1443</f>
        <v>0</v>
      </c>
      <c r="W1443" s="16">
        <f>T1443-V1443</f>
        <v>8500</v>
      </c>
      <c r="X1443" s="18">
        <f>IF(T1443&gt;0, W1443/T1443, 0)</f>
        <v>1</v>
      </c>
      <c r="Y1443" s="9" t="s">
        <v>41</v>
      </c>
      <c r="Z1443" s="11" t="s">
        <v>42</v>
      </c>
      <c r="AA1443" s="11" t="s">
        <v>43</v>
      </c>
      <c r="AB1443" s="11" t="s">
        <v>44</v>
      </c>
      <c r="AC1443" s="9" t="s">
        <v>44</v>
      </c>
    </row>
    <row r="1444" spans="1:29">
      <c r="A1444" s="10">
        <v>1437</v>
      </c>
      <c r="B1444" s="10" t="s">
        <v>1776</v>
      </c>
      <c r="C1444" s="10" t="s">
        <v>1777</v>
      </c>
      <c r="D1444" s="10" t="s">
        <v>655</v>
      </c>
      <c r="E1444" s="10" t="s">
        <v>70</v>
      </c>
      <c r="F1444" s="10" t="s">
        <v>35</v>
      </c>
      <c r="G1444" s="8" t="s">
        <v>36</v>
      </c>
      <c r="H1444" s="8" t="s">
        <v>53</v>
      </c>
      <c r="I1444" s="8" t="s">
        <v>53</v>
      </c>
      <c r="J1444" s="10">
        <v>152</v>
      </c>
      <c r="K1444" s="10" t="s">
        <v>305</v>
      </c>
      <c r="L1444" s="10" t="s">
        <v>40</v>
      </c>
      <c r="M1444" s="12">
        <v>1</v>
      </c>
      <c r="N1444" s="15">
        <v>10000.0</v>
      </c>
      <c r="O1444" s="15"/>
      <c r="P1444" s="17">
        <f>IF(N1444&gt;0, O1444/N1444, 0)</f>
        <v>0</v>
      </c>
      <c r="Q1444" s="15">
        <f>N1444-O1444</f>
        <v>10000</v>
      </c>
      <c r="R1444" s="15">
        <f>M1444*N1444</f>
        <v>10000</v>
      </c>
      <c r="S1444" s="15">
        <f>M1444*O1444</f>
        <v>0</v>
      </c>
      <c r="T1444" s="15">
        <f>M1444*Q1444</f>
        <v>10000</v>
      </c>
      <c r="U1444" s="15"/>
      <c r="V1444" s="15">
        <f>M1444*U1444</f>
        <v>0</v>
      </c>
      <c r="W1444" s="15">
        <f>T1444-V1444</f>
        <v>10000</v>
      </c>
      <c r="X1444" s="17">
        <f>IF(T1444&gt;0, W1444/T1444, 0)</f>
        <v>1</v>
      </c>
      <c r="Y1444" s="8" t="s">
        <v>41</v>
      </c>
      <c r="Z1444" s="10" t="s">
        <v>42</v>
      </c>
      <c r="AA1444" s="10" t="s">
        <v>73</v>
      </c>
      <c r="AB1444" s="10" t="s">
        <v>44</v>
      </c>
      <c r="AC1444" s="8" t="s">
        <v>44</v>
      </c>
    </row>
    <row r="1445" spans="1:29">
      <c r="A1445" s="11">
        <v>1438</v>
      </c>
      <c r="B1445" s="11" t="s">
        <v>1778</v>
      </c>
      <c r="C1445" s="11" t="s">
        <v>1777</v>
      </c>
      <c r="D1445" s="11" t="s">
        <v>655</v>
      </c>
      <c r="E1445" s="11" t="s">
        <v>70</v>
      </c>
      <c r="F1445" s="11" t="s">
        <v>35</v>
      </c>
      <c r="G1445" s="9" t="s">
        <v>36</v>
      </c>
      <c r="H1445" s="9" t="s">
        <v>37</v>
      </c>
      <c r="I1445" s="9" t="s">
        <v>38</v>
      </c>
      <c r="J1445" s="11">
        <v>152</v>
      </c>
      <c r="K1445" s="11" t="s">
        <v>729</v>
      </c>
      <c r="L1445" s="11" t="s">
        <v>40</v>
      </c>
      <c r="M1445" s="13">
        <v>1</v>
      </c>
      <c r="N1445" s="16">
        <v>10000.0</v>
      </c>
      <c r="O1445" s="16"/>
      <c r="P1445" s="18">
        <f>IF(N1445&gt;0, O1445/N1445, 0)</f>
        <v>0</v>
      </c>
      <c r="Q1445" s="16">
        <f>N1445-O1445</f>
        <v>10000</v>
      </c>
      <c r="R1445" s="16">
        <f>M1445*N1445</f>
        <v>10000</v>
      </c>
      <c r="S1445" s="16">
        <f>M1445*O1445</f>
        <v>0</v>
      </c>
      <c r="T1445" s="16">
        <f>M1445*Q1445</f>
        <v>10000</v>
      </c>
      <c r="U1445" s="16"/>
      <c r="V1445" s="16">
        <f>M1445*U1445</f>
        <v>0</v>
      </c>
      <c r="W1445" s="16">
        <f>T1445-V1445</f>
        <v>10000</v>
      </c>
      <c r="X1445" s="18">
        <f>IF(T1445&gt;0, W1445/T1445, 0)</f>
        <v>1</v>
      </c>
      <c r="Y1445" s="9" t="s">
        <v>41</v>
      </c>
      <c r="Z1445" s="11" t="s">
        <v>42</v>
      </c>
      <c r="AA1445" s="11" t="s">
        <v>73</v>
      </c>
      <c r="AB1445" s="11" t="s">
        <v>44</v>
      </c>
      <c r="AC1445" s="9" t="s">
        <v>44</v>
      </c>
    </row>
    <row r="1446" spans="1:29">
      <c r="A1446" s="10">
        <v>1439</v>
      </c>
      <c r="B1446" s="10" t="s">
        <v>1779</v>
      </c>
      <c r="C1446" s="10" t="s">
        <v>1777</v>
      </c>
      <c r="D1446" s="10" t="s">
        <v>655</v>
      </c>
      <c r="E1446" s="10" t="s">
        <v>34</v>
      </c>
      <c r="F1446" s="10" t="s">
        <v>35</v>
      </c>
      <c r="G1446" s="8" t="s">
        <v>36</v>
      </c>
      <c r="H1446" s="8" t="s">
        <v>37</v>
      </c>
      <c r="I1446" s="8" t="s">
        <v>38</v>
      </c>
      <c r="J1446" s="10">
        <v>152</v>
      </c>
      <c r="K1446" s="10" t="s">
        <v>729</v>
      </c>
      <c r="L1446" s="10" t="s">
        <v>40</v>
      </c>
      <c r="M1446" s="12">
        <v>1</v>
      </c>
      <c r="N1446" s="15">
        <v>8000.0</v>
      </c>
      <c r="O1446" s="15"/>
      <c r="P1446" s="17">
        <f>IF(N1446&gt;0, O1446/N1446, 0)</f>
        <v>0</v>
      </c>
      <c r="Q1446" s="15">
        <f>N1446-O1446</f>
        <v>8000</v>
      </c>
      <c r="R1446" s="15">
        <f>M1446*N1446</f>
        <v>8000</v>
      </c>
      <c r="S1446" s="15">
        <f>M1446*O1446</f>
        <v>0</v>
      </c>
      <c r="T1446" s="15">
        <f>M1446*Q1446</f>
        <v>8000</v>
      </c>
      <c r="U1446" s="15"/>
      <c r="V1446" s="15">
        <f>M1446*U1446</f>
        <v>0</v>
      </c>
      <c r="W1446" s="15">
        <f>T1446-V1446</f>
        <v>8000</v>
      </c>
      <c r="X1446" s="17">
        <f>IF(T1446&gt;0, W1446/T1446, 0)</f>
        <v>1</v>
      </c>
      <c r="Y1446" s="8" t="s">
        <v>41</v>
      </c>
      <c r="Z1446" s="10" t="s">
        <v>42</v>
      </c>
      <c r="AA1446" s="10" t="s">
        <v>43</v>
      </c>
      <c r="AB1446" s="10" t="s">
        <v>44</v>
      </c>
      <c r="AC1446" s="8" t="s">
        <v>44</v>
      </c>
    </row>
    <row r="1447" spans="1:29">
      <c r="A1447" s="11">
        <v>1440</v>
      </c>
      <c r="B1447" s="11" t="s">
        <v>1780</v>
      </c>
      <c r="C1447" s="11" t="s">
        <v>1777</v>
      </c>
      <c r="D1447" s="11" t="s">
        <v>655</v>
      </c>
      <c r="E1447" s="11" t="s">
        <v>34</v>
      </c>
      <c r="F1447" s="11" t="s">
        <v>35</v>
      </c>
      <c r="G1447" s="9" t="s">
        <v>52</v>
      </c>
      <c r="H1447" s="9" t="s">
        <v>53</v>
      </c>
      <c r="I1447" s="9" t="s">
        <v>53</v>
      </c>
      <c r="J1447" s="11">
        <v>134</v>
      </c>
      <c r="K1447" s="11" t="s">
        <v>178</v>
      </c>
      <c r="L1447" s="11" t="s">
        <v>55</v>
      </c>
      <c r="M1447" s="13">
        <v>2</v>
      </c>
      <c r="N1447" s="16">
        <v>8000.0</v>
      </c>
      <c r="O1447" s="16"/>
      <c r="P1447" s="18">
        <f>IF(N1447&gt;0, O1447/N1447, 0)</f>
        <v>0</v>
      </c>
      <c r="Q1447" s="16">
        <f>N1447-O1447</f>
        <v>8000</v>
      </c>
      <c r="R1447" s="16">
        <f>M1447*N1447</f>
        <v>16000</v>
      </c>
      <c r="S1447" s="16">
        <f>M1447*O1447</f>
        <v>0</v>
      </c>
      <c r="T1447" s="16">
        <f>M1447*Q1447</f>
        <v>16000</v>
      </c>
      <c r="U1447" s="16"/>
      <c r="V1447" s="16">
        <f>M1447*U1447</f>
        <v>0</v>
      </c>
      <c r="W1447" s="16">
        <f>T1447-V1447</f>
        <v>16000</v>
      </c>
      <c r="X1447" s="18">
        <f>IF(T1447&gt;0, W1447/T1447, 0)</f>
        <v>1</v>
      </c>
      <c r="Y1447" s="9" t="s">
        <v>41</v>
      </c>
      <c r="Z1447" s="11" t="s">
        <v>42</v>
      </c>
      <c r="AA1447" s="11" t="s">
        <v>43</v>
      </c>
      <c r="AB1447" s="11" t="s">
        <v>44</v>
      </c>
      <c r="AC1447" s="9" t="s">
        <v>44</v>
      </c>
    </row>
    <row r="1448" spans="1:29">
      <c r="A1448" s="10">
        <v>1441</v>
      </c>
      <c r="B1448" s="10" t="s">
        <v>1781</v>
      </c>
      <c r="C1448" s="10" t="s">
        <v>1777</v>
      </c>
      <c r="D1448" s="10" t="s">
        <v>655</v>
      </c>
      <c r="E1448" s="10" t="s">
        <v>34</v>
      </c>
      <c r="F1448" s="10" t="s">
        <v>35</v>
      </c>
      <c r="G1448" s="8" t="s">
        <v>52</v>
      </c>
      <c r="H1448" s="8" t="s">
        <v>47</v>
      </c>
      <c r="I1448" s="8" t="s">
        <v>48</v>
      </c>
      <c r="J1448" s="10">
        <v>134</v>
      </c>
      <c r="K1448" s="10" t="s">
        <v>379</v>
      </c>
      <c r="L1448" s="10" t="s">
        <v>40</v>
      </c>
      <c r="M1448" s="12">
        <v>1</v>
      </c>
      <c r="N1448" s="15">
        <v>18000.0</v>
      </c>
      <c r="O1448" s="15"/>
      <c r="P1448" s="17">
        <f>IF(N1448&gt;0, O1448/N1448, 0)</f>
        <v>0</v>
      </c>
      <c r="Q1448" s="15">
        <f>N1448-O1448</f>
        <v>18000</v>
      </c>
      <c r="R1448" s="15">
        <f>M1448*N1448</f>
        <v>18000</v>
      </c>
      <c r="S1448" s="15">
        <f>M1448*O1448</f>
        <v>0</v>
      </c>
      <c r="T1448" s="15">
        <f>M1448*Q1448</f>
        <v>18000</v>
      </c>
      <c r="U1448" s="15"/>
      <c r="V1448" s="15">
        <f>M1448*U1448</f>
        <v>0</v>
      </c>
      <c r="W1448" s="15">
        <f>T1448-V1448</f>
        <v>18000</v>
      </c>
      <c r="X1448" s="17">
        <f>IF(T1448&gt;0, W1448/T1448, 0)</f>
        <v>1</v>
      </c>
      <c r="Y1448" s="8" t="s">
        <v>41</v>
      </c>
      <c r="Z1448" s="10" t="s">
        <v>42</v>
      </c>
      <c r="AA1448" s="10" t="s">
        <v>43</v>
      </c>
      <c r="AB1448" s="10" t="s">
        <v>44</v>
      </c>
      <c r="AC1448" s="8" t="s">
        <v>44</v>
      </c>
    </row>
    <row r="1449" spans="1:29">
      <c r="A1449" s="11">
        <v>1442</v>
      </c>
      <c r="B1449" s="11" t="s">
        <v>1782</v>
      </c>
      <c r="C1449" s="11" t="s">
        <v>1777</v>
      </c>
      <c r="D1449" s="11" t="s">
        <v>655</v>
      </c>
      <c r="E1449" s="11" t="s">
        <v>34</v>
      </c>
      <c r="F1449" s="11" t="s">
        <v>35</v>
      </c>
      <c r="G1449" s="9" t="s">
        <v>52</v>
      </c>
      <c r="H1449" s="9" t="s">
        <v>37</v>
      </c>
      <c r="I1449" s="9" t="s">
        <v>38</v>
      </c>
      <c r="J1449" s="11">
        <v>134</v>
      </c>
      <c r="K1449" s="11" t="s">
        <v>180</v>
      </c>
      <c r="L1449" s="11" t="s">
        <v>55</v>
      </c>
      <c r="M1449" s="13">
        <v>2</v>
      </c>
      <c r="N1449" s="16">
        <v>7000.0</v>
      </c>
      <c r="O1449" s="16"/>
      <c r="P1449" s="18">
        <f>IF(N1449&gt;0, O1449/N1449, 0)</f>
        <v>0</v>
      </c>
      <c r="Q1449" s="16">
        <f>N1449-O1449</f>
        <v>7000</v>
      </c>
      <c r="R1449" s="16">
        <f>M1449*N1449</f>
        <v>14000</v>
      </c>
      <c r="S1449" s="16">
        <f>M1449*O1449</f>
        <v>0</v>
      </c>
      <c r="T1449" s="16">
        <f>M1449*Q1449</f>
        <v>14000</v>
      </c>
      <c r="U1449" s="16"/>
      <c r="V1449" s="16">
        <f>M1449*U1449</f>
        <v>0</v>
      </c>
      <c r="W1449" s="16">
        <f>T1449-V1449</f>
        <v>14000</v>
      </c>
      <c r="X1449" s="18">
        <f>IF(T1449&gt;0, W1449/T1449, 0)</f>
        <v>1</v>
      </c>
      <c r="Y1449" s="9" t="s">
        <v>41</v>
      </c>
      <c r="Z1449" s="11" t="s">
        <v>42</v>
      </c>
      <c r="AA1449" s="11" t="s">
        <v>43</v>
      </c>
      <c r="AB1449" s="11" t="s">
        <v>44</v>
      </c>
      <c r="AC1449" s="9" t="s">
        <v>44</v>
      </c>
    </row>
    <row r="1450" spans="1:29">
      <c r="A1450" s="10">
        <v>1443</v>
      </c>
      <c r="B1450" s="10" t="s">
        <v>1783</v>
      </c>
      <c r="C1450" s="10" t="s">
        <v>1777</v>
      </c>
      <c r="D1450" s="10" t="s">
        <v>655</v>
      </c>
      <c r="E1450" s="10" t="s">
        <v>34</v>
      </c>
      <c r="F1450" s="10" t="s">
        <v>35</v>
      </c>
      <c r="G1450" s="8" t="s">
        <v>52</v>
      </c>
      <c r="H1450" s="8" t="s">
        <v>53</v>
      </c>
      <c r="I1450" s="8" t="s">
        <v>53</v>
      </c>
      <c r="J1450" s="10">
        <v>128</v>
      </c>
      <c r="K1450" s="10" t="s">
        <v>393</v>
      </c>
      <c r="L1450" s="10" t="s">
        <v>55</v>
      </c>
      <c r="M1450" s="12">
        <v>1</v>
      </c>
      <c r="N1450" s="15">
        <v>8000.0</v>
      </c>
      <c r="O1450" s="15"/>
      <c r="P1450" s="17">
        <f>IF(N1450&gt;0, O1450/N1450, 0)</f>
        <v>0</v>
      </c>
      <c r="Q1450" s="15">
        <f>N1450-O1450</f>
        <v>8000</v>
      </c>
      <c r="R1450" s="15">
        <f>M1450*N1450</f>
        <v>8000</v>
      </c>
      <c r="S1450" s="15">
        <f>M1450*O1450</f>
        <v>0</v>
      </c>
      <c r="T1450" s="15">
        <f>M1450*Q1450</f>
        <v>8000</v>
      </c>
      <c r="U1450" s="15"/>
      <c r="V1450" s="15">
        <f>M1450*U1450</f>
        <v>0</v>
      </c>
      <c r="W1450" s="15">
        <f>T1450-V1450</f>
        <v>8000</v>
      </c>
      <c r="X1450" s="17">
        <f>IF(T1450&gt;0, W1450/T1450, 0)</f>
        <v>1</v>
      </c>
      <c r="Y1450" s="8" t="s">
        <v>41</v>
      </c>
      <c r="Z1450" s="10" t="s">
        <v>42</v>
      </c>
      <c r="AA1450" s="10" t="s">
        <v>43</v>
      </c>
      <c r="AB1450" s="10" t="s">
        <v>44</v>
      </c>
      <c r="AC1450" s="8" t="s">
        <v>44</v>
      </c>
    </row>
    <row r="1451" spans="1:29">
      <c r="A1451" s="11">
        <v>1444</v>
      </c>
      <c r="B1451" s="11" t="s">
        <v>1784</v>
      </c>
      <c r="C1451" s="11" t="s">
        <v>1777</v>
      </c>
      <c r="D1451" s="11" t="s">
        <v>655</v>
      </c>
      <c r="E1451" s="11" t="s">
        <v>34</v>
      </c>
      <c r="F1451" s="11" t="s">
        <v>35</v>
      </c>
      <c r="G1451" s="9" t="s">
        <v>52</v>
      </c>
      <c r="H1451" s="9" t="s">
        <v>58</v>
      </c>
      <c r="I1451" s="9" t="s">
        <v>58</v>
      </c>
      <c r="J1451" s="11">
        <v>116</v>
      </c>
      <c r="K1451" s="11" t="s">
        <v>81</v>
      </c>
      <c r="L1451" s="11" t="s">
        <v>40</v>
      </c>
      <c r="M1451" s="13">
        <v>1</v>
      </c>
      <c r="N1451" s="16">
        <v>7000.0</v>
      </c>
      <c r="O1451" s="16"/>
      <c r="P1451" s="18">
        <f>IF(N1451&gt;0, O1451/N1451, 0)</f>
        <v>0</v>
      </c>
      <c r="Q1451" s="16">
        <f>N1451-O1451</f>
        <v>7000</v>
      </c>
      <c r="R1451" s="16">
        <f>M1451*N1451</f>
        <v>7000</v>
      </c>
      <c r="S1451" s="16">
        <f>M1451*O1451</f>
        <v>0</v>
      </c>
      <c r="T1451" s="16">
        <f>M1451*Q1451</f>
        <v>7000</v>
      </c>
      <c r="U1451" s="16"/>
      <c r="V1451" s="16">
        <f>M1451*U1451</f>
        <v>0</v>
      </c>
      <c r="W1451" s="16">
        <f>T1451-V1451</f>
        <v>7000</v>
      </c>
      <c r="X1451" s="18">
        <f>IF(T1451&gt;0, W1451/T1451, 0)</f>
        <v>1</v>
      </c>
      <c r="Y1451" s="9" t="s">
        <v>41</v>
      </c>
      <c r="Z1451" s="11" t="s">
        <v>42</v>
      </c>
      <c r="AA1451" s="11" t="s">
        <v>43</v>
      </c>
      <c r="AB1451" s="11" t="s">
        <v>44</v>
      </c>
      <c r="AC1451" s="9" t="s">
        <v>44</v>
      </c>
    </row>
    <row r="1452" spans="1:29">
      <c r="A1452" s="10">
        <v>1445</v>
      </c>
      <c r="B1452" s="10" t="s">
        <v>1785</v>
      </c>
      <c r="C1452" s="10" t="s">
        <v>1777</v>
      </c>
      <c r="D1452" s="10" t="s">
        <v>655</v>
      </c>
      <c r="E1452" s="10" t="s">
        <v>34</v>
      </c>
      <c r="F1452" s="10" t="s">
        <v>35</v>
      </c>
      <c r="G1452" s="8" t="s">
        <v>52</v>
      </c>
      <c r="H1452" s="8" t="s">
        <v>65</v>
      </c>
      <c r="I1452" s="8" t="s">
        <v>151</v>
      </c>
      <c r="J1452" s="10">
        <v>122</v>
      </c>
      <c r="K1452" s="10" t="s">
        <v>244</v>
      </c>
      <c r="L1452" s="10" t="s">
        <v>40</v>
      </c>
      <c r="M1452" s="12">
        <v>1</v>
      </c>
      <c r="N1452" s="15">
        <v>9000.0</v>
      </c>
      <c r="O1452" s="15"/>
      <c r="P1452" s="17">
        <f>IF(N1452&gt;0, O1452/N1452, 0)</f>
        <v>0</v>
      </c>
      <c r="Q1452" s="15">
        <f>N1452-O1452</f>
        <v>9000</v>
      </c>
      <c r="R1452" s="15">
        <f>M1452*N1452</f>
        <v>9000</v>
      </c>
      <c r="S1452" s="15">
        <f>M1452*O1452</f>
        <v>0</v>
      </c>
      <c r="T1452" s="15">
        <f>M1452*Q1452</f>
        <v>9000</v>
      </c>
      <c r="U1452" s="15"/>
      <c r="V1452" s="15">
        <f>M1452*U1452</f>
        <v>0</v>
      </c>
      <c r="W1452" s="15">
        <f>T1452-V1452</f>
        <v>9000</v>
      </c>
      <c r="X1452" s="17">
        <f>IF(T1452&gt;0, W1452/T1452, 0)</f>
        <v>1</v>
      </c>
      <c r="Y1452" s="8" t="s">
        <v>41</v>
      </c>
      <c r="Z1452" s="10" t="s">
        <v>42</v>
      </c>
      <c r="AA1452" s="10" t="s">
        <v>43</v>
      </c>
      <c r="AB1452" s="10" t="s">
        <v>44</v>
      </c>
      <c r="AC1452" s="8" t="s">
        <v>44</v>
      </c>
    </row>
    <row r="1453" spans="1:29">
      <c r="A1453" s="11">
        <v>1446</v>
      </c>
      <c r="B1453" s="11" t="s">
        <v>1786</v>
      </c>
      <c r="C1453" s="11" t="s">
        <v>1777</v>
      </c>
      <c r="D1453" s="11" t="s">
        <v>655</v>
      </c>
      <c r="E1453" s="11" t="s">
        <v>34</v>
      </c>
      <c r="F1453" s="11" t="s">
        <v>35</v>
      </c>
      <c r="G1453" s="9" t="s">
        <v>52</v>
      </c>
      <c r="H1453" s="9" t="s">
        <v>71</v>
      </c>
      <c r="I1453" s="9" t="s">
        <v>71</v>
      </c>
      <c r="J1453" s="11">
        <v>122</v>
      </c>
      <c r="K1453" s="11" t="s">
        <v>101</v>
      </c>
      <c r="L1453" s="11" t="s">
        <v>40</v>
      </c>
      <c r="M1453" s="13">
        <v>1</v>
      </c>
      <c r="N1453" s="16">
        <v>16000.0</v>
      </c>
      <c r="O1453" s="16"/>
      <c r="P1453" s="18">
        <f>IF(N1453&gt;0, O1453/N1453, 0)</f>
        <v>0</v>
      </c>
      <c r="Q1453" s="16">
        <f>N1453-O1453</f>
        <v>16000</v>
      </c>
      <c r="R1453" s="16">
        <f>M1453*N1453</f>
        <v>16000</v>
      </c>
      <c r="S1453" s="16">
        <f>M1453*O1453</f>
        <v>0</v>
      </c>
      <c r="T1453" s="16">
        <f>M1453*Q1453</f>
        <v>16000</v>
      </c>
      <c r="U1453" s="16"/>
      <c r="V1453" s="16">
        <f>M1453*U1453</f>
        <v>0</v>
      </c>
      <c r="W1453" s="16">
        <f>T1453-V1453</f>
        <v>16000</v>
      </c>
      <c r="X1453" s="18">
        <f>IF(T1453&gt;0, W1453/T1453, 0)</f>
        <v>1</v>
      </c>
      <c r="Y1453" s="9" t="s">
        <v>41</v>
      </c>
      <c r="Z1453" s="11" t="s">
        <v>42</v>
      </c>
      <c r="AA1453" s="11" t="s">
        <v>43</v>
      </c>
      <c r="AB1453" s="11" t="s">
        <v>44</v>
      </c>
      <c r="AC1453" s="9" t="s">
        <v>44</v>
      </c>
    </row>
    <row r="1454" spans="1:29">
      <c r="A1454" s="10">
        <v>1447</v>
      </c>
      <c r="B1454" s="10" t="s">
        <v>1787</v>
      </c>
      <c r="C1454" s="10" t="s">
        <v>1777</v>
      </c>
      <c r="D1454" s="10" t="s">
        <v>655</v>
      </c>
      <c r="E1454" s="10" t="s">
        <v>34</v>
      </c>
      <c r="F1454" s="10" t="s">
        <v>35</v>
      </c>
      <c r="G1454" s="8" t="s">
        <v>52</v>
      </c>
      <c r="H1454" s="8" t="s">
        <v>37</v>
      </c>
      <c r="I1454" s="8" t="s">
        <v>75</v>
      </c>
      <c r="J1454" s="10">
        <v>122</v>
      </c>
      <c r="K1454" s="10" t="s">
        <v>104</v>
      </c>
      <c r="L1454" s="10" t="s">
        <v>55</v>
      </c>
      <c r="M1454" s="12">
        <v>1</v>
      </c>
      <c r="N1454" s="15">
        <v>8000.0</v>
      </c>
      <c r="O1454" s="15"/>
      <c r="P1454" s="17">
        <f>IF(N1454&gt;0, O1454/N1454, 0)</f>
        <v>0</v>
      </c>
      <c r="Q1454" s="15">
        <f>N1454-O1454</f>
        <v>8000</v>
      </c>
      <c r="R1454" s="15">
        <f>M1454*N1454</f>
        <v>8000</v>
      </c>
      <c r="S1454" s="15">
        <f>M1454*O1454</f>
        <v>0</v>
      </c>
      <c r="T1454" s="15">
        <f>M1454*Q1454</f>
        <v>8000</v>
      </c>
      <c r="U1454" s="15"/>
      <c r="V1454" s="15">
        <f>M1454*U1454</f>
        <v>0</v>
      </c>
      <c r="W1454" s="15">
        <f>T1454-V1454</f>
        <v>8000</v>
      </c>
      <c r="X1454" s="17">
        <f>IF(T1454&gt;0, W1454/T1454, 0)</f>
        <v>1</v>
      </c>
      <c r="Y1454" s="8" t="s">
        <v>41</v>
      </c>
      <c r="Z1454" s="10" t="s">
        <v>42</v>
      </c>
      <c r="AA1454" s="10" t="s">
        <v>43</v>
      </c>
      <c r="AB1454" s="10" t="s">
        <v>44</v>
      </c>
      <c r="AC1454" s="8" t="s">
        <v>44</v>
      </c>
    </row>
    <row r="1455" spans="1:29">
      <c r="A1455" s="11">
        <v>1448</v>
      </c>
      <c r="B1455" s="11" t="s">
        <v>1788</v>
      </c>
      <c r="C1455" s="11" t="s">
        <v>1777</v>
      </c>
      <c r="D1455" s="11" t="s">
        <v>655</v>
      </c>
      <c r="E1455" s="11" t="s">
        <v>34</v>
      </c>
      <c r="F1455" s="11" t="s">
        <v>35</v>
      </c>
      <c r="G1455" s="9" t="s">
        <v>36</v>
      </c>
      <c r="H1455" s="9" t="s">
        <v>37</v>
      </c>
      <c r="I1455" s="9" t="s">
        <v>38</v>
      </c>
      <c r="J1455" s="11">
        <v>128</v>
      </c>
      <c r="K1455" s="11" t="s">
        <v>1789</v>
      </c>
      <c r="L1455" s="11" t="s">
        <v>40</v>
      </c>
      <c r="M1455" s="13">
        <v>1</v>
      </c>
      <c r="N1455" s="16">
        <v>7000.0</v>
      </c>
      <c r="O1455" s="16"/>
      <c r="P1455" s="18">
        <f>IF(N1455&gt;0, O1455/N1455, 0)</f>
        <v>0</v>
      </c>
      <c r="Q1455" s="16">
        <f>N1455-O1455</f>
        <v>7000</v>
      </c>
      <c r="R1455" s="16">
        <f>M1455*N1455</f>
        <v>7000</v>
      </c>
      <c r="S1455" s="16">
        <f>M1455*O1455</f>
        <v>0</v>
      </c>
      <c r="T1455" s="16">
        <f>M1455*Q1455</f>
        <v>7000</v>
      </c>
      <c r="U1455" s="16"/>
      <c r="V1455" s="16">
        <f>M1455*U1455</f>
        <v>0</v>
      </c>
      <c r="W1455" s="16">
        <f>T1455-V1455</f>
        <v>7000</v>
      </c>
      <c r="X1455" s="18">
        <f>IF(T1455&gt;0, W1455/T1455, 0)</f>
        <v>1</v>
      </c>
      <c r="Y1455" s="9" t="s">
        <v>41</v>
      </c>
      <c r="Z1455" s="11" t="s">
        <v>42</v>
      </c>
      <c r="AA1455" s="11" t="s">
        <v>43</v>
      </c>
      <c r="AB1455" s="11" t="s">
        <v>44</v>
      </c>
      <c r="AC1455" s="9" t="s">
        <v>44</v>
      </c>
    </row>
    <row r="1456" spans="1:29">
      <c r="A1456" s="10">
        <v>1449</v>
      </c>
      <c r="B1456" s="10" t="s">
        <v>1790</v>
      </c>
      <c r="C1456" s="10" t="s">
        <v>1777</v>
      </c>
      <c r="D1456" s="10" t="s">
        <v>655</v>
      </c>
      <c r="E1456" s="10" t="s">
        <v>34</v>
      </c>
      <c r="F1456" s="10" t="s">
        <v>35</v>
      </c>
      <c r="G1456" s="8" t="s">
        <v>36</v>
      </c>
      <c r="H1456" s="8" t="s">
        <v>58</v>
      </c>
      <c r="I1456" s="8" t="s">
        <v>58</v>
      </c>
      <c r="J1456" s="10">
        <v>170</v>
      </c>
      <c r="K1456" s="10" t="s">
        <v>215</v>
      </c>
      <c r="L1456" s="10" t="s">
        <v>40</v>
      </c>
      <c r="M1456" s="12">
        <v>1</v>
      </c>
      <c r="N1456" s="15">
        <v>7500.0</v>
      </c>
      <c r="O1456" s="15"/>
      <c r="P1456" s="17">
        <f>IF(N1456&gt;0, O1456/N1456, 0)</f>
        <v>0</v>
      </c>
      <c r="Q1456" s="15">
        <f>N1456-O1456</f>
        <v>7500</v>
      </c>
      <c r="R1456" s="15">
        <f>M1456*N1456</f>
        <v>7500</v>
      </c>
      <c r="S1456" s="15">
        <f>M1456*O1456</f>
        <v>0</v>
      </c>
      <c r="T1456" s="15">
        <f>M1456*Q1456</f>
        <v>7500</v>
      </c>
      <c r="U1456" s="15"/>
      <c r="V1456" s="15">
        <f>M1456*U1456</f>
        <v>0</v>
      </c>
      <c r="W1456" s="15">
        <f>T1456-V1456</f>
        <v>7500</v>
      </c>
      <c r="X1456" s="17">
        <f>IF(T1456&gt;0, W1456/T1456, 0)</f>
        <v>1</v>
      </c>
      <c r="Y1456" s="8" t="s">
        <v>41</v>
      </c>
      <c r="Z1456" s="10" t="s">
        <v>42</v>
      </c>
      <c r="AA1456" s="10" t="s">
        <v>43</v>
      </c>
      <c r="AB1456" s="10" t="s">
        <v>44</v>
      </c>
      <c r="AC1456" s="8" t="s">
        <v>44</v>
      </c>
    </row>
    <row r="1457" spans="1:29">
      <c r="A1457" s="11">
        <v>1450</v>
      </c>
      <c r="B1457" s="11" t="s">
        <v>1791</v>
      </c>
      <c r="C1457" s="11" t="s">
        <v>1777</v>
      </c>
      <c r="D1457" s="11" t="s">
        <v>655</v>
      </c>
      <c r="E1457" s="11" t="s">
        <v>34</v>
      </c>
      <c r="F1457" s="11" t="s">
        <v>35</v>
      </c>
      <c r="G1457" s="9" t="s">
        <v>36</v>
      </c>
      <c r="H1457" s="9" t="s">
        <v>53</v>
      </c>
      <c r="I1457" s="9" t="s">
        <v>53</v>
      </c>
      <c r="J1457" s="11">
        <v>182</v>
      </c>
      <c r="K1457" s="11" t="s">
        <v>324</v>
      </c>
      <c r="L1457" s="11" t="s">
        <v>40</v>
      </c>
      <c r="M1457" s="13">
        <v>1</v>
      </c>
      <c r="N1457" s="16">
        <v>8500.0</v>
      </c>
      <c r="O1457" s="16"/>
      <c r="P1457" s="18">
        <f>IF(N1457&gt;0, O1457/N1457, 0)</f>
        <v>0</v>
      </c>
      <c r="Q1457" s="16">
        <f>N1457-O1457</f>
        <v>8500</v>
      </c>
      <c r="R1457" s="16">
        <f>M1457*N1457</f>
        <v>8500</v>
      </c>
      <c r="S1457" s="16">
        <f>M1457*O1457</f>
        <v>0</v>
      </c>
      <c r="T1457" s="16">
        <f>M1457*Q1457</f>
        <v>8500</v>
      </c>
      <c r="U1457" s="16"/>
      <c r="V1457" s="16">
        <f>M1457*U1457</f>
        <v>0</v>
      </c>
      <c r="W1457" s="16">
        <f>T1457-V1457</f>
        <v>8500</v>
      </c>
      <c r="X1457" s="18">
        <f>IF(T1457&gt;0, W1457/T1457, 0)</f>
        <v>1</v>
      </c>
      <c r="Y1457" s="9" t="s">
        <v>41</v>
      </c>
      <c r="Z1457" s="11" t="s">
        <v>42</v>
      </c>
      <c r="AA1457" s="11" t="s">
        <v>43</v>
      </c>
      <c r="AB1457" s="11" t="s">
        <v>44</v>
      </c>
      <c r="AC1457" s="9" t="s">
        <v>44</v>
      </c>
    </row>
    <row r="1458" spans="1:29">
      <c r="A1458" s="10">
        <v>1451</v>
      </c>
      <c r="B1458" s="10" t="s">
        <v>1792</v>
      </c>
      <c r="C1458" s="10" t="s">
        <v>1777</v>
      </c>
      <c r="D1458" s="10" t="s">
        <v>655</v>
      </c>
      <c r="E1458" s="10" t="s">
        <v>34</v>
      </c>
      <c r="F1458" s="10" t="s">
        <v>35</v>
      </c>
      <c r="G1458" s="8" t="s">
        <v>36</v>
      </c>
      <c r="H1458" s="8" t="s">
        <v>65</v>
      </c>
      <c r="I1458" s="8" t="s">
        <v>151</v>
      </c>
      <c r="J1458" s="10">
        <v>170</v>
      </c>
      <c r="K1458" s="10" t="s">
        <v>152</v>
      </c>
      <c r="L1458" s="10" t="s">
        <v>40</v>
      </c>
      <c r="M1458" s="12">
        <v>1</v>
      </c>
      <c r="N1458" s="15">
        <v>9500.0</v>
      </c>
      <c r="O1458" s="15"/>
      <c r="P1458" s="17">
        <f>IF(N1458&gt;0, O1458/N1458, 0)</f>
        <v>0</v>
      </c>
      <c r="Q1458" s="15">
        <f>N1458-O1458</f>
        <v>9500</v>
      </c>
      <c r="R1458" s="15">
        <f>M1458*N1458</f>
        <v>9500</v>
      </c>
      <c r="S1458" s="15">
        <f>M1458*O1458</f>
        <v>0</v>
      </c>
      <c r="T1458" s="15">
        <f>M1458*Q1458</f>
        <v>9500</v>
      </c>
      <c r="U1458" s="15"/>
      <c r="V1458" s="15">
        <f>M1458*U1458</f>
        <v>0</v>
      </c>
      <c r="W1458" s="15">
        <f>T1458-V1458</f>
        <v>9500</v>
      </c>
      <c r="X1458" s="17">
        <f>IF(T1458&gt;0, W1458/T1458, 0)</f>
        <v>1</v>
      </c>
      <c r="Y1458" s="8" t="s">
        <v>41</v>
      </c>
      <c r="Z1458" s="10" t="s">
        <v>42</v>
      </c>
      <c r="AA1458" s="10" t="s">
        <v>43</v>
      </c>
      <c r="AB1458" s="10" t="s">
        <v>44</v>
      </c>
      <c r="AC1458" s="8" t="s">
        <v>44</v>
      </c>
    </row>
    <row r="1459" spans="1:29">
      <c r="A1459" s="11">
        <v>1452</v>
      </c>
      <c r="B1459" s="11" t="s">
        <v>1793</v>
      </c>
      <c r="C1459" s="11" t="s">
        <v>1777</v>
      </c>
      <c r="D1459" s="11" t="s">
        <v>655</v>
      </c>
      <c r="E1459" s="11" t="s">
        <v>34</v>
      </c>
      <c r="F1459" s="11" t="s">
        <v>35</v>
      </c>
      <c r="G1459" s="9" t="s">
        <v>36</v>
      </c>
      <c r="H1459" s="9" t="s">
        <v>71</v>
      </c>
      <c r="I1459" s="9" t="s">
        <v>71</v>
      </c>
      <c r="J1459" s="11">
        <v>176</v>
      </c>
      <c r="K1459" s="11" t="s">
        <v>206</v>
      </c>
      <c r="L1459" s="11" t="s">
        <v>40</v>
      </c>
      <c r="M1459" s="13">
        <v>1</v>
      </c>
      <c r="N1459" s="16">
        <v>16500.0</v>
      </c>
      <c r="O1459" s="16"/>
      <c r="P1459" s="18">
        <f>IF(N1459&gt;0, O1459/N1459, 0)</f>
        <v>0</v>
      </c>
      <c r="Q1459" s="16">
        <f>N1459-O1459</f>
        <v>16500</v>
      </c>
      <c r="R1459" s="16">
        <f>M1459*N1459</f>
        <v>16500</v>
      </c>
      <c r="S1459" s="16">
        <f>M1459*O1459</f>
        <v>0</v>
      </c>
      <c r="T1459" s="16">
        <f>M1459*Q1459</f>
        <v>16500</v>
      </c>
      <c r="U1459" s="16"/>
      <c r="V1459" s="16">
        <f>M1459*U1459</f>
        <v>0</v>
      </c>
      <c r="W1459" s="16">
        <f>T1459-V1459</f>
        <v>16500</v>
      </c>
      <c r="X1459" s="18">
        <f>IF(T1459&gt;0, W1459/T1459, 0)</f>
        <v>1</v>
      </c>
      <c r="Y1459" s="9" t="s">
        <v>41</v>
      </c>
      <c r="Z1459" s="11" t="s">
        <v>42</v>
      </c>
      <c r="AA1459" s="11" t="s">
        <v>43</v>
      </c>
      <c r="AB1459" s="11" t="s">
        <v>44</v>
      </c>
      <c r="AC1459" s="9" t="s">
        <v>44</v>
      </c>
    </row>
    <row r="1460" spans="1:29">
      <c r="A1460" s="10">
        <v>1453</v>
      </c>
      <c r="B1460" s="10" t="s">
        <v>1794</v>
      </c>
      <c r="C1460" s="10" t="s">
        <v>1777</v>
      </c>
      <c r="D1460" s="10" t="s">
        <v>655</v>
      </c>
      <c r="E1460" s="10" t="s">
        <v>34</v>
      </c>
      <c r="F1460" s="10" t="s">
        <v>35</v>
      </c>
      <c r="G1460" s="8" t="s">
        <v>36</v>
      </c>
      <c r="H1460" s="8" t="s">
        <v>37</v>
      </c>
      <c r="I1460" s="8" t="s">
        <v>75</v>
      </c>
      <c r="J1460" s="10">
        <v>176</v>
      </c>
      <c r="K1460" s="10" t="s">
        <v>423</v>
      </c>
      <c r="L1460" s="10" t="s">
        <v>40</v>
      </c>
      <c r="M1460" s="12">
        <v>1</v>
      </c>
      <c r="N1460" s="15">
        <v>9000.0</v>
      </c>
      <c r="O1460" s="15"/>
      <c r="P1460" s="17">
        <f>IF(N1460&gt;0, O1460/N1460, 0)</f>
        <v>0</v>
      </c>
      <c r="Q1460" s="15">
        <f>N1460-O1460</f>
        <v>9000</v>
      </c>
      <c r="R1460" s="15">
        <f>M1460*N1460</f>
        <v>9000</v>
      </c>
      <c r="S1460" s="15">
        <f>M1460*O1460</f>
        <v>0</v>
      </c>
      <c r="T1460" s="15">
        <f>M1460*Q1460</f>
        <v>9000</v>
      </c>
      <c r="U1460" s="15"/>
      <c r="V1460" s="15">
        <f>M1460*U1460</f>
        <v>0</v>
      </c>
      <c r="W1460" s="15">
        <f>T1460-V1460</f>
        <v>9000</v>
      </c>
      <c r="X1460" s="17">
        <f>IF(T1460&gt;0, W1460/T1460, 0)</f>
        <v>1</v>
      </c>
      <c r="Y1460" s="8" t="s">
        <v>41</v>
      </c>
      <c r="Z1460" s="10" t="s">
        <v>42</v>
      </c>
      <c r="AA1460" s="10" t="s">
        <v>43</v>
      </c>
      <c r="AB1460" s="10" t="s">
        <v>44</v>
      </c>
      <c r="AC1460" s="8" t="s">
        <v>44</v>
      </c>
    </row>
    <row r="1461" spans="1:29">
      <c r="A1461" s="11">
        <v>1454</v>
      </c>
      <c r="B1461" s="11" t="s">
        <v>1795</v>
      </c>
      <c r="C1461" s="11" t="s">
        <v>1777</v>
      </c>
      <c r="D1461" s="11" t="s">
        <v>655</v>
      </c>
      <c r="E1461" s="11" t="s">
        <v>34</v>
      </c>
      <c r="F1461" s="11" t="s">
        <v>35</v>
      </c>
      <c r="G1461" s="9" t="s">
        <v>36</v>
      </c>
      <c r="H1461" s="9" t="s">
        <v>37</v>
      </c>
      <c r="I1461" s="9" t="s">
        <v>38</v>
      </c>
      <c r="J1461" s="11">
        <v>176</v>
      </c>
      <c r="K1461" s="11" t="s">
        <v>355</v>
      </c>
      <c r="L1461" s="11" t="s">
        <v>40</v>
      </c>
      <c r="M1461" s="13">
        <v>1</v>
      </c>
      <c r="N1461" s="16">
        <v>8000.0</v>
      </c>
      <c r="O1461" s="16"/>
      <c r="P1461" s="18">
        <f>IF(N1461&gt;0, O1461/N1461, 0)</f>
        <v>0</v>
      </c>
      <c r="Q1461" s="16">
        <f>N1461-O1461</f>
        <v>8000</v>
      </c>
      <c r="R1461" s="16">
        <f>M1461*N1461</f>
        <v>8000</v>
      </c>
      <c r="S1461" s="16">
        <f>M1461*O1461</f>
        <v>0</v>
      </c>
      <c r="T1461" s="16">
        <f>M1461*Q1461</f>
        <v>8000</v>
      </c>
      <c r="U1461" s="16"/>
      <c r="V1461" s="16">
        <f>M1461*U1461</f>
        <v>0</v>
      </c>
      <c r="W1461" s="16">
        <f>T1461-V1461</f>
        <v>8000</v>
      </c>
      <c r="X1461" s="18">
        <f>IF(T1461&gt;0, W1461/T1461, 0)</f>
        <v>1</v>
      </c>
      <c r="Y1461" s="9" t="s">
        <v>41</v>
      </c>
      <c r="Z1461" s="11" t="s">
        <v>42</v>
      </c>
      <c r="AA1461" s="11" t="s">
        <v>43</v>
      </c>
      <c r="AB1461" s="11" t="s">
        <v>44</v>
      </c>
      <c r="AC1461" s="9" t="s">
        <v>44</v>
      </c>
    </row>
    <row r="1462" spans="1:29">
      <c r="A1462" s="10">
        <v>1455</v>
      </c>
      <c r="B1462" s="10" t="s">
        <v>1796</v>
      </c>
      <c r="C1462" s="10" t="s">
        <v>1777</v>
      </c>
      <c r="D1462" s="10" t="s">
        <v>655</v>
      </c>
      <c r="E1462" s="10" t="s">
        <v>70</v>
      </c>
      <c r="F1462" s="10" t="s">
        <v>35</v>
      </c>
      <c r="G1462" s="8" t="s">
        <v>36</v>
      </c>
      <c r="H1462" s="8" t="s">
        <v>71</v>
      </c>
      <c r="I1462" s="8" t="s">
        <v>71</v>
      </c>
      <c r="J1462" s="10">
        <v>158</v>
      </c>
      <c r="K1462" s="10" t="s">
        <v>263</v>
      </c>
      <c r="L1462" s="10" t="s">
        <v>40</v>
      </c>
      <c r="M1462" s="12">
        <v>1</v>
      </c>
      <c r="N1462" s="15">
        <v>17000.0</v>
      </c>
      <c r="O1462" s="15"/>
      <c r="P1462" s="17">
        <f>IF(N1462&gt;0, O1462/N1462, 0)</f>
        <v>0</v>
      </c>
      <c r="Q1462" s="15">
        <f>N1462-O1462</f>
        <v>17000</v>
      </c>
      <c r="R1462" s="15">
        <f>M1462*N1462</f>
        <v>17000</v>
      </c>
      <c r="S1462" s="15">
        <f>M1462*O1462</f>
        <v>0</v>
      </c>
      <c r="T1462" s="15">
        <f>M1462*Q1462</f>
        <v>17000</v>
      </c>
      <c r="U1462" s="15"/>
      <c r="V1462" s="15">
        <f>M1462*U1462</f>
        <v>0</v>
      </c>
      <c r="W1462" s="15">
        <f>T1462-V1462</f>
        <v>17000</v>
      </c>
      <c r="X1462" s="17">
        <f>IF(T1462&gt;0, W1462/T1462, 0)</f>
        <v>1</v>
      </c>
      <c r="Y1462" s="8" t="s">
        <v>41</v>
      </c>
      <c r="Z1462" s="10" t="s">
        <v>42</v>
      </c>
      <c r="AA1462" s="10" t="s">
        <v>73</v>
      </c>
      <c r="AB1462" s="10" t="s">
        <v>44</v>
      </c>
      <c r="AC1462" s="8" t="s">
        <v>44</v>
      </c>
    </row>
    <row r="1463" spans="1:29">
      <c r="A1463" s="11">
        <v>1456</v>
      </c>
      <c r="B1463" s="11" t="s">
        <v>1797</v>
      </c>
      <c r="C1463" s="11" t="s">
        <v>1777</v>
      </c>
      <c r="D1463" s="11" t="s">
        <v>655</v>
      </c>
      <c r="E1463" s="11" t="s">
        <v>34</v>
      </c>
      <c r="F1463" s="11" t="s">
        <v>35</v>
      </c>
      <c r="G1463" s="9" t="s">
        <v>36</v>
      </c>
      <c r="H1463" s="9" t="s">
        <v>71</v>
      </c>
      <c r="I1463" s="9" t="s">
        <v>71</v>
      </c>
      <c r="J1463" s="11">
        <v>176</v>
      </c>
      <c r="K1463" s="11" t="s">
        <v>206</v>
      </c>
      <c r="L1463" s="11" t="s">
        <v>40</v>
      </c>
      <c r="M1463" s="13">
        <v>1</v>
      </c>
      <c r="N1463" s="16">
        <v>16500.0</v>
      </c>
      <c r="O1463" s="16"/>
      <c r="P1463" s="18">
        <f>IF(N1463&gt;0, O1463/N1463, 0)</f>
        <v>0</v>
      </c>
      <c r="Q1463" s="16">
        <f>N1463-O1463</f>
        <v>16500</v>
      </c>
      <c r="R1463" s="16">
        <f>M1463*N1463</f>
        <v>16500</v>
      </c>
      <c r="S1463" s="16">
        <f>M1463*O1463</f>
        <v>0</v>
      </c>
      <c r="T1463" s="16">
        <f>M1463*Q1463</f>
        <v>16500</v>
      </c>
      <c r="U1463" s="16"/>
      <c r="V1463" s="16">
        <f>M1463*U1463</f>
        <v>0</v>
      </c>
      <c r="W1463" s="16">
        <f>T1463-V1463</f>
        <v>16500</v>
      </c>
      <c r="X1463" s="18">
        <f>IF(T1463&gt;0, W1463/T1463, 0)</f>
        <v>1</v>
      </c>
      <c r="Y1463" s="9" t="s">
        <v>41</v>
      </c>
      <c r="Z1463" s="11" t="s">
        <v>42</v>
      </c>
      <c r="AA1463" s="11" t="s">
        <v>43</v>
      </c>
      <c r="AB1463" s="11" t="s">
        <v>44</v>
      </c>
      <c r="AC1463" s="9" t="s">
        <v>44</v>
      </c>
    </row>
    <row r="1464" spans="1:29">
      <c r="A1464" s="10">
        <v>1457</v>
      </c>
      <c r="B1464" s="10" t="s">
        <v>1798</v>
      </c>
      <c r="C1464" s="10" t="s">
        <v>1777</v>
      </c>
      <c r="D1464" s="10" t="s">
        <v>655</v>
      </c>
      <c r="E1464" s="10" t="s">
        <v>34</v>
      </c>
      <c r="F1464" s="10" t="s">
        <v>35</v>
      </c>
      <c r="G1464" s="8" t="s">
        <v>36</v>
      </c>
      <c r="H1464" s="8" t="s">
        <v>53</v>
      </c>
      <c r="I1464" s="8" t="s">
        <v>53</v>
      </c>
      <c r="J1464" s="10">
        <v>176</v>
      </c>
      <c r="K1464" s="10" t="s">
        <v>421</v>
      </c>
      <c r="L1464" s="10" t="s">
        <v>40</v>
      </c>
      <c r="M1464" s="12">
        <v>1</v>
      </c>
      <c r="N1464" s="15">
        <v>8500.0</v>
      </c>
      <c r="O1464" s="15"/>
      <c r="P1464" s="17">
        <f>IF(N1464&gt;0, O1464/N1464, 0)</f>
        <v>0</v>
      </c>
      <c r="Q1464" s="15">
        <f>N1464-O1464</f>
        <v>8500</v>
      </c>
      <c r="R1464" s="15">
        <f>M1464*N1464</f>
        <v>8500</v>
      </c>
      <c r="S1464" s="15">
        <f>M1464*O1464</f>
        <v>0</v>
      </c>
      <c r="T1464" s="15">
        <f>M1464*Q1464</f>
        <v>8500</v>
      </c>
      <c r="U1464" s="15"/>
      <c r="V1464" s="15">
        <f>M1464*U1464</f>
        <v>0</v>
      </c>
      <c r="W1464" s="15">
        <f>T1464-V1464</f>
        <v>8500</v>
      </c>
      <c r="X1464" s="17">
        <f>IF(T1464&gt;0, W1464/T1464, 0)</f>
        <v>1</v>
      </c>
      <c r="Y1464" s="8" t="s">
        <v>41</v>
      </c>
      <c r="Z1464" s="10" t="s">
        <v>42</v>
      </c>
      <c r="AA1464" s="10" t="s">
        <v>43</v>
      </c>
      <c r="AB1464" s="10" t="s">
        <v>44</v>
      </c>
      <c r="AC1464" s="8" t="s">
        <v>44</v>
      </c>
    </row>
    <row r="1465" spans="1:29">
      <c r="A1465" s="11">
        <v>1458</v>
      </c>
      <c r="B1465" s="11" t="s">
        <v>1799</v>
      </c>
      <c r="C1465" s="11" t="s">
        <v>1777</v>
      </c>
      <c r="D1465" s="11" t="s">
        <v>655</v>
      </c>
      <c r="E1465" s="11" t="s">
        <v>34</v>
      </c>
      <c r="F1465" s="11" t="s">
        <v>35</v>
      </c>
      <c r="G1465" s="9" t="s">
        <v>36</v>
      </c>
      <c r="H1465" s="9" t="s">
        <v>65</v>
      </c>
      <c r="I1465" s="9" t="s">
        <v>151</v>
      </c>
      <c r="J1465" s="11">
        <v>170</v>
      </c>
      <c r="K1465" s="11" t="s">
        <v>152</v>
      </c>
      <c r="L1465" s="11" t="s">
        <v>40</v>
      </c>
      <c r="M1465" s="13">
        <v>1</v>
      </c>
      <c r="N1465" s="16">
        <v>9500.0</v>
      </c>
      <c r="O1465" s="16"/>
      <c r="P1465" s="18">
        <f>IF(N1465&gt;0, O1465/N1465, 0)</f>
        <v>0</v>
      </c>
      <c r="Q1465" s="16">
        <f>N1465-O1465</f>
        <v>9500</v>
      </c>
      <c r="R1465" s="16">
        <f>M1465*N1465</f>
        <v>9500</v>
      </c>
      <c r="S1465" s="16">
        <f>M1465*O1465</f>
        <v>0</v>
      </c>
      <c r="T1465" s="16">
        <f>M1465*Q1465</f>
        <v>9500</v>
      </c>
      <c r="U1465" s="16"/>
      <c r="V1465" s="16">
        <f>M1465*U1465</f>
        <v>0</v>
      </c>
      <c r="W1465" s="16">
        <f>T1465-V1465</f>
        <v>9500</v>
      </c>
      <c r="X1465" s="18">
        <f>IF(T1465&gt;0, W1465/T1465, 0)</f>
        <v>1</v>
      </c>
      <c r="Y1465" s="9" t="s">
        <v>41</v>
      </c>
      <c r="Z1465" s="11" t="s">
        <v>42</v>
      </c>
      <c r="AA1465" s="11" t="s">
        <v>43</v>
      </c>
      <c r="AB1465" s="11" t="s">
        <v>44</v>
      </c>
      <c r="AC1465" s="9" t="s">
        <v>44</v>
      </c>
    </row>
    <row r="1466" spans="1:29">
      <c r="A1466" s="10">
        <v>1459</v>
      </c>
      <c r="B1466" s="10" t="s">
        <v>1800</v>
      </c>
      <c r="C1466" s="10" t="s">
        <v>1777</v>
      </c>
      <c r="D1466" s="10" t="s">
        <v>655</v>
      </c>
      <c r="E1466" s="10" t="s">
        <v>34</v>
      </c>
      <c r="F1466" s="10" t="s">
        <v>35</v>
      </c>
      <c r="G1466" s="8" t="s">
        <v>36</v>
      </c>
      <c r="H1466" s="8" t="s">
        <v>37</v>
      </c>
      <c r="I1466" s="8" t="s">
        <v>75</v>
      </c>
      <c r="J1466" s="10">
        <v>176</v>
      </c>
      <c r="K1466" s="10" t="s">
        <v>423</v>
      </c>
      <c r="L1466" s="10" t="s">
        <v>40</v>
      </c>
      <c r="M1466" s="12">
        <v>1</v>
      </c>
      <c r="N1466" s="15">
        <v>9000.0</v>
      </c>
      <c r="O1466" s="15"/>
      <c r="P1466" s="17">
        <f>IF(N1466&gt;0, O1466/N1466, 0)</f>
        <v>0</v>
      </c>
      <c r="Q1466" s="15">
        <f>N1466-O1466</f>
        <v>9000</v>
      </c>
      <c r="R1466" s="15">
        <f>M1466*N1466</f>
        <v>9000</v>
      </c>
      <c r="S1466" s="15">
        <f>M1466*O1466</f>
        <v>0</v>
      </c>
      <c r="T1466" s="15">
        <f>M1466*Q1466</f>
        <v>9000</v>
      </c>
      <c r="U1466" s="15"/>
      <c r="V1466" s="15">
        <f>M1466*U1466</f>
        <v>0</v>
      </c>
      <c r="W1466" s="15">
        <f>T1466-V1466</f>
        <v>9000</v>
      </c>
      <c r="X1466" s="17">
        <f>IF(T1466&gt;0, W1466/T1466, 0)</f>
        <v>1</v>
      </c>
      <c r="Y1466" s="8" t="s">
        <v>41</v>
      </c>
      <c r="Z1466" s="10" t="s">
        <v>42</v>
      </c>
      <c r="AA1466" s="10" t="s">
        <v>43</v>
      </c>
      <c r="AB1466" s="10" t="s">
        <v>44</v>
      </c>
      <c r="AC1466" s="8" t="s">
        <v>44</v>
      </c>
    </row>
    <row r="1467" spans="1:29">
      <c r="A1467" s="11">
        <v>1460</v>
      </c>
      <c r="B1467" s="11" t="s">
        <v>1801</v>
      </c>
      <c r="C1467" s="11" t="s">
        <v>1777</v>
      </c>
      <c r="D1467" s="11" t="s">
        <v>655</v>
      </c>
      <c r="E1467" s="11" t="s">
        <v>34</v>
      </c>
      <c r="F1467" s="11" t="s">
        <v>35</v>
      </c>
      <c r="G1467" s="9" t="s">
        <v>36</v>
      </c>
      <c r="H1467" s="9" t="s">
        <v>37</v>
      </c>
      <c r="I1467" s="9" t="s">
        <v>38</v>
      </c>
      <c r="J1467" s="11">
        <v>170</v>
      </c>
      <c r="K1467" s="11" t="s">
        <v>145</v>
      </c>
      <c r="L1467" s="11" t="s">
        <v>40</v>
      </c>
      <c r="M1467" s="13">
        <v>1</v>
      </c>
      <c r="N1467" s="16">
        <v>8000.0</v>
      </c>
      <c r="O1467" s="16"/>
      <c r="P1467" s="18">
        <f>IF(N1467&gt;0, O1467/N1467, 0)</f>
        <v>0</v>
      </c>
      <c r="Q1467" s="16">
        <f>N1467-O1467</f>
        <v>8000</v>
      </c>
      <c r="R1467" s="16">
        <f>M1467*N1467</f>
        <v>8000</v>
      </c>
      <c r="S1467" s="16">
        <f>M1467*O1467</f>
        <v>0</v>
      </c>
      <c r="T1467" s="16">
        <f>M1467*Q1467</f>
        <v>8000</v>
      </c>
      <c r="U1467" s="16"/>
      <c r="V1467" s="16">
        <f>M1467*U1467</f>
        <v>0</v>
      </c>
      <c r="W1467" s="16">
        <f>T1467-V1467</f>
        <v>8000</v>
      </c>
      <c r="X1467" s="18">
        <f>IF(T1467&gt;0, W1467/T1467, 0)</f>
        <v>1</v>
      </c>
      <c r="Y1467" s="9" t="s">
        <v>41</v>
      </c>
      <c r="Z1467" s="11" t="s">
        <v>42</v>
      </c>
      <c r="AA1467" s="11" t="s">
        <v>43</v>
      </c>
      <c r="AB1467" s="11" t="s">
        <v>44</v>
      </c>
      <c r="AC1467" s="9" t="s">
        <v>44</v>
      </c>
    </row>
    <row r="1468" spans="1:29">
      <c r="A1468" s="10">
        <v>1461</v>
      </c>
      <c r="B1468" s="10" t="s">
        <v>1802</v>
      </c>
      <c r="C1468" s="10" t="s">
        <v>1777</v>
      </c>
      <c r="D1468" s="10" t="s">
        <v>655</v>
      </c>
      <c r="E1468" s="10" t="s">
        <v>34</v>
      </c>
      <c r="F1468" s="10" t="s">
        <v>35</v>
      </c>
      <c r="G1468" s="8" t="s">
        <v>52</v>
      </c>
      <c r="H1468" s="8" t="s">
        <v>53</v>
      </c>
      <c r="I1468" s="8" t="s">
        <v>53</v>
      </c>
      <c r="J1468" s="10">
        <v>164</v>
      </c>
      <c r="K1468" s="10" t="s">
        <v>407</v>
      </c>
      <c r="L1468" s="10" t="s">
        <v>55</v>
      </c>
      <c r="M1468" s="12">
        <v>1</v>
      </c>
      <c r="N1468" s="15">
        <v>8000.0</v>
      </c>
      <c r="O1468" s="15"/>
      <c r="P1468" s="17">
        <f>IF(N1468&gt;0, O1468/N1468, 0)</f>
        <v>0</v>
      </c>
      <c r="Q1468" s="15">
        <f>N1468-O1468</f>
        <v>8000</v>
      </c>
      <c r="R1468" s="15">
        <f>M1468*N1468</f>
        <v>8000</v>
      </c>
      <c r="S1468" s="15">
        <f>M1468*O1468</f>
        <v>0</v>
      </c>
      <c r="T1468" s="15">
        <f>M1468*Q1468</f>
        <v>8000</v>
      </c>
      <c r="U1468" s="15"/>
      <c r="V1468" s="15">
        <f>M1468*U1468</f>
        <v>0</v>
      </c>
      <c r="W1468" s="15">
        <f>T1468-V1468</f>
        <v>8000</v>
      </c>
      <c r="X1468" s="17">
        <f>IF(T1468&gt;0, W1468/T1468, 0)</f>
        <v>1</v>
      </c>
      <c r="Y1468" s="8" t="s">
        <v>41</v>
      </c>
      <c r="Z1468" s="10" t="s">
        <v>42</v>
      </c>
      <c r="AA1468" s="10" t="s">
        <v>43</v>
      </c>
      <c r="AB1468" s="10" t="s">
        <v>44</v>
      </c>
      <c r="AC1468" s="8" t="s">
        <v>44</v>
      </c>
    </row>
    <row r="1469" spans="1:29">
      <c r="A1469" s="11">
        <v>1462</v>
      </c>
      <c r="B1469" s="11" t="s">
        <v>1803</v>
      </c>
      <c r="C1469" s="11" t="s">
        <v>1777</v>
      </c>
      <c r="D1469" s="11" t="s">
        <v>655</v>
      </c>
      <c r="E1469" s="11" t="s">
        <v>34</v>
      </c>
      <c r="F1469" s="11" t="s">
        <v>35</v>
      </c>
      <c r="G1469" s="9" t="s">
        <v>52</v>
      </c>
      <c r="H1469" s="9" t="s">
        <v>65</v>
      </c>
      <c r="I1469" s="9" t="s">
        <v>151</v>
      </c>
      <c r="J1469" s="11">
        <v>152</v>
      </c>
      <c r="K1469" s="11" t="s">
        <v>254</v>
      </c>
      <c r="L1469" s="11" t="s">
        <v>40</v>
      </c>
      <c r="M1469" s="13">
        <v>1</v>
      </c>
      <c r="N1469" s="16">
        <v>9000.0</v>
      </c>
      <c r="O1469" s="16"/>
      <c r="P1469" s="18">
        <f>IF(N1469&gt;0, O1469/N1469, 0)</f>
        <v>0</v>
      </c>
      <c r="Q1469" s="16">
        <f>N1469-O1469</f>
        <v>9000</v>
      </c>
      <c r="R1469" s="16">
        <f>M1469*N1469</f>
        <v>9000</v>
      </c>
      <c r="S1469" s="16">
        <f>M1469*O1469</f>
        <v>0</v>
      </c>
      <c r="T1469" s="16">
        <f>M1469*Q1469</f>
        <v>9000</v>
      </c>
      <c r="U1469" s="16"/>
      <c r="V1469" s="16">
        <f>M1469*U1469</f>
        <v>0</v>
      </c>
      <c r="W1469" s="16">
        <f>T1469-V1469</f>
        <v>9000</v>
      </c>
      <c r="X1469" s="18">
        <f>IF(T1469&gt;0, W1469/T1469, 0)</f>
        <v>1</v>
      </c>
      <c r="Y1469" s="9" t="s">
        <v>41</v>
      </c>
      <c r="Z1469" s="11" t="s">
        <v>42</v>
      </c>
      <c r="AA1469" s="11" t="s">
        <v>43</v>
      </c>
      <c r="AB1469" s="11" t="s">
        <v>44</v>
      </c>
      <c r="AC1469" s="9" t="s">
        <v>44</v>
      </c>
    </row>
    <row r="1470" spans="1:29">
      <c r="A1470" s="10">
        <v>1463</v>
      </c>
      <c r="B1470" s="10" t="s">
        <v>1804</v>
      </c>
      <c r="C1470" s="10" t="s">
        <v>1777</v>
      </c>
      <c r="D1470" s="10" t="s">
        <v>655</v>
      </c>
      <c r="E1470" s="10" t="s">
        <v>34</v>
      </c>
      <c r="F1470" s="10" t="s">
        <v>35</v>
      </c>
      <c r="G1470" s="8" t="s">
        <v>52</v>
      </c>
      <c r="H1470" s="8" t="s">
        <v>37</v>
      </c>
      <c r="I1470" s="8" t="s">
        <v>75</v>
      </c>
      <c r="J1470" s="10">
        <v>152</v>
      </c>
      <c r="K1470" s="10" t="s">
        <v>608</v>
      </c>
      <c r="L1470" s="10" t="s">
        <v>55</v>
      </c>
      <c r="M1470" s="12">
        <v>1</v>
      </c>
      <c r="N1470" s="15">
        <v>8000.0</v>
      </c>
      <c r="O1470" s="15"/>
      <c r="P1470" s="17">
        <f>IF(N1470&gt;0, O1470/N1470, 0)</f>
        <v>0</v>
      </c>
      <c r="Q1470" s="15">
        <f>N1470-O1470</f>
        <v>8000</v>
      </c>
      <c r="R1470" s="15">
        <f>M1470*N1470</f>
        <v>8000</v>
      </c>
      <c r="S1470" s="15">
        <f>M1470*O1470</f>
        <v>0</v>
      </c>
      <c r="T1470" s="15">
        <f>M1470*Q1470</f>
        <v>8000</v>
      </c>
      <c r="U1470" s="15"/>
      <c r="V1470" s="15">
        <f>M1470*U1470</f>
        <v>0</v>
      </c>
      <c r="W1470" s="15">
        <f>T1470-V1470</f>
        <v>8000</v>
      </c>
      <c r="X1470" s="17">
        <f>IF(T1470&gt;0, W1470/T1470, 0)</f>
        <v>1</v>
      </c>
      <c r="Y1470" s="8" t="s">
        <v>41</v>
      </c>
      <c r="Z1470" s="10" t="s">
        <v>42</v>
      </c>
      <c r="AA1470" s="10" t="s">
        <v>43</v>
      </c>
      <c r="AB1470" s="10" t="s">
        <v>44</v>
      </c>
      <c r="AC1470" s="8" t="s">
        <v>44</v>
      </c>
    </row>
    <row r="1471" spans="1:29">
      <c r="A1471" s="11">
        <v>1464</v>
      </c>
      <c r="B1471" s="11" t="s">
        <v>1805</v>
      </c>
      <c r="C1471" s="11" t="s">
        <v>1777</v>
      </c>
      <c r="D1471" s="11" t="s">
        <v>655</v>
      </c>
      <c r="E1471" s="11" t="s">
        <v>34</v>
      </c>
      <c r="F1471" s="11" t="s">
        <v>35</v>
      </c>
      <c r="G1471" s="9" t="s">
        <v>52</v>
      </c>
      <c r="H1471" s="9" t="s">
        <v>37</v>
      </c>
      <c r="I1471" s="9" t="s">
        <v>38</v>
      </c>
      <c r="J1471" s="11">
        <v>158</v>
      </c>
      <c r="K1471" s="11" t="s">
        <v>132</v>
      </c>
      <c r="L1471" s="11" t="s">
        <v>55</v>
      </c>
      <c r="M1471" s="13">
        <v>1</v>
      </c>
      <c r="N1471" s="16">
        <v>7000.0</v>
      </c>
      <c r="O1471" s="16"/>
      <c r="P1471" s="18">
        <f>IF(N1471&gt;0, O1471/N1471, 0)</f>
        <v>0</v>
      </c>
      <c r="Q1471" s="16">
        <f>N1471-O1471</f>
        <v>7000</v>
      </c>
      <c r="R1471" s="16">
        <f>M1471*N1471</f>
        <v>7000</v>
      </c>
      <c r="S1471" s="16">
        <f>M1471*O1471</f>
        <v>0</v>
      </c>
      <c r="T1471" s="16">
        <f>M1471*Q1471</f>
        <v>7000</v>
      </c>
      <c r="U1471" s="16"/>
      <c r="V1471" s="16">
        <f>M1471*U1471</f>
        <v>0</v>
      </c>
      <c r="W1471" s="16">
        <f>T1471-V1471</f>
        <v>7000</v>
      </c>
      <c r="X1471" s="18">
        <f>IF(T1471&gt;0, W1471/T1471, 0)</f>
        <v>1</v>
      </c>
      <c r="Y1471" s="9" t="s">
        <v>41</v>
      </c>
      <c r="Z1471" s="11" t="s">
        <v>42</v>
      </c>
      <c r="AA1471" s="11" t="s">
        <v>43</v>
      </c>
      <c r="AB1471" s="11" t="s">
        <v>44</v>
      </c>
      <c r="AC1471" s="9" t="s">
        <v>44</v>
      </c>
    </row>
    <row r="1472" spans="1:29">
      <c r="A1472" s="10">
        <v>1465</v>
      </c>
      <c r="B1472" s="10" t="s">
        <v>1806</v>
      </c>
      <c r="C1472" s="10" t="s">
        <v>1777</v>
      </c>
      <c r="D1472" s="10" t="s">
        <v>655</v>
      </c>
      <c r="E1472" s="10" t="s">
        <v>70</v>
      </c>
      <c r="F1472" s="10" t="s">
        <v>35</v>
      </c>
      <c r="G1472" s="8" t="s">
        <v>36</v>
      </c>
      <c r="H1472" s="8" t="s">
        <v>37</v>
      </c>
      <c r="I1472" s="8" t="s">
        <v>75</v>
      </c>
      <c r="J1472" s="10">
        <v>170</v>
      </c>
      <c r="K1472" s="10" t="s">
        <v>651</v>
      </c>
      <c r="L1472" s="10" t="s">
        <v>40</v>
      </c>
      <c r="M1472" s="12">
        <v>1</v>
      </c>
      <c r="N1472" s="15">
        <v>11000.0</v>
      </c>
      <c r="O1472" s="15"/>
      <c r="P1472" s="17">
        <f>IF(N1472&gt;0, O1472/N1472, 0)</f>
        <v>0</v>
      </c>
      <c r="Q1472" s="15">
        <f>N1472-O1472</f>
        <v>11000</v>
      </c>
      <c r="R1472" s="15">
        <f>M1472*N1472</f>
        <v>11000</v>
      </c>
      <c r="S1472" s="15">
        <f>M1472*O1472</f>
        <v>0</v>
      </c>
      <c r="T1472" s="15">
        <f>M1472*Q1472</f>
        <v>11000</v>
      </c>
      <c r="U1472" s="15"/>
      <c r="V1472" s="15">
        <f>M1472*U1472</f>
        <v>0</v>
      </c>
      <c r="W1472" s="15">
        <f>T1472-V1472</f>
        <v>11000</v>
      </c>
      <c r="X1472" s="17">
        <f>IF(T1472&gt;0, W1472/T1472, 0)</f>
        <v>1</v>
      </c>
      <c r="Y1472" s="8" t="s">
        <v>41</v>
      </c>
      <c r="Z1472" s="10" t="s">
        <v>42</v>
      </c>
      <c r="AA1472" s="10" t="s">
        <v>73</v>
      </c>
      <c r="AB1472" s="10" t="s">
        <v>44</v>
      </c>
      <c r="AC1472" s="8" t="s">
        <v>44</v>
      </c>
    </row>
    <row r="1473" spans="1:29">
      <c r="A1473" s="11">
        <v>1466</v>
      </c>
      <c r="B1473" s="11" t="s">
        <v>1807</v>
      </c>
      <c r="C1473" s="11" t="s">
        <v>1777</v>
      </c>
      <c r="D1473" s="11" t="s">
        <v>655</v>
      </c>
      <c r="E1473" s="11" t="s">
        <v>34</v>
      </c>
      <c r="F1473" s="11" t="s">
        <v>35</v>
      </c>
      <c r="G1473" s="9" t="s">
        <v>52</v>
      </c>
      <c r="H1473" s="9" t="s">
        <v>47</v>
      </c>
      <c r="I1473" s="9" t="s">
        <v>48</v>
      </c>
      <c r="J1473" s="11">
        <v>122</v>
      </c>
      <c r="K1473" s="11" t="s">
        <v>479</v>
      </c>
      <c r="L1473" s="11" t="s">
        <v>40</v>
      </c>
      <c r="M1473" s="13">
        <v>1</v>
      </c>
      <c r="N1473" s="16">
        <v>18000.0</v>
      </c>
      <c r="O1473" s="16"/>
      <c r="P1473" s="18">
        <f>IF(N1473&gt;0, O1473/N1473, 0)</f>
        <v>0</v>
      </c>
      <c r="Q1473" s="16">
        <f>N1473-O1473</f>
        <v>18000</v>
      </c>
      <c r="R1473" s="16">
        <f>M1473*N1473</f>
        <v>18000</v>
      </c>
      <c r="S1473" s="16">
        <f>M1473*O1473</f>
        <v>0</v>
      </c>
      <c r="T1473" s="16">
        <f>M1473*Q1473</f>
        <v>18000</v>
      </c>
      <c r="U1473" s="16"/>
      <c r="V1473" s="16">
        <f>M1473*U1473</f>
        <v>0</v>
      </c>
      <c r="W1473" s="16">
        <f>T1473-V1473</f>
        <v>18000</v>
      </c>
      <c r="X1473" s="18">
        <f>IF(T1473&gt;0, W1473/T1473, 0)</f>
        <v>1</v>
      </c>
      <c r="Y1473" s="9" t="s">
        <v>41</v>
      </c>
      <c r="Z1473" s="11" t="s">
        <v>42</v>
      </c>
      <c r="AA1473" s="11" t="s">
        <v>43</v>
      </c>
      <c r="AB1473" s="11" t="s">
        <v>44</v>
      </c>
      <c r="AC1473" s="9" t="s">
        <v>44</v>
      </c>
    </row>
    <row r="1474" spans="1:29">
      <c r="A1474" s="10">
        <v>1467</v>
      </c>
      <c r="B1474" s="10" t="s">
        <v>1808</v>
      </c>
      <c r="C1474" s="10" t="s">
        <v>1777</v>
      </c>
      <c r="D1474" s="10" t="s">
        <v>655</v>
      </c>
      <c r="E1474" s="10" t="s">
        <v>34</v>
      </c>
      <c r="F1474" s="10" t="s">
        <v>35</v>
      </c>
      <c r="G1474" s="8" t="s">
        <v>52</v>
      </c>
      <c r="H1474" s="8" t="s">
        <v>53</v>
      </c>
      <c r="I1474" s="8" t="s">
        <v>53</v>
      </c>
      <c r="J1474" s="10">
        <v>122</v>
      </c>
      <c r="K1474" s="10" t="s">
        <v>84</v>
      </c>
      <c r="L1474" s="10" t="s">
        <v>55</v>
      </c>
      <c r="M1474" s="12">
        <v>2</v>
      </c>
      <c r="N1474" s="15">
        <v>8000.0</v>
      </c>
      <c r="O1474" s="15"/>
      <c r="P1474" s="17">
        <f>IF(N1474&gt;0, O1474/N1474, 0)</f>
        <v>0</v>
      </c>
      <c r="Q1474" s="15">
        <f>N1474-O1474</f>
        <v>8000</v>
      </c>
      <c r="R1474" s="15">
        <f>M1474*N1474</f>
        <v>16000</v>
      </c>
      <c r="S1474" s="15">
        <f>M1474*O1474</f>
        <v>0</v>
      </c>
      <c r="T1474" s="15">
        <f>M1474*Q1474</f>
        <v>16000</v>
      </c>
      <c r="U1474" s="15"/>
      <c r="V1474" s="15">
        <f>M1474*U1474</f>
        <v>0</v>
      </c>
      <c r="W1474" s="15">
        <f>T1474-V1474</f>
        <v>16000</v>
      </c>
      <c r="X1474" s="17">
        <f>IF(T1474&gt;0, W1474/T1474, 0)</f>
        <v>1</v>
      </c>
      <c r="Y1474" s="8" t="s">
        <v>41</v>
      </c>
      <c r="Z1474" s="10" t="s">
        <v>42</v>
      </c>
      <c r="AA1474" s="10" t="s">
        <v>43</v>
      </c>
      <c r="AB1474" s="10" t="s">
        <v>44</v>
      </c>
      <c r="AC1474" s="8" t="s">
        <v>44</v>
      </c>
    </row>
    <row r="1475" spans="1:29">
      <c r="A1475" s="11">
        <v>1468</v>
      </c>
      <c r="B1475" s="11" t="s">
        <v>1809</v>
      </c>
      <c r="C1475" s="11" t="s">
        <v>1777</v>
      </c>
      <c r="D1475" s="11" t="s">
        <v>655</v>
      </c>
      <c r="E1475" s="11" t="s">
        <v>34</v>
      </c>
      <c r="F1475" s="11" t="s">
        <v>35</v>
      </c>
      <c r="G1475" s="9" t="s">
        <v>52</v>
      </c>
      <c r="H1475" s="9" t="s">
        <v>58</v>
      </c>
      <c r="I1475" s="9" t="s">
        <v>58</v>
      </c>
      <c r="J1475" s="11">
        <v>110</v>
      </c>
      <c r="K1475" s="11" t="s">
        <v>961</v>
      </c>
      <c r="L1475" s="11" t="s">
        <v>40</v>
      </c>
      <c r="M1475" s="13">
        <v>1</v>
      </c>
      <c r="N1475" s="16">
        <v>7000.0</v>
      </c>
      <c r="O1475" s="16"/>
      <c r="P1475" s="18">
        <f>IF(N1475&gt;0, O1475/N1475, 0)</f>
        <v>0</v>
      </c>
      <c r="Q1475" s="16">
        <f>N1475-O1475</f>
        <v>7000</v>
      </c>
      <c r="R1475" s="16">
        <f>M1475*N1475</f>
        <v>7000</v>
      </c>
      <c r="S1475" s="16">
        <f>M1475*O1475</f>
        <v>0</v>
      </c>
      <c r="T1475" s="16">
        <f>M1475*Q1475</f>
        <v>7000</v>
      </c>
      <c r="U1475" s="16"/>
      <c r="V1475" s="16">
        <f>M1475*U1475</f>
        <v>0</v>
      </c>
      <c r="W1475" s="16">
        <f>T1475-V1475</f>
        <v>7000</v>
      </c>
      <c r="X1475" s="18">
        <f>IF(T1475&gt;0, W1475/T1475, 0)</f>
        <v>1</v>
      </c>
      <c r="Y1475" s="9" t="s">
        <v>41</v>
      </c>
      <c r="Z1475" s="11" t="s">
        <v>42</v>
      </c>
      <c r="AA1475" s="11" t="s">
        <v>43</v>
      </c>
      <c r="AB1475" s="11" t="s">
        <v>44</v>
      </c>
      <c r="AC1475" s="9" t="s">
        <v>44</v>
      </c>
    </row>
    <row r="1476" spans="1:29">
      <c r="A1476" s="10">
        <v>1469</v>
      </c>
      <c r="B1476" s="10" t="s">
        <v>1810</v>
      </c>
      <c r="C1476" s="10" t="s">
        <v>1777</v>
      </c>
      <c r="D1476" s="10" t="s">
        <v>655</v>
      </c>
      <c r="E1476" s="10" t="s">
        <v>34</v>
      </c>
      <c r="F1476" s="10" t="s">
        <v>35</v>
      </c>
      <c r="G1476" s="8" t="s">
        <v>52</v>
      </c>
      <c r="H1476" s="8" t="s">
        <v>71</v>
      </c>
      <c r="I1476" s="8" t="s">
        <v>71</v>
      </c>
      <c r="J1476" s="10">
        <v>116</v>
      </c>
      <c r="K1476" s="10" t="s">
        <v>89</v>
      </c>
      <c r="L1476" s="10" t="s">
        <v>40</v>
      </c>
      <c r="M1476" s="12">
        <v>1</v>
      </c>
      <c r="N1476" s="15">
        <v>16000.0</v>
      </c>
      <c r="O1476" s="15"/>
      <c r="P1476" s="17">
        <f>IF(N1476&gt;0, O1476/N1476, 0)</f>
        <v>0</v>
      </c>
      <c r="Q1476" s="15">
        <f>N1476-O1476</f>
        <v>16000</v>
      </c>
      <c r="R1476" s="15">
        <f>M1476*N1476</f>
        <v>16000</v>
      </c>
      <c r="S1476" s="15">
        <f>M1476*O1476</f>
        <v>0</v>
      </c>
      <c r="T1476" s="15">
        <f>M1476*Q1476</f>
        <v>16000</v>
      </c>
      <c r="U1476" s="15"/>
      <c r="V1476" s="15">
        <f>M1476*U1476</f>
        <v>0</v>
      </c>
      <c r="W1476" s="15">
        <f>T1476-V1476</f>
        <v>16000</v>
      </c>
      <c r="X1476" s="17">
        <f>IF(T1476&gt;0, W1476/T1476, 0)</f>
        <v>1</v>
      </c>
      <c r="Y1476" s="8" t="s">
        <v>41</v>
      </c>
      <c r="Z1476" s="10" t="s">
        <v>42</v>
      </c>
      <c r="AA1476" s="10" t="s">
        <v>43</v>
      </c>
      <c r="AB1476" s="10" t="s">
        <v>44</v>
      </c>
      <c r="AC1476" s="8" t="s">
        <v>44</v>
      </c>
    </row>
    <row r="1477" spans="1:29">
      <c r="A1477" s="11">
        <v>1470</v>
      </c>
      <c r="B1477" s="11" t="s">
        <v>1811</v>
      </c>
      <c r="C1477" s="11" t="s">
        <v>1777</v>
      </c>
      <c r="D1477" s="11" t="s">
        <v>655</v>
      </c>
      <c r="E1477" s="11" t="s">
        <v>34</v>
      </c>
      <c r="F1477" s="11" t="s">
        <v>35</v>
      </c>
      <c r="G1477" s="9" t="s">
        <v>52</v>
      </c>
      <c r="H1477" s="9" t="s">
        <v>65</v>
      </c>
      <c r="I1477" s="9" t="s">
        <v>151</v>
      </c>
      <c r="J1477" s="11">
        <v>116</v>
      </c>
      <c r="K1477" s="11" t="s">
        <v>1258</v>
      </c>
      <c r="L1477" s="11" t="s">
        <v>40</v>
      </c>
      <c r="M1477" s="13">
        <v>1</v>
      </c>
      <c r="N1477" s="16">
        <v>9000.0</v>
      </c>
      <c r="O1477" s="16"/>
      <c r="P1477" s="18">
        <f>IF(N1477&gt;0, O1477/N1477, 0)</f>
        <v>0</v>
      </c>
      <c r="Q1477" s="16">
        <f>N1477-O1477</f>
        <v>9000</v>
      </c>
      <c r="R1477" s="16">
        <f>M1477*N1477</f>
        <v>9000</v>
      </c>
      <c r="S1477" s="16">
        <f>M1477*O1477</f>
        <v>0</v>
      </c>
      <c r="T1477" s="16">
        <f>M1477*Q1477</f>
        <v>9000</v>
      </c>
      <c r="U1477" s="16"/>
      <c r="V1477" s="16">
        <f>M1477*U1477</f>
        <v>0</v>
      </c>
      <c r="W1477" s="16">
        <f>T1477-V1477</f>
        <v>9000</v>
      </c>
      <c r="X1477" s="18">
        <f>IF(T1477&gt;0, W1477/T1477, 0)</f>
        <v>1</v>
      </c>
      <c r="Y1477" s="9" t="s">
        <v>41</v>
      </c>
      <c r="Z1477" s="11" t="s">
        <v>42</v>
      </c>
      <c r="AA1477" s="11" t="s">
        <v>43</v>
      </c>
      <c r="AB1477" s="11" t="s">
        <v>44</v>
      </c>
      <c r="AC1477" s="9" t="s">
        <v>44</v>
      </c>
    </row>
    <row r="1478" spans="1:29">
      <c r="A1478" s="10">
        <v>1471</v>
      </c>
      <c r="B1478" s="10" t="s">
        <v>1812</v>
      </c>
      <c r="C1478" s="10" t="s">
        <v>1777</v>
      </c>
      <c r="D1478" s="10" t="s">
        <v>655</v>
      </c>
      <c r="E1478" s="10" t="s">
        <v>34</v>
      </c>
      <c r="F1478" s="10" t="s">
        <v>35</v>
      </c>
      <c r="G1478" s="8" t="s">
        <v>52</v>
      </c>
      <c r="H1478" s="8" t="s">
        <v>37</v>
      </c>
      <c r="I1478" s="8" t="s">
        <v>75</v>
      </c>
      <c r="J1478" s="10">
        <v>128</v>
      </c>
      <c r="K1478" s="10" t="s">
        <v>188</v>
      </c>
      <c r="L1478" s="10" t="s">
        <v>55</v>
      </c>
      <c r="M1478" s="12">
        <v>2</v>
      </c>
      <c r="N1478" s="15">
        <v>8000.0</v>
      </c>
      <c r="O1478" s="15"/>
      <c r="P1478" s="17">
        <f>IF(N1478&gt;0, O1478/N1478, 0)</f>
        <v>0</v>
      </c>
      <c r="Q1478" s="15">
        <f>N1478-O1478</f>
        <v>8000</v>
      </c>
      <c r="R1478" s="15">
        <f>M1478*N1478</f>
        <v>16000</v>
      </c>
      <c r="S1478" s="15">
        <f>M1478*O1478</f>
        <v>0</v>
      </c>
      <c r="T1478" s="15">
        <f>M1478*Q1478</f>
        <v>16000</v>
      </c>
      <c r="U1478" s="15"/>
      <c r="V1478" s="15">
        <f>M1478*U1478</f>
        <v>0</v>
      </c>
      <c r="W1478" s="15">
        <f>T1478-V1478</f>
        <v>16000</v>
      </c>
      <c r="X1478" s="17">
        <f>IF(T1478&gt;0, W1478/T1478, 0)</f>
        <v>1</v>
      </c>
      <c r="Y1478" s="8" t="s">
        <v>41</v>
      </c>
      <c r="Z1478" s="10" t="s">
        <v>42</v>
      </c>
      <c r="AA1478" s="10" t="s">
        <v>43</v>
      </c>
      <c r="AB1478" s="10" t="s">
        <v>44</v>
      </c>
      <c r="AC1478" s="8" t="s">
        <v>44</v>
      </c>
    </row>
    <row r="1479" spans="1:29">
      <c r="A1479" s="11">
        <v>1472</v>
      </c>
      <c r="B1479" s="11" t="s">
        <v>1813</v>
      </c>
      <c r="C1479" s="11" t="s">
        <v>1777</v>
      </c>
      <c r="D1479" s="11" t="s">
        <v>655</v>
      </c>
      <c r="E1479" s="11" t="s">
        <v>34</v>
      </c>
      <c r="F1479" s="11" t="s">
        <v>35</v>
      </c>
      <c r="G1479" s="9" t="s">
        <v>52</v>
      </c>
      <c r="H1479" s="9" t="s">
        <v>37</v>
      </c>
      <c r="I1479" s="9" t="s">
        <v>38</v>
      </c>
      <c r="J1479" s="11">
        <v>128</v>
      </c>
      <c r="K1479" s="11" t="s">
        <v>159</v>
      </c>
      <c r="L1479" s="11" t="s">
        <v>55</v>
      </c>
      <c r="M1479" s="13">
        <v>2</v>
      </c>
      <c r="N1479" s="16">
        <v>7000.0</v>
      </c>
      <c r="O1479" s="16"/>
      <c r="P1479" s="18">
        <f>IF(N1479&gt;0, O1479/N1479, 0)</f>
        <v>0</v>
      </c>
      <c r="Q1479" s="16">
        <f>N1479-O1479</f>
        <v>7000</v>
      </c>
      <c r="R1479" s="16">
        <f>M1479*N1479</f>
        <v>14000</v>
      </c>
      <c r="S1479" s="16">
        <f>M1479*O1479</f>
        <v>0</v>
      </c>
      <c r="T1479" s="16">
        <f>M1479*Q1479</f>
        <v>14000</v>
      </c>
      <c r="U1479" s="16"/>
      <c r="V1479" s="16">
        <f>M1479*U1479</f>
        <v>0</v>
      </c>
      <c r="W1479" s="16">
        <f>T1479-V1479</f>
        <v>14000</v>
      </c>
      <c r="X1479" s="18">
        <f>IF(T1479&gt;0, W1479/T1479, 0)</f>
        <v>1</v>
      </c>
      <c r="Y1479" s="9" t="s">
        <v>41</v>
      </c>
      <c r="Z1479" s="11" t="s">
        <v>42</v>
      </c>
      <c r="AA1479" s="11" t="s">
        <v>43</v>
      </c>
      <c r="AB1479" s="11" t="s">
        <v>44</v>
      </c>
      <c r="AC1479" s="9" t="s">
        <v>44</v>
      </c>
    </row>
    <row r="1480" spans="1:29">
      <c r="A1480" s="10">
        <v>1473</v>
      </c>
      <c r="B1480" s="10" t="s">
        <v>1814</v>
      </c>
      <c r="C1480" s="10" t="s">
        <v>1777</v>
      </c>
      <c r="D1480" s="10" t="s">
        <v>655</v>
      </c>
      <c r="E1480" s="10" t="s">
        <v>34</v>
      </c>
      <c r="F1480" s="10" t="s">
        <v>35</v>
      </c>
      <c r="G1480" s="8" t="s">
        <v>36</v>
      </c>
      <c r="H1480" s="8" t="s">
        <v>47</v>
      </c>
      <c r="I1480" s="8" t="s">
        <v>48</v>
      </c>
      <c r="J1480" s="10">
        <v>170</v>
      </c>
      <c r="K1480" s="10" t="s">
        <v>184</v>
      </c>
      <c r="L1480" s="10" t="s">
        <v>40</v>
      </c>
      <c r="M1480" s="12">
        <v>1</v>
      </c>
      <c r="N1480" s="15">
        <v>18000.0</v>
      </c>
      <c r="O1480" s="15"/>
      <c r="P1480" s="17">
        <f>IF(N1480&gt;0, O1480/N1480, 0)</f>
        <v>0</v>
      </c>
      <c r="Q1480" s="15">
        <f>N1480-O1480</f>
        <v>18000</v>
      </c>
      <c r="R1480" s="15">
        <f>M1480*N1480</f>
        <v>18000</v>
      </c>
      <c r="S1480" s="15">
        <f>M1480*O1480</f>
        <v>0</v>
      </c>
      <c r="T1480" s="15">
        <f>M1480*Q1480</f>
        <v>18000</v>
      </c>
      <c r="U1480" s="15"/>
      <c r="V1480" s="15">
        <f>M1480*U1480</f>
        <v>0</v>
      </c>
      <c r="W1480" s="15">
        <f>T1480-V1480</f>
        <v>18000</v>
      </c>
      <c r="X1480" s="17">
        <f>IF(T1480&gt;0, W1480/T1480, 0)</f>
        <v>1</v>
      </c>
      <c r="Y1480" s="8" t="s">
        <v>41</v>
      </c>
      <c r="Z1480" s="10" t="s">
        <v>42</v>
      </c>
      <c r="AA1480" s="10" t="s">
        <v>43</v>
      </c>
      <c r="AB1480" s="10" t="s">
        <v>44</v>
      </c>
      <c r="AC1480" s="8" t="s">
        <v>44</v>
      </c>
    </row>
    <row r="1481" spans="1:29">
      <c r="A1481" s="11">
        <v>1474</v>
      </c>
      <c r="B1481" s="11" t="s">
        <v>1815</v>
      </c>
      <c r="C1481" s="11" t="s">
        <v>1777</v>
      </c>
      <c r="D1481" s="11" t="s">
        <v>655</v>
      </c>
      <c r="E1481" s="11" t="s">
        <v>34</v>
      </c>
      <c r="F1481" s="11" t="s">
        <v>35</v>
      </c>
      <c r="G1481" s="9" t="s">
        <v>36</v>
      </c>
      <c r="H1481" s="9" t="s">
        <v>53</v>
      </c>
      <c r="I1481" s="9" t="s">
        <v>53</v>
      </c>
      <c r="J1481" s="11">
        <v>170</v>
      </c>
      <c r="K1481" s="11" t="s">
        <v>1142</v>
      </c>
      <c r="L1481" s="11" t="s">
        <v>40</v>
      </c>
      <c r="M1481" s="13">
        <v>2</v>
      </c>
      <c r="N1481" s="16">
        <v>8500.0</v>
      </c>
      <c r="O1481" s="16"/>
      <c r="P1481" s="18">
        <f>IF(N1481&gt;0, O1481/N1481, 0)</f>
        <v>0</v>
      </c>
      <c r="Q1481" s="16">
        <f>N1481-O1481</f>
        <v>8500</v>
      </c>
      <c r="R1481" s="16">
        <f>M1481*N1481</f>
        <v>17000</v>
      </c>
      <c r="S1481" s="16">
        <f>M1481*O1481</f>
        <v>0</v>
      </c>
      <c r="T1481" s="16">
        <f>M1481*Q1481</f>
        <v>17000</v>
      </c>
      <c r="U1481" s="16"/>
      <c r="V1481" s="16">
        <f>M1481*U1481</f>
        <v>0</v>
      </c>
      <c r="W1481" s="16">
        <f>T1481-V1481</f>
        <v>17000</v>
      </c>
      <c r="X1481" s="18">
        <f>IF(T1481&gt;0, W1481/T1481, 0)</f>
        <v>1</v>
      </c>
      <c r="Y1481" s="9" t="s">
        <v>41</v>
      </c>
      <c r="Z1481" s="11" t="s">
        <v>42</v>
      </c>
      <c r="AA1481" s="11" t="s">
        <v>43</v>
      </c>
      <c r="AB1481" s="11" t="s">
        <v>44</v>
      </c>
      <c r="AC1481" s="9" t="s">
        <v>44</v>
      </c>
    </row>
    <row r="1482" spans="1:29">
      <c r="A1482" s="10">
        <v>1475</v>
      </c>
      <c r="B1482" s="10" t="s">
        <v>1816</v>
      </c>
      <c r="C1482" s="10" t="s">
        <v>1777</v>
      </c>
      <c r="D1482" s="10" t="s">
        <v>655</v>
      </c>
      <c r="E1482" s="10" t="s">
        <v>34</v>
      </c>
      <c r="F1482" s="10" t="s">
        <v>35</v>
      </c>
      <c r="G1482" s="8" t="s">
        <v>36</v>
      </c>
      <c r="H1482" s="8" t="s">
        <v>58</v>
      </c>
      <c r="I1482" s="8" t="s">
        <v>58</v>
      </c>
      <c r="J1482" s="10">
        <v>158</v>
      </c>
      <c r="K1482" s="10" t="s">
        <v>130</v>
      </c>
      <c r="L1482" s="10" t="s">
        <v>40</v>
      </c>
      <c r="M1482" s="12">
        <v>1</v>
      </c>
      <c r="N1482" s="15">
        <v>7500.0</v>
      </c>
      <c r="O1482" s="15"/>
      <c r="P1482" s="17">
        <f>IF(N1482&gt;0, O1482/N1482, 0)</f>
        <v>0</v>
      </c>
      <c r="Q1482" s="15">
        <f>N1482-O1482</f>
        <v>7500</v>
      </c>
      <c r="R1482" s="15">
        <f>M1482*N1482</f>
        <v>7500</v>
      </c>
      <c r="S1482" s="15">
        <f>M1482*O1482</f>
        <v>0</v>
      </c>
      <c r="T1482" s="15">
        <f>M1482*Q1482</f>
        <v>7500</v>
      </c>
      <c r="U1482" s="15"/>
      <c r="V1482" s="15">
        <f>M1482*U1482</f>
        <v>0</v>
      </c>
      <c r="W1482" s="15">
        <f>T1482-V1482</f>
        <v>7500</v>
      </c>
      <c r="X1482" s="17">
        <f>IF(T1482&gt;0, W1482/T1482, 0)</f>
        <v>1</v>
      </c>
      <c r="Y1482" s="8" t="s">
        <v>41</v>
      </c>
      <c r="Z1482" s="10" t="s">
        <v>42</v>
      </c>
      <c r="AA1482" s="10" t="s">
        <v>43</v>
      </c>
      <c r="AB1482" s="10" t="s">
        <v>44</v>
      </c>
      <c r="AC1482" s="8" t="s">
        <v>44</v>
      </c>
    </row>
    <row r="1483" spans="1:29">
      <c r="A1483" s="11">
        <v>1476</v>
      </c>
      <c r="B1483" s="11" t="s">
        <v>1817</v>
      </c>
      <c r="C1483" s="11" t="s">
        <v>1777</v>
      </c>
      <c r="D1483" s="11" t="s">
        <v>655</v>
      </c>
      <c r="E1483" s="11" t="s">
        <v>34</v>
      </c>
      <c r="F1483" s="11" t="s">
        <v>35</v>
      </c>
      <c r="G1483" s="9" t="s">
        <v>36</v>
      </c>
      <c r="H1483" s="9" t="s">
        <v>71</v>
      </c>
      <c r="I1483" s="9" t="s">
        <v>71</v>
      </c>
      <c r="J1483" s="11">
        <v>170</v>
      </c>
      <c r="K1483" s="11" t="s">
        <v>182</v>
      </c>
      <c r="L1483" s="11" t="s">
        <v>40</v>
      </c>
      <c r="M1483" s="13">
        <v>1</v>
      </c>
      <c r="N1483" s="16">
        <v>16500.0</v>
      </c>
      <c r="O1483" s="16"/>
      <c r="P1483" s="18">
        <f>IF(N1483&gt;0, O1483/N1483, 0)</f>
        <v>0</v>
      </c>
      <c r="Q1483" s="16">
        <f>N1483-O1483</f>
        <v>16500</v>
      </c>
      <c r="R1483" s="16">
        <f>M1483*N1483</f>
        <v>16500</v>
      </c>
      <c r="S1483" s="16">
        <f>M1483*O1483</f>
        <v>0</v>
      </c>
      <c r="T1483" s="16">
        <f>M1483*Q1483</f>
        <v>16500</v>
      </c>
      <c r="U1483" s="16"/>
      <c r="V1483" s="16">
        <f>M1483*U1483</f>
        <v>0</v>
      </c>
      <c r="W1483" s="16">
        <f>T1483-V1483</f>
        <v>16500</v>
      </c>
      <c r="X1483" s="18">
        <f>IF(T1483&gt;0, W1483/T1483, 0)</f>
        <v>1</v>
      </c>
      <c r="Y1483" s="9" t="s">
        <v>41</v>
      </c>
      <c r="Z1483" s="11" t="s">
        <v>42</v>
      </c>
      <c r="AA1483" s="11" t="s">
        <v>43</v>
      </c>
      <c r="AB1483" s="11" t="s">
        <v>44</v>
      </c>
      <c r="AC1483" s="9" t="s">
        <v>44</v>
      </c>
    </row>
    <row r="1484" spans="1:29">
      <c r="A1484" s="10">
        <v>1477</v>
      </c>
      <c r="B1484" s="10" t="s">
        <v>1818</v>
      </c>
      <c r="C1484" s="10" t="s">
        <v>1777</v>
      </c>
      <c r="D1484" s="10" t="s">
        <v>655</v>
      </c>
      <c r="E1484" s="10" t="s">
        <v>34</v>
      </c>
      <c r="F1484" s="10" t="s">
        <v>35</v>
      </c>
      <c r="G1484" s="8" t="s">
        <v>36</v>
      </c>
      <c r="H1484" s="8" t="s">
        <v>37</v>
      </c>
      <c r="I1484" s="8" t="s">
        <v>75</v>
      </c>
      <c r="J1484" s="10">
        <v>164</v>
      </c>
      <c r="K1484" s="10" t="s">
        <v>76</v>
      </c>
      <c r="L1484" s="10" t="s">
        <v>40</v>
      </c>
      <c r="M1484" s="12">
        <v>1</v>
      </c>
      <c r="N1484" s="15">
        <v>9000.0</v>
      </c>
      <c r="O1484" s="15"/>
      <c r="P1484" s="17">
        <f>IF(N1484&gt;0, O1484/N1484, 0)</f>
        <v>0</v>
      </c>
      <c r="Q1484" s="15">
        <f>N1484-O1484</f>
        <v>9000</v>
      </c>
      <c r="R1484" s="15">
        <f>M1484*N1484</f>
        <v>9000</v>
      </c>
      <c r="S1484" s="15">
        <f>M1484*O1484</f>
        <v>0</v>
      </c>
      <c r="T1484" s="15">
        <f>M1484*Q1484</f>
        <v>9000</v>
      </c>
      <c r="U1484" s="15"/>
      <c r="V1484" s="15">
        <f>M1484*U1484</f>
        <v>0</v>
      </c>
      <c r="W1484" s="15">
        <f>T1484-V1484</f>
        <v>9000</v>
      </c>
      <c r="X1484" s="17">
        <f>IF(T1484&gt;0, W1484/T1484, 0)</f>
        <v>1</v>
      </c>
      <c r="Y1484" s="8" t="s">
        <v>41</v>
      </c>
      <c r="Z1484" s="10" t="s">
        <v>42</v>
      </c>
      <c r="AA1484" s="10" t="s">
        <v>43</v>
      </c>
      <c r="AB1484" s="10" t="s">
        <v>44</v>
      </c>
      <c r="AC1484" s="8" t="s">
        <v>44</v>
      </c>
    </row>
    <row r="1485" spans="1:29">
      <c r="A1485" s="11">
        <v>1478</v>
      </c>
      <c r="B1485" s="11" t="s">
        <v>1819</v>
      </c>
      <c r="C1485" s="11" t="s">
        <v>1777</v>
      </c>
      <c r="D1485" s="11" t="s">
        <v>655</v>
      </c>
      <c r="E1485" s="11" t="s">
        <v>34</v>
      </c>
      <c r="F1485" s="11" t="s">
        <v>35</v>
      </c>
      <c r="G1485" s="9" t="s">
        <v>36</v>
      </c>
      <c r="H1485" s="9" t="s">
        <v>37</v>
      </c>
      <c r="I1485" s="9" t="s">
        <v>38</v>
      </c>
      <c r="J1485" s="11">
        <v>170</v>
      </c>
      <c r="K1485" s="11" t="s">
        <v>145</v>
      </c>
      <c r="L1485" s="11" t="s">
        <v>40</v>
      </c>
      <c r="M1485" s="13">
        <v>2</v>
      </c>
      <c r="N1485" s="16">
        <v>8000.0</v>
      </c>
      <c r="O1485" s="16"/>
      <c r="P1485" s="18">
        <f>IF(N1485&gt;0, O1485/N1485, 0)</f>
        <v>0</v>
      </c>
      <c r="Q1485" s="16">
        <f>N1485-O1485</f>
        <v>8000</v>
      </c>
      <c r="R1485" s="16">
        <f>M1485*N1485</f>
        <v>16000</v>
      </c>
      <c r="S1485" s="16">
        <f>M1485*O1485</f>
        <v>0</v>
      </c>
      <c r="T1485" s="16">
        <f>M1485*Q1485</f>
        <v>16000</v>
      </c>
      <c r="U1485" s="16"/>
      <c r="V1485" s="16">
        <f>M1485*U1485</f>
        <v>0</v>
      </c>
      <c r="W1485" s="16">
        <f>T1485-V1485</f>
        <v>16000</v>
      </c>
      <c r="X1485" s="18">
        <f>IF(T1485&gt;0, W1485/T1485, 0)</f>
        <v>1</v>
      </c>
      <c r="Y1485" s="9" t="s">
        <v>41</v>
      </c>
      <c r="Z1485" s="11" t="s">
        <v>42</v>
      </c>
      <c r="AA1485" s="11" t="s">
        <v>43</v>
      </c>
      <c r="AB1485" s="11" t="s">
        <v>44</v>
      </c>
      <c r="AC1485" s="9" t="s">
        <v>44</v>
      </c>
    </row>
    <row r="1486" spans="1:29">
      <c r="A1486" s="10">
        <v>1479</v>
      </c>
      <c r="B1486" s="10" t="s">
        <v>1820</v>
      </c>
      <c r="C1486" s="10" t="s">
        <v>1777</v>
      </c>
      <c r="D1486" s="10" t="s">
        <v>655</v>
      </c>
      <c r="E1486" s="10" t="s">
        <v>70</v>
      </c>
      <c r="F1486" s="10" t="s">
        <v>35</v>
      </c>
      <c r="G1486" s="8" t="s">
        <v>52</v>
      </c>
      <c r="H1486" s="8" t="s">
        <v>58</v>
      </c>
      <c r="I1486" s="8" t="s">
        <v>58</v>
      </c>
      <c r="J1486" s="10">
        <v>128</v>
      </c>
      <c r="K1486" s="10" t="s">
        <v>580</v>
      </c>
      <c r="L1486" s="10" t="s">
        <v>40</v>
      </c>
      <c r="M1486" s="12">
        <v>1</v>
      </c>
      <c r="N1486" s="15">
        <v>8000.0</v>
      </c>
      <c r="O1486" s="15"/>
      <c r="P1486" s="17">
        <f>IF(N1486&gt;0, O1486/N1486, 0)</f>
        <v>0</v>
      </c>
      <c r="Q1486" s="15">
        <f>N1486-O1486</f>
        <v>8000</v>
      </c>
      <c r="R1486" s="15">
        <f>M1486*N1486</f>
        <v>8000</v>
      </c>
      <c r="S1486" s="15">
        <f>M1486*O1486</f>
        <v>0</v>
      </c>
      <c r="T1486" s="15">
        <f>M1486*Q1486</f>
        <v>8000</v>
      </c>
      <c r="U1486" s="15"/>
      <c r="V1486" s="15">
        <f>M1486*U1486</f>
        <v>0</v>
      </c>
      <c r="W1486" s="15">
        <f>T1486-V1486</f>
        <v>8000</v>
      </c>
      <c r="X1486" s="17">
        <f>IF(T1486&gt;0, W1486/T1486, 0)</f>
        <v>1</v>
      </c>
      <c r="Y1486" s="8" t="s">
        <v>41</v>
      </c>
      <c r="Z1486" s="10" t="s">
        <v>42</v>
      </c>
      <c r="AA1486" s="10" t="s">
        <v>73</v>
      </c>
      <c r="AB1486" s="10" t="s">
        <v>44</v>
      </c>
      <c r="AC1486" s="8" t="s">
        <v>44</v>
      </c>
    </row>
    <row r="1487" spans="1:29">
      <c r="A1487" s="11">
        <v>1480</v>
      </c>
      <c r="B1487" s="11" t="s">
        <v>1821</v>
      </c>
      <c r="C1487" s="11" t="s">
        <v>1777</v>
      </c>
      <c r="D1487" s="11" t="s">
        <v>655</v>
      </c>
      <c r="E1487" s="11" t="s">
        <v>70</v>
      </c>
      <c r="F1487" s="11" t="s">
        <v>35</v>
      </c>
      <c r="G1487" s="9" t="s">
        <v>52</v>
      </c>
      <c r="H1487" s="9" t="s">
        <v>71</v>
      </c>
      <c r="I1487" s="9" t="s">
        <v>71</v>
      </c>
      <c r="J1487" s="11">
        <v>128</v>
      </c>
      <c r="K1487" s="11" t="s">
        <v>112</v>
      </c>
      <c r="L1487" s="11" t="s">
        <v>40</v>
      </c>
      <c r="M1487" s="13">
        <v>1</v>
      </c>
      <c r="N1487" s="16">
        <v>17000.0</v>
      </c>
      <c r="O1487" s="16"/>
      <c r="P1487" s="18">
        <f>IF(N1487&gt;0, O1487/N1487, 0)</f>
        <v>0</v>
      </c>
      <c r="Q1487" s="16">
        <f>N1487-O1487</f>
        <v>17000</v>
      </c>
      <c r="R1487" s="16">
        <f>M1487*N1487</f>
        <v>17000</v>
      </c>
      <c r="S1487" s="16">
        <f>M1487*O1487</f>
        <v>0</v>
      </c>
      <c r="T1487" s="16">
        <f>M1487*Q1487</f>
        <v>17000</v>
      </c>
      <c r="U1487" s="16"/>
      <c r="V1487" s="16">
        <f>M1487*U1487</f>
        <v>0</v>
      </c>
      <c r="W1487" s="16">
        <f>T1487-V1487</f>
        <v>17000</v>
      </c>
      <c r="X1487" s="18">
        <f>IF(T1487&gt;0, W1487/T1487, 0)</f>
        <v>1</v>
      </c>
      <c r="Y1487" s="9" t="s">
        <v>41</v>
      </c>
      <c r="Z1487" s="11" t="s">
        <v>42</v>
      </c>
      <c r="AA1487" s="11" t="s">
        <v>73</v>
      </c>
      <c r="AB1487" s="11" t="s">
        <v>44</v>
      </c>
      <c r="AC1487" s="9" t="s">
        <v>44</v>
      </c>
    </row>
    <row r="1488" spans="1:29">
      <c r="A1488" s="10">
        <v>1481</v>
      </c>
      <c r="B1488" s="10" t="s">
        <v>1822</v>
      </c>
      <c r="C1488" s="10" t="s">
        <v>1777</v>
      </c>
      <c r="D1488" s="10" t="s">
        <v>655</v>
      </c>
      <c r="E1488" s="10" t="s">
        <v>70</v>
      </c>
      <c r="F1488" s="10" t="s">
        <v>35</v>
      </c>
      <c r="G1488" s="8" t="s">
        <v>52</v>
      </c>
      <c r="H1488" s="8" t="s">
        <v>65</v>
      </c>
      <c r="I1488" s="8" t="s">
        <v>151</v>
      </c>
      <c r="J1488" s="10">
        <v>134</v>
      </c>
      <c r="K1488" s="10" t="s">
        <v>249</v>
      </c>
      <c r="L1488" s="10" t="s">
        <v>40</v>
      </c>
      <c r="M1488" s="12">
        <v>1</v>
      </c>
      <c r="N1488" s="15">
        <v>10000.0</v>
      </c>
      <c r="O1488" s="15"/>
      <c r="P1488" s="17">
        <f>IF(N1488&gt;0, O1488/N1488, 0)</f>
        <v>0</v>
      </c>
      <c r="Q1488" s="15">
        <f>N1488-O1488</f>
        <v>10000</v>
      </c>
      <c r="R1488" s="15">
        <f>M1488*N1488</f>
        <v>10000</v>
      </c>
      <c r="S1488" s="15">
        <f>M1488*O1488</f>
        <v>0</v>
      </c>
      <c r="T1488" s="15">
        <f>M1488*Q1488</f>
        <v>10000</v>
      </c>
      <c r="U1488" s="15"/>
      <c r="V1488" s="15">
        <f>M1488*U1488</f>
        <v>0</v>
      </c>
      <c r="W1488" s="15">
        <f>T1488-V1488</f>
        <v>10000</v>
      </c>
      <c r="X1488" s="17">
        <f>IF(T1488&gt;0, W1488/T1488, 0)</f>
        <v>1</v>
      </c>
      <c r="Y1488" s="8" t="s">
        <v>41</v>
      </c>
      <c r="Z1488" s="10" t="s">
        <v>42</v>
      </c>
      <c r="AA1488" s="10" t="s">
        <v>73</v>
      </c>
      <c r="AB1488" s="10" t="s">
        <v>44</v>
      </c>
      <c r="AC1488" s="8" t="s">
        <v>44</v>
      </c>
    </row>
    <row r="1489" spans="1:29">
      <c r="A1489" s="11">
        <v>1482</v>
      </c>
      <c r="B1489" s="11" t="s">
        <v>1823</v>
      </c>
      <c r="C1489" s="11" t="s">
        <v>1777</v>
      </c>
      <c r="D1489" s="11" t="s">
        <v>655</v>
      </c>
      <c r="E1489" s="11" t="s">
        <v>34</v>
      </c>
      <c r="F1489" s="11" t="s">
        <v>35</v>
      </c>
      <c r="G1489" s="9" t="s">
        <v>52</v>
      </c>
      <c r="H1489" s="9" t="s">
        <v>47</v>
      </c>
      <c r="I1489" s="9" t="s">
        <v>48</v>
      </c>
      <c r="J1489" s="11">
        <v>134</v>
      </c>
      <c r="K1489" s="11" t="s">
        <v>379</v>
      </c>
      <c r="L1489" s="11" t="s">
        <v>40</v>
      </c>
      <c r="M1489" s="13">
        <v>1</v>
      </c>
      <c r="N1489" s="16">
        <v>18000.0</v>
      </c>
      <c r="O1489" s="16"/>
      <c r="P1489" s="18">
        <f>IF(N1489&gt;0, O1489/N1489, 0)</f>
        <v>0</v>
      </c>
      <c r="Q1489" s="16">
        <f>N1489-O1489</f>
        <v>18000</v>
      </c>
      <c r="R1489" s="16">
        <f>M1489*N1489</f>
        <v>18000</v>
      </c>
      <c r="S1489" s="16">
        <f>M1489*O1489</f>
        <v>0</v>
      </c>
      <c r="T1489" s="16">
        <f>M1489*Q1489</f>
        <v>18000</v>
      </c>
      <c r="U1489" s="16"/>
      <c r="V1489" s="16">
        <f>M1489*U1489</f>
        <v>0</v>
      </c>
      <c r="W1489" s="16">
        <f>T1489-V1489</f>
        <v>18000</v>
      </c>
      <c r="X1489" s="18">
        <f>IF(T1489&gt;0, W1489/T1489, 0)</f>
        <v>1</v>
      </c>
      <c r="Y1489" s="9" t="s">
        <v>41</v>
      </c>
      <c r="Z1489" s="11" t="s">
        <v>42</v>
      </c>
      <c r="AA1489" s="11" t="s">
        <v>43</v>
      </c>
      <c r="AB1489" s="11" t="s">
        <v>44</v>
      </c>
      <c r="AC1489" s="9" t="s">
        <v>44</v>
      </c>
    </row>
    <row r="1490" spans="1:29">
      <c r="A1490" s="10">
        <v>1483</v>
      </c>
      <c r="B1490" s="10" t="s">
        <v>1824</v>
      </c>
      <c r="C1490" s="10" t="s">
        <v>1777</v>
      </c>
      <c r="D1490" s="10" t="s">
        <v>655</v>
      </c>
      <c r="E1490" s="10" t="s">
        <v>34</v>
      </c>
      <c r="F1490" s="10" t="s">
        <v>35</v>
      </c>
      <c r="G1490" s="8" t="s">
        <v>52</v>
      </c>
      <c r="H1490" s="8" t="s">
        <v>53</v>
      </c>
      <c r="I1490" s="8" t="s">
        <v>53</v>
      </c>
      <c r="J1490" s="10">
        <v>128</v>
      </c>
      <c r="K1490" s="10" t="s">
        <v>393</v>
      </c>
      <c r="L1490" s="10" t="s">
        <v>55</v>
      </c>
      <c r="M1490" s="12">
        <v>1</v>
      </c>
      <c r="N1490" s="15">
        <v>8000.0</v>
      </c>
      <c r="O1490" s="15"/>
      <c r="P1490" s="17">
        <f>IF(N1490&gt;0, O1490/N1490, 0)</f>
        <v>0</v>
      </c>
      <c r="Q1490" s="15">
        <f>N1490-O1490</f>
        <v>8000</v>
      </c>
      <c r="R1490" s="15">
        <f>M1490*N1490</f>
        <v>8000</v>
      </c>
      <c r="S1490" s="15">
        <f>M1490*O1490</f>
        <v>0</v>
      </c>
      <c r="T1490" s="15">
        <f>M1490*Q1490</f>
        <v>8000</v>
      </c>
      <c r="U1490" s="15"/>
      <c r="V1490" s="15">
        <f>M1490*U1490</f>
        <v>0</v>
      </c>
      <c r="W1490" s="15">
        <f>T1490-V1490</f>
        <v>8000</v>
      </c>
      <c r="X1490" s="17">
        <f>IF(T1490&gt;0, W1490/T1490, 0)</f>
        <v>1</v>
      </c>
      <c r="Y1490" s="8" t="s">
        <v>41</v>
      </c>
      <c r="Z1490" s="10" t="s">
        <v>42</v>
      </c>
      <c r="AA1490" s="10" t="s">
        <v>43</v>
      </c>
      <c r="AB1490" s="10" t="s">
        <v>44</v>
      </c>
      <c r="AC1490" s="8" t="s">
        <v>44</v>
      </c>
    </row>
    <row r="1491" spans="1:29">
      <c r="A1491" s="11">
        <v>1484</v>
      </c>
      <c r="B1491" s="11" t="s">
        <v>1825</v>
      </c>
      <c r="C1491" s="11" t="s">
        <v>1777</v>
      </c>
      <c r="D1491" s="11" t="s">
        <v>655</v>
      </c>
      <c r="E1491" s="11" t="s">
        <v>34</v>
      </c>
      <c r="F1491" s="11" t="s">
        <v>35</v>
      </c>
      <c r="G1491" s="9" t="s">
        <v>52</v>
      </c>
      <c r="H1491" s="9" t="s">
        <v>37</v>
      </c>
      <c r="I1491" s="9" t="s">
        <v>75</v>
      </c>
      <c r="J1491" s="11">
        <v>128</v>
      </c>
      <c r="K1491" s="11" t="s">
        <v>188</v>
      </c>
      <c r="L1491" s="11" t="s">
        <v>55</v>
      </c>
      <c r="M1491" s="13">
        <v>1</v>
      </c>
      <c r="N1491" s="16">
        <v>8000.0</v>
      </c>
      <c r="O1491" s="16"/>
      <c r="P1491" s="18">
        <f>IF(N1491&gt;0, O1491/N1491, 0)</f>
        <v>0</v>
      </c>
      <c r="Q1491" s="16">
        <f>N1491-O1491</f>
        <v>8000</v>
      </c>
      <c r="R1491" s="16">
        <f>M1491*N1491</f>
        <v>8000</v>
      </c>
      <c r="S1491" s="16">
        <f>M1491*O1491</f>
        <v>0</v>
      </c>
      <c r="T1491" s="16">
        <f>M1491*Q1491</f>
        <v>8000</v>
      </c>
      <c r="U1491" s="16"/>
      <c r="V1491" s="16">
        <f>M1491*U1491</f>
        <v>0</v>
      </c>
      <c r="W1491" s="16">
        <f>T1491-V1491</f>
        <v>8000</v>
      </c>
      <c r="X1491" s="18">
        <f>IF(T1491&gt;0, W1491/T1491, 0)</f>
        <v>1</v>
      </c>
      <c r="Y1491" s="9" t="s">
        <v>41</v>
      </c>
      <c r="Z1491" s="11" t="s">
        <v>42</v>
      </c>
      <c r="AA1491" s="11" t="s">
        <v>43</v>
      </c>
      <c r="AB1491" s="11" t="s">
        <v>44</v>
      </c>
      <c r="AC1491" s="9" t="s">
        <v>44</v>
      </c>
    </row>
    <row r="1492" spans="1:29">
      <c r="A1492" s="10">
        <v>1485</v>
      </c>
      <c r="B1492" s="10" t="s">
        <v>1826</v>
      </c>
      <c r="C1492" s="10" t="s">
        <v>1777</v>
      </c>
      <c r="D1492" s="10" t="s">
        <v>655</v>
      </c>
      <c r="E1492" s="10" t="s">
        <v>34</v>
      </c>
      <c r="F1492" s="10" t="s">
        <v>35</v>
      </c>
      <c r="G1492" s="8" t="s">
        <v>52</v>
      </c>
      <c r="H1492" s="8" t="s">
        <v>37</v>
      </c>
      <c r="I1492" s="8" t="s">
        <v>38</v>
      </c>
      <c r="J1492" s="10">
        <v>128</v>
      </c>
      <c r="K1492" s="10" t="s">
        <v>159</v>
      </c>
      <c r="L1492" s="10" t="s">
        <v>55</v>
      </c>
      <c r="M1492" s="12">
        <v>1</v>
      </c>
      <c r="N1492" s="15">
        <v>7000.0</v>
      </c>
      <c r="O1492" s="15"/>
      <c r="P1492" s="17">
        <f>IF(N1492&gt;0, O1492/N1492, 0)</f>
        <v>0</v>
      </c>
      <c r="Q1492" s="15">
        <f>N1492-O1492</f>
        <v>7000</v>
      </c>
      <c r="R1492" s="15">
        <f>M1492*N1492</f>
        <v>7000</v>
      </c>
      <c r="S1492" s="15">
        <f>M1492*O1492</f>
        <v>0</v>
      </c>
      <c r="T1492" s="15">
        <f>M1492*Q1492</f>
        <v>7000</v>
      </c>
      <c r="U1492" s="15"/>
      <c r="V1492" s="15">
        <f>M1492*U1492</f>
        <v>0</v>
      </c>
      <c r="W1492" s="15">
        <f>T1492-V1492</f>
        <v>7000</v>
      </c>
      <c r="X1492" s="17">
        <f>IF(T1492&gt;0, W1492/T1492, 0)</f>
        <v>1</v>
      </c>
      <c r="Y1492" s="8" t="s">
        <v>41</v>
      </c>
      <c r="Z1492" s="10" t="s">
        <v>42</v>
      </c>
      <c r="AA1492" s="10" t="s">
        <v>43</v>
      </c>
      <c r="AB1492" s="10" t="s">
        <v>44</v>
      </c>
      <c r="AC1492" s="8" t="s">
        <v>44</v>
      </c>
    </row>
    <row r="1493" spans="1:29">
      <c r="A1493" s="11">
        <v>1486</v>
      </c>
      <c r="B1493" s="11" t="s">
        <v>1827</v>
      </c>
      <c r="C1493" s="11" t="s">
        <v>1828</v>
      </c>
      <c r="D1493" s="11" t="s">
        <v>1829</v>
      </c>
      <c r="E1493" s="11" t="s">
        <v>34</v>
      </c>
      <c r="F1493" s="11" t="s">
        <v>35</v>
      </c>
      <c r="G1493" s="9" t="s">
        <v>52</v>
      </c>
      <c r="H1493" s="9" t="s">
        <v>37</v>
      </c>
      <c r="I1493" s="9" t="s">
        <v>38</v>
      </c>
      <c r="J1493" s="11">
        <v>146</v>
      </c>
      <c r="K1493" s="11" t="s">
        <v>260</v>
      </c>
      <c r="L1493" s="11" t="s">
        <v>55</v>
      </c>
      <c r="M1493" s="13">
        <v>1</v>
      </c>
      <c r="N1493" s="16">
        <v>7000.0</v>
      </c>
      <c r="O1493" s="16"/>
      <c r="P1493" s="18">
        <f>IF(N1493&gt;0, O1493/N1493, 0)</f>
        <v>0</v>
      </c>
      <c r="Q1493" s="16">
        <f>N1493-O1493</f>
        <v>7000</v>
      </c>
      <c r="R1493" s="16">
        <f>M1493*N1493</f>
        <v>7000</v>
      </c>
      <c r="S1493" s="16">
        <f>M1493*O1493</f>
        <v>0</v>
      </c>
      <c r="T1493" s="16">
        <f>M1493*Q1493</f>
        <v>7000</v>
      </c>
      <c r="U1493" s="16"/>
      <c r="V1493" s="16">
        <f>M1493*U1493</f>
        <v>0</v>
      </c>
      <c r="W1493" s="16">
        <f>T1493-V1493</f>
        <v>7000</v>
      </c>
      <c r="X1493" s="18">
        <f>IF(T1493&gt;0, W1493/T1493, 0)</f>
        <v>1</v>
      </c>
      <c r="Y1493" s="9" t="s">
        <v>41</v>
      </c>
      <c r="Z1493" s="11" t="s">
        <v>42</v>
      </c>
      <c r="AA1493" s="11" t="s">
        <v>43</v>
      </c>
      <c r="AB1493" s="11" t="s">
        <v>44</v>
      </c>
      <c r="AC1493" s="9" t="s">
        <v>44</v>
      </c>
    </row>
    <row r="1494" spans="1:29">
      <c r="A1494" s="10">
        <v>1487</v>
      </c>
      <c r="B1494" s="10" t="s">
        <v>1830</v>
      </c>
      <c r="C1494" s="10" t="s">
        <v>1828</v>
      </c>
      <c r="D1494" s="10" t="s">
        <v>1829</v>
      </c>
      <c r="E1494" s="10" t="s">
        <v>34</v>
      </c>
      <c r="F1494" s="10" t="s">
        <v>35</v>
      </c>
      <c r="G1494" s="8" t="s">
        <v>52</v>
      </c>
      <c r="H1494" s="8" t="s">
        <v>37</v>
      </c>
      <c r="I1494" s="8" t="s">
        <v>38</v>
      </c>
      <c r="J1494" s="10">
        <v>152</v>
      </c>
      <c r="K1494" s="10" t="s">
        <v>154</v>
      </c>
      <c r="L1494" s="10" t="s">
        <v>55</v>
      </c>
      <c r="M1494" s="12">
        <v>1</v>
      </c>
      <c r="N1494" s="15">
        <v>7000.0</v>
      </c>
      <c r="O1494" s="15"/>
      <c r="P1494" s="17">
        <f>IF(N1494&gt;0, O1494/N1494, 0)</f>
        <v>0</v>
      </c>
      <c r="Q1494" s="15">
        <f>N1494-O1494</f>
        <v>7000</v>
      </c>
      <c r="R1494" s="15">
        <f>M1494*N1494</f>
        <v>7000</v>
      </c>
      <c r="S1494" s="15">
        <f>M1494*O1494</f>
        <v>0</v>
      </c>
      <c r="T1494" s="15">
        <f>M1494*Q1494</f>
        <v>7000</v>
      </c>
      <c r="U1494" s="15"/>
      <c r="V1494" s="15">
        <f>M1494*U1494</f>
        <v>0</v>
      </c>
      <c r="W1494" s="15">
        <f>T1494-V1494</f>
        <v>7000</v>
      </c>
      <c r="X1494" s="17">
        <f>IF(T1494&gt;0, W1494/T1494, 0)</f>
        <v>1</v>
      </c>
      <c r="Y1494" s="8" t="s">
        <v>41</v>
      </c>
      <c r="Z1494" s="10" t="s">
        <v>42</v>
      </c>
      <c r="AA1494" s="10" t="s">
        <v>43</v>
      </c>
      <c r="AB1494" s="10" t="s">
        <v>44</v>
      </c>
      <c r="AC1494" s="8" t="s">
        <v>44</v>
      </c>
    </row>
    <row r="1495" spans="1:29">
      <c r="A1495" s="11">
        <v>1488</v>
      </c>
      <c r="B1495" s="11" t="s">
        <v>1831</v>
      </c>
      <c r="C1495" s="11" t="s">
        <v>1828</v>
      </c>
      <c r="D1495" s="11" t="s">
        <v>1829</v>
      </c>
      <c r="E1495" s="11" t="s">
        <v>34</v>
      </c>
      <c r="F1495" s="11" t="s">
        <v>35</v>
      </c>
      <c r="G1495" s="9" t="s">
        <v>36</v>
      </c>
      <c r="H1495" s="9" t="s">
        <v>71</v>
      </c>
      <c r="I1495" s="9" t="s">
        <v>71</v>
      </c>
      <c r="J1495" s="11">
        <v>170</v>
      </c>
      <c r="K1495" s="11" t="s">
        <v>182</v>
      </c>
      <c r="L1495" s="11" t="s">
        <v>40</v>
      </c>
      <c r="M1495" s="13">
        <v>1</v>
      </c>
      <c r="N1495" s="16">
        <v>16500.0</v>
      </c>
      <c r="O1495" s="16"/>
      <c r="P1495" s="18">
        <f>IF(N1495&gt;0, O1495/N1495, 0)</f>
        <v>0</v>
      </c>
      <c r="Q1495" s="16">
        <f>N1495-O1495</f>
        <v>16500</v>
      </c>
      <c r="R1495" s="16">
        <f>M1495*N1495</f>
        <v>16500</v>
      </c>
      <c r="S1495" s="16">
        <f>M1495*O1495</f>
        <v>0</v>
      </c>
      <c r="T1495" s="16">
        <f>M1495*Q1495</f>
        <v>16500</v>
      </c>
      <c r="U1495" s="16"/>
      <c r="V1495" s="16">
        <f>M1495*U1495</f>
        <v>0</v>
      </c>
      <c r="W1495" s="16">
        <f>T1495-V1495</f>
        <v>16500</v>
      </c>
      <c r="X1495" s="18">
        <f>IF(T1495&gt;0, W1495/T1495, 0)</f>
        <v>1</v>
      </c>
      <c r="Y1495" s="9" t="s">
        <v>41</v>
      </c>
      <c r="Z1495" s="11" t="s">
        <v>42</v>
      </c>
      <c r="AA1495" s="11" t="s">
        <v>43</v>
      </c>
      <c r="AB1495" s="11" t="s">
        <v>44</v>
      </c>
      <c r="AC1495" s="9" t="s">
        <v>44</v>
      </c>
    </row>
    <row r="1496" spans="1:29">
      <c r="A1496" s="10">
        <v>1489</v>
      </c>
      <c r="B1496" s="10" t="s">
        <v>1832</v>
      </c>
      <c r="C1496" s="10" t="s">
        <v>1828</v>
      </c>
      <c r="D1496" s="10" t="s">
        <v>1829</v>
      </c>
      <c r="E1496" s="10" t="s">
        <v>34</v>
      </c>
      <c r="F1496" s="10" t="s">
        <v>35</v>
      </c>
      <c r="G1496" s="8" t="s">
        <v>36</v>
      </c>
      <c r="H1496" s="8" t="s">
        <v>37</v>
      </c>
      <c r="I1496" s="8" t="s">
        <v>75</v>
      </c>
      <c r="J1496" s="10">
        <v>170</v>
      </c>
      <c r="K1496" s="10" t="s">
        <v>651</v>
      </c>
      <c r="L1496" s="10" t="s">
        <v>40</v>
      </c>
      <c r="M1496" s="12">
        <v>1</v>
      </c>
      <c r="N1496" s="15">
        <v>9000.0</v>
      </c>
      <c r="O1496" s="15"/>
      <c r="P1496" s="17">
        <f>IF(N1496&gt;0, O1496/N1496, 0)</f>
        <v>0</v>
      </c>
      <c r="Q1496" s="15">
        <f>N1496-O1496</f>
        <v>9000</v>
      </c>
      <c r="R1496" s="15">
        <f>M1496*N1496</f>
        <v>9000</v>
      </c>
      <c r="S1496" s="15">
        <f>M1496*O1496</f>
        <v>0</v>
      </c>
      <c r="T1496" s="15">
        <f>M1496*Q1496</f>
        <v>9000</v>
      </c>
      <c r="U1496" s="15"/>
      <c r="V1496" s="15">
        <f>M1496*U1496</f>
        <v>0</v>
      </c>
      <c r="W1496" s="15">
        <f>T1496-V1496</f>
        <v>9000</v>
      </c>
      <c r="X1496" s="17">
        <f>IF(T1496&gt;0, W1496/T1496, 0)</f>
        <v>1</v>
      </c>
      <c r="Y1496" s="8" t="s">
        <v>41</v>
      </c>
      <c r="Z1496" s="10" t="s">
        <v>42</v>
      </c>
      <c r="AA1496" s="10" t="s">
        <v>43</v>
      </c>
      <c r="AB1496" s="10" t="s">
        <v>44</v>
      </c>
      <c r="AC1496" s="8" t="s">
        <v>44</v>
      </c>
    </row>
    <row r="1497" spans="1:29">
      <c r="A1497" s="11">
        <v>1490</v>
      </c>
      <c r="B1497" s="11" t="s">
        <v>1833</v>
      </c>
      <c r="C1497" s="11" t="s">
        <v>1828</v>
      </c>
      <c r="D1497" s="11" t="s">
        <v>1829</v>
      </c>
      <c r="E1497" s="11" t="s">
        <v>34</v>
      </c>
      <c r="F1497" s="11" t="s">
        <v>35</v>
      </c>
      <c r="G1497" s="9" t="s">
        <v>36</v>
      </c>
      <c r="H1497" s="9" t="s">
        <v>37</v>
      </c>
      <c r="I1497" s="9" t="s">
        <v>38</v>
      </c>
      <c r="J1497" s="11">
        <v>170</v>
      </c>
      <c r="K1497" s="11" t="s">
        <v>145</v>
      </c>
      <c r="L1497" s="11" t="s">
        <v>40</v>
      </c>
      <c r="M1497" s="13">
        <v>2</v>
      </c>
      <c r="N1497" s="16">
        <v>8000.0</v>
      </c>
      <c r="O1497" s="16"/>
      <c r="P1497" s="18">
        <f>IF(N1497&gt;0, O1497/N1497, 0)</f>
        <v>0</v>
      </c>
      <c r="Q1497" s="16">
        <f>N1497-O1497</f>
        <v>8000</v>
      </c>
      <c r="R1497" s="16">
        <f>M1497*N1497</f>
        <v>16000</v>
      </c>
      <c r="S1497" s="16">
        <f>M1497*O1497</f>
        <v>0</v>
      </c>
      <c r="T1497" s="16">
        <f>M1497*Q1497</f>
        <v>16000</v>
      </c>
      <c r="U1497" s="16"/>
      <c r="V1497" s="16">
        <f>M1497*U1497</f>
        <v>0</v>
      </c>
      <c r="W1497" s="16">
        <f>T1497-V1497</f>
        <v>16000</v>
      </c>
      <c r="X1497" s="18">
        <f>IF(T1497&gt;0, W1497/T1497, 0)</f>
        <v>1</v>
      </c>
      <c r="Y1497" s="9" t="s">
        <v>41</v>
      </c>
      <c r="Z1497" s="11" t="s">
        <v>42</v>
      </c>
      <c r="AA1497" s="11" t="s">
        <v>43</v>
      </c>
      <c r="AB1497" s="11" t="s">
        <v>44</v>
      </c>
      <c r="AC1497" s="9" t="s">
        <v>44</v>
      </c>
    </row>
    <row r="1498" spans="1:29">
      <c r="A1498" s="10">
        <v>1491</v>
      </c>
      <c r="B1498" s="10" t="s">
        <v>1834</v>
      </c>
      <c r="C1498" s="10" t="s">
        <v>1828</v>
      </c>
      <c r="D1498" s="10" t="s">
        <v>1829</v>
      </c>
      <c r="E1498" s="10" t="s">
        <v>34</v>
      </c>
      <c r="F1498" s="10" t="s">
        <v>35</v>
      </c>
      <c r="G1498" s="8" t="s">
        <v>52</v>
      </c>
      <c r="H1498" s="8" t="s">
        <v>53</v>
      </c>
      <c r="I1498" s="8" t="s">
        <v>53</v>
      </c>
      <c r="J1498" s="10">
        <v>140</v>
      </c>
      <c r="K1498" s="10" t="s">
        <v>282</v>
      </c>
      <c r="L1498" s="10" t="s">
        <v>55</v>
      </c>
      <c r="M1498" s="12">
        <v>2</v>
      </c>
      <c r="N1498" s="15">
        <v>8000.0</v>
      </c>
      <c r="O1498" s="15"/>
      <c r="P1498" s="17">
        <f>IF(N1498&gt;0, O1498/N1498, 0)</f>
        <v>0</v>
      </c>
      <c r="Q1498" s="15">
        <f>N1498-O1498</f>
        <v>8000</v>
      </c>
      <c r="R1498" s="15">
        <f>M1498*N1498</f>
        <v>16000</v>
      </c>
      <c r="S1498" s="15">
        <f>M1498*O1498</f>
        <v>0</v>
      </c>
      <c r="T1498" s="15">
        <f>M1498*Q1498</f>
        <v>16000</v>
      </c>
      <c r="U1498" s="15"/>
      <c r="V1498" s="15">
        <f>M1498*U1498</f>
        <v>0</v>
      </c>
      <c r="W1498" s="15">
        <f>T1498-V1498</f>
        <v>16000</v>
      </c>
      <c r="X1498" s="17">
        <f>IF(T1498&gt;0, W1498/T1498, 0)</f>
        <v>1</v>
      </c>
      <c r="Y1498" s="8" t="s">
        <v>41</v>
      </c>
      <c r="Z1498" s="10" t="s">
        <v>42</v>
      </c>
      <c r="AA1498" s="10" t="s">
        <v>43</v>
      </c>
      <c r="AB1498" s="10" t="s">
        <v>44</v>
      </c>
      <c r="AC1498" s="8" t="s">
        <v>44</v>
      </c>
    </row>
    <row r="1499" spans="1:29">
      <c r="A1499" s="11">
        <v>1492</v>
      </c>
      <c r="B1499" s="11" t="s">
        <v>1835</v>
      </c>
      <c r="C1499" s="11" t="s">
        <v>1828</v>
      </c>
      <c r="D1499" s="11" t="s">
        <v>1829</v>
      </c>
      <c r="E1499" s="11" t="s">
        <v>34</v>
      </c>
      <c r="F1499" s="11" t="s">
        <v>35</v>
      </c>
      <c r="G1499" s="9" t="s">
        <v>52</v>
      </c>
      <c r="H1499" s="9" t="s">
        <v>37</v>
      </c>
      <c r="I1499" s="9" t="s">
        <v>38</v>
      </c>
      <c r="J1499" s="11">
        <v>140</v>
      </c>
      <c r="K1499" s="11" t="s">
        <v>226</v>
      </c>
      <c r="L1499" s="11" t="s">
        <v>55</v>
      </c>
      <c r="M1499" s="13">
        <v>3</v>
      </c>
      <c r="N1499" s="16">
        <v>7000.0</v>
      </c>
      <c r="O1499" s="16"/>
      <c r="P1499" s="18">
        <f>IF(N1499&gt;0, O1499/N1499, 0)</f>
        <v>0</v>
      </c>
      <c r="Q1499" s="16">
        <f>N1499-O1499</f>
        <v>7000</v>
      </c>
      <c r="R1499" s="16">
        <f>M1499*N1499</f>
        <v>21000</v>
      </c>
      <c r="S1499" s="16">
        <f>M1499*O1499</f>
        <v>0</v>
      </c>
      <c r="T1499" s="16">
        <f>M1499*Q1499</f>
        <v>21000</v>
      </c>
      <c r="U1499" s="16"/>
      <c r="V1499" s="16">
        <f>M1499*U1499</f>
        <v>0</v>
      </c>
      <c r="W1499" s="16">
        <f>T1499-V1499</f>
        <v>21000</v>
      </c>
      <c r="X1499" s="18">
        <f>IF(T1499&gt;0, W1499/T1499, 0)</f>
        <v>1</v>
      </c>
      <c r="Y1499" s="9" t="s">
        <v>41</v>
      </c>
      <c r="Z1499" s="11" t="s">
        <v>42</v>
      </c>
      <c r="AA1499" s="11" t="s">
        <v>43</v>
      </c>
      <c r="AB1499" s="11" t="s">
        <v>44</v>
      </c>
      <c r="AC1499" s="9" t="s">
        <v>44</v>
      </c>
    </row>
    <row r="1500" spans="1:29">
      <c r="A1500" s="10">
        <v>1493</v>
      </c>
      <c r="B1500" s="10" t="s">
        <v>1836</v>
      </c>
      <c r="C1500" s="10" t="s">
        <v>1828</v>
      </c>
      <c r="D1500" s="10" t="s">
        <v>1829</v>
      </c>
      <c r="E1500" s="10" t="s">
        <v>34</v>
      </c>
      <c r="F1500" s="10" t="s">
        <v>35</v>
      </c>
      <c r="G1500" s="8" t="s">
        <v>52</v>
      </c>
      <c r="H1500" s="8" t="s">
        <v>53</v>
      </c>
      <c r="I1500" s="8" t="s">
        <v>53</v>
      </c>
      <c r="J1500" s="10">
        <v>140</v>
      </c>
      <c r="K1500" s="10" t="s">
        <v>282</v>
      </c>
      <c r="L1500" s="10" t="s">
        <v>55</v>
      </c>
      <c r="M1500" s="12">
        <v>2</v>
      </c>
      <c r="N1500" s="15">
        <v>8000.0</v>
      </c>
      <c r="O1500" s="15"/>
      <c r="P1500" s="17">
        <f>IF(N1500&gt;0, O1500/N1500, 0)</f>
        <v>0</v>
      </c>
      <c r="Q1500" s="15">
        <f>N1500-O1500</f>
        <v>8000</v>
      </c>
      <c r="R1500" s="15">
        <f>M1500*N1500</f>
        <v>16000</v>
      </c>
      <c r="S1500" s="15">
        <f>M1500*O1500</f>
        <v>0</v>
      </c>
      <c r="T1500" s="15">
        <f>M1500*Q1500</f>
        <v>16000</v>
      </c>
      <c r="U1500" s="15"/>
      <c r="V1500" s="15">
        <f>M1500*U1500</f>
        <v>0</v>
      </c>
      <c r="W1500" s="15">
        <f>T1500-V1500</f>
        <v>16000</v>
      </c>
      <c r="X1500" s="17">
        <f>IF(T1500&gt;0, W1500/T1500, 0)</f>
        <v>1</v>
      </c>
      <c r="Y1500" s="8" t="s">
        <v>41</v>
      </c>
      <c r="Z1500" s="10" t="s">
        <v>42</v>
      </c>
      <c r="AA1500" s="10" t="s">
        <v>43</v>
      </c>
      <c r="AB1500" s="10" t="s">
        <v>44</v>
      </c>
      <c r="AC1500" s="8" t="s">
        <v>44</v>
      </c>
    </row>
    <row r="1501" spans="1:29">
      <c r="A1501" s="11">
        <v>1494</v>
      </c>
      <c r="B1501" s="11" t="s">
        <v>1837</v>
      </c>
      <c r="C1501" s="11" t="s">
        <v>1828</v>
      </c>
      <c r="D1501" s="11" t="s">
        <v>1829</v>
      </c>
      <c r="E1501" s="11" t="s">
        <v>34</v>
      </c>
      <c r="F1501" s="11" t="s">
        <v>35</v>
      </c>
      <c r="G1501" s="9" t="s">
        <v>52</v>
      </c>
      <c r="H1501" s="9" t="s">
        <v>37</v>
      </c>
      <c r="I1501" s="9" t="s">
        <v>38</v>
      </c>
      <c r="J1501" s="11">
        <v>146</v>
      </c>
      <c r="K1501" s="11" t="s">
        <v>260</v>
      </c>
      <c r="L1501" s="11" t="s">
        <v>55</v>
      </c>
      <c r="M1501" s="13">
        <v>3</v>
      </c>
      <c r="N1501" s="16">
        <v>7000.0</v>
      </c>
      <c r="O1501" s="16"/>
      <c r="P1501" s="18">
        <f>IF(N1501&gt;0, O1501/N1501, 0)</f>
        <v>0</v>
      </c>
      <c r="Q1501" s="16">
        <f>N1501-O1501</f>
        <v>7000</v>
      </c>
      <c r="R1501" s="16">
        <f>M1501*N1501</f>
        <v>21000</v>
      </c>
      <c r="S1501" s="16">
        <f>M1501*O1501</f>
        <v>0</v>
      </c>
      <c r="T1501" s="16">
        <f>M1501*Q1501</f>
        <v>21000</v>
      </c>
      <c r="U1501" s="16"/>
      <c r="V1501" s="16">
        <f>M1501*U1501</f>
        <v>0</v>
      </c>
      <c r="W1501" s="16">
        <f>T1501-V1501</f>
        <v>21000</v>
      </c>
      <c r="X1501" s="18">
        <f>IF(T1501&gt;0, W1501/T1501, 0)</f>
        <v>1</v>
      </c>
      <c r="Y1501" s="9" t="s">
        <v>41</v>
      </c>
      <c r="Z1501" s="11" t="s">
        <v>42</v>
      </c>
      <c r="AA1501" s="11" t="s">
        <v>43</v>
      </c>
      <c r="AB1501" s="11" t="s">
        <v>44</v>
      </c>
      <c r="AC1501" s="9" t="s">
        <v>44</v>
      </c>
    </row>
    <row r="1502" spans="1:29">
      <c r="A1502" s="10">
        <v>1495</v>
      </c>
      <c r="B1502" s="10" t="s">
        <v>1838</v>
      </c>
      <c r="C1502" s="10" t="s">
        <v>1828</v>
      </c>
      <c r="D1502" s="10" t="s">
        <v>1829</v>
      </c>
      <c r="E1502" s="10" t="s">
        <v>70</v>
      </c>
      <c r="F1502" s="10" t="s">
        <v>35</v>
      </c>
      <c r="G1502" s="8" t="s">
        <v>36</v>
      </c>
      <c r="H1502" s="8" t="s">
        <v>71</v>
      </c>
      <c r="I1502" s="8" t="s">
        <v>71</v>
      </c>
      <c r="J1502" s="10">
        <v>140</v>
      </c>
      <c r="K1502" s="10" t="s">
        <v>1839</v>
      </c>
      <c r="L1502" s="10" t="s">
        <v>40</v>
      </c>
      <c r="M1502" s="12">
        <v>3</v>
      </c>
      <c r="N1502" s="15">
        <v>17000.0</v>
      </c>
      <c r="O1502" s="15"/>
      <c r="P1502" s="17">
        <f>IF(N1502&gt;0, O1502/N1502, 0)</f>
        <v>0</v>
      </c>
      <c r="Q1502" s="15">
        <f>N1502-O1502</f>
        <v>17000</v>
      </c>
      <c r="R1502" s="15">
        <f>M1502*N1502</f>
        <v>51000</v>
      </c>
      <c r="S1502" s="15">
        <f>M1502*O1502</f>
        <v>0</v>
      </c>
      <c r="T1502" s="15">
        <f>M1502*Q1502</f>
        <v>51000</v>
      </c>
      <c r="U1502" s="15"/>
      <c r="V1502" s="15">
        <f>M1502*U1502</f>
        <v>0</v>
      </c>
      <c r="W1502" s="15">
        <f>T1502-V1502</f>
        <v>51000</v>
      </c>
      <c r="X1502" s="17">
        <f>IF(T1502&gt;0, W1502/T1502, 0)</f>
        <v>1</v>
      </c>
      <c r="Y1502" s="8" t="s">
        <v>41</v>
      </c>
      <c r="Z1502" s="10" t="s">
        <v>42</v>
      </c>
      <c r="AA1502" s="10" t="s">
        <v>1238</v>
      </c>
      <c r="AB1502" s="10" t="s">
        <v>44</v>
      </c>
      <c r="AC1502" s="8" t="s">
        <v>44</v>
      </c>
    </row>
    <row r="1503" spans="1:29">
      <c r="A1503" s="11">
        <v>1496</v>
      </c>
      <c r="B1503" s="11" t="s">
        <v>1840</v>
      </c>
      <c r="C1503" s="11" t="s">
        <v>1828</v>
      </c>
      <c r="D1503" s="11" t="s">
        <v>1829</v>
      </c>
      <c r="E1503" s="11" t="s">
        <v>70</v>
      </c>
      <c r="F1503" s="11" t="s">
        <v>35</v>
      </c>
      <c r="G1503" s="9" t="s">
        <v>36</v>
      </c>
      <c r="H1503" s="9" t="s">
        <v>71</v>
      </c>
      <c r="I1503" s="9" t="s">
        <v>71</v>
      </c>
      <c r="J1503" s="11">
        <v>146</v>
      </c>
      <c r="K1503" s="11" t="s">
        <v>267</v>
      </c>
      <c r="L1503" s="11" t="s">
        <v>40</v>
      </c>
      <c r="M1503" s="13">
        <v>1</v>
      </c>
      <c r="N1503" s="16">
        <v>17000.0</v>
      </c>
      <c r="O1503" s="16"/>
      <c r="P1503" s="18">
        <f>IF(N1503&gt;0, O1503/N1503, 0)</f>
        <v>0</v>
      </c>
      <c r="Q1503" s="16">
        <f>N1503-O1503</f>
        <v>17000</v>
      </c>
      <c r="R1503" s="16">
        <f>M1503*N1503</f>
        <v>17000</v>
      </c>
      <c r="S1503" s="16">
        <f>M1503*O1503</f>
        <v>0</v>
      </c>
      <c r="T1503" s="16">
        <f>M1503*Q1503</f>
        <v>17000</v>
      </c>
      <c r="U1503" s="16"/>
      <c r="V1503" s="16">
        <f>M1503*U1503</f>
        <v>0</v>
      </c>
      <c r="W1503" s="16">
        <f>T1503-V1503</f>
        <v>17000</v>
      </c>
      <c r="X1503" s="18">
        <f>IF(T1503&gt;0, W1503/T1503, 0)</f>
        <v>1</v>
      </c>
      <c r="Y1503" s="9" t="s">
        <v>41</v>
      </c>
      <c r="Z1503" s="11" t="s">
        <v>42</v>
      </c>
      <c r="AA1503" s="11" t="s">
        <v>1238</v>
      </c>
      <c r="AB1503" s="11" t="s">
        <v>44</v>
      </c>
      <c r="AC1503" s="9" t="s">
        <v>44</v>
      </c>
    </row>
    <row r="1504" spans="1:29">
      <c r="A1504" s="10">
        <v>1497</v>
      </c>
      <c r="B1504" s="10" t="s">
        <v>1841</v>
      </c>
      <c r="C1504" s="10" t="s">
        <v>1842</v>
      </c>
      <c r="D1504" s="10" t="s">
        <v>1829</v>
      </c>
      <c r="E1504" s="10" t="s">
        <v>34</v>
      </c>
      <c r="F1504" s="10" t="s">
        <v>35</v>
      </c>
      <c r="G1504" s="8" t="s">
        <v>36</v>
      </c>
      <c r="H1504" s="8" t="s">
        <v>71</v>
      </c>
      <c r="I1504" s="8" t="s">
        <v>71</v>
      </c>
      <c r="J1504" s="10">
        <v>158</v>
      </c>
      <c r="K1504" s="10" t="s">
        <v>263</v>
      </c>
      <c r="L1504" s="10" t="s">
        <v>40</v>
      </c>
      <c r="M1504" s="12">
        <v>1</v>
      </c>
      <c r="N1504" s="15">
        <v>16500.0</v>
      </c>
      <c r="O1504" s="15"/>
      <c r="P1504" s="17">
        <f>IF(N1504&gt;0, O1504/N1504, 0)</f>
        <v>0</v>
      </c>
      <c r="Q1504" s="15">
        <f>N1504-O1504</f>
        <v>16500</v>
      </c>
      <c r="R1504" s="15">
        <f>M1504*N1504</f>
        <v>16500</v>
      </c>
      <c r="S1504" s="15">
        <f>M1504*O1504</f>
        <v>0</v>
      </c>
      <c r="T1504" s="15">
        <f>M1504*Q1504</f>
        <v>16500</v>
      </c>
      <c r="U1504" s="15"/>
      <c r="V1504" s="15">
        <f>M1504*U1504</f>
        <v>0</v>
      </c>
      <c r="W1504" s="15">
        <f>T1504-V1504</f>
        <v>16500</v>
      </c>
      <c r="X1504" s="17">
        <f>IF(T1504&gt;0, W1504/T1504, 0)</f>
        <v>1</v>
      </c>
      <c r="Y1504" s="8" t="s">
        <v>41</v>
      </c>
      <c r="Z1504" s="10" t="s">
        <v>42</v>
      </c>
      <c r="AA1504" s="10" t="s">
        <v>43</v>
      </c>
      <c r="AB1504" s="10" t="s">
        <v>44</v>
      </c>
      <c r="AC1504" s="8" t="s">
        <v>44</v>
      </c>
    </row>
    <row r="1505" spans="1:29">
      <c r="A1505" s="11">
        <v>1498</v>
      </c>
      <c r="B1505" s="11" t="s">
        <v>1843</v>
      </c>
      <c r="C1505" s="11" t="s">
        <v>1842</v>
      </c>
      <c r="D1505" s="11" t="s">
        <v>1829</v>
      </c>
      <c r="E1505" s="11" t="s">
        <v>34</v>
      </c>
      <c r="F1505" s="11" t="s">
        <v>35</v>
      </c>
      <c r="G1505" s="9" t="s">
        <v>36</v>
      </c>
      <c r="H1505" s="9" t="s">
        <v>58</v>
      </c>
      <c r="I1505" s="9" t="s">
        <v>58</v>
      </c>
      <c r="J1505" s="11">
        <v>152</v>
      </c>
      <c r="K1505" s="11" t="s">
        <v>332</v>
      </c>
      <c r="L1505" s="11" t="s">
        <v>40</v>
      </c>
      <c r="M1505" s="13">
        <v>1</v>
      </c>
      <c r="N1505" s="16">
        <v>7500.0</v>
      </c>
      <c r="O1505" s="16"/>
      <c r="P1505" s="18">
        <f>IF(N1505&gt;0, O1505/N1505, 0)</f>
        <v>0</v>
      </c>
      <c r="Q1505" s="16">
        <f>N1505-O1505</f>
        <v>7500</v>
      </c>
      <c r="R1505" s="16">
        <f>M1505*N1505</f>
        <v>7500</v>
      </c>
      <c r="S1505" s="16">
        <f>M1505*O1505</f>
        <v>0</v>
      </c>
      <c r="T1505" s="16">
        <f>M1505*Q1505</f>
        <v>7500</v>
      </c>
      <c r="U1505" s="16"/>
      <c r="V1505" s="16">
        <f>M1505*U1505</f>
        <v>0</v>
      </c>
      <c r="W1505" s="16">
        <f>T1505-V1505</f>
        <v>7500</v>
      </c>
      <c r="X1505" s="18">
        <f>IF(T1505&gt;0, W1505/T1505, 0)</f>
        <v>1</v>
      </c>
      <c r="Y1505" s="9" t="s">
        <v>41</v>
      </c>
      <c r="Z1505" s="11" t="s">
        <v>42</v>
      </c>
      <c r="AA1505" s="11" t="s">
        <v>43</v>
      </c>
      <c r="AB1505" s="11" t="s">
        <v>44</v>
      </c>
      <c r="AC1505" s="9" t="s">
        <v>44</v>
      </c>
    </row>
    <row r="1506" spans="1:29">
      <c r="A1506" s="10">
        <v>1499</v>
      </c>
      <c r="B1506" s="10" t="s">
        <v>1844</v>
      </c>
      <c r="C1506" s="10" t="s">
        <v>1842</v>
      </c>
      <c r="D1506" s="10" t="s">
        <v>1829</v>
      </c>
      <c r="E1506" s="10" t="s">
        <v>70</v>
      </c>
      <c r="F1506" s="10" t="s">
        <v>35</v>
      </c>
      <c r="G1506" s="8" t="s">
        <v>36</v>
      </c>
      <c r="H1506" s="8" t="s">
        <v>37</v>
      </c>
      <c r="I1506" s="8" t="s">
        <v>75</v>
      </c>
      <c r="J1506" s="10">
        <v>158</v>
      </c>
      <c r="K1506" s="10" t="s">
        <v>294</v>
      </c>
      <c r="L1506" s="10" t="s">
        <v>40</v>
      </c>
      <c r="M1506" s="12">
        <v>1</v>
      </c>
      <c r="N1506" s="15">
        <v>9000.0</v>
      </c>
      <c r="O1506" s="15"/>
      <c r="P1506" s="17">
        <f>IF(N1506&gt;0, O1506/N1506, 0)</f>
        <v>0</v>
      </c>
      <c r="Q1506" s="15">
        <f>N1506-O1506</f>
        <v>9000</v>
      </c>
      <c r="R1506" s="15">
        <f>M1506*N1506</f>
        <v>9000</v>
      </c>
      <c r="S1506" s="15">
        <f>M1506*O1506</f>
        <v>0</v>
      </c>
      <c r="T1506" s="15">
        <f>M1506*Q1506</f>
        <v>9000</v>
      </c>
      <c r="U1506" s="15"/>
      <c r="V1506" s="15">
        <f>M1506*U1506</f>
        <v>0</v>
      </c>
      <c r="W1506" s="15">
        <f>T1506-V1506</f>
        <v>9000</v>
      </c>
      <c r="X1506" s="17">
        <f>IF(T1506&gt;0, W1506/T1506, 0)</f>
        <v>1</v>
      </c>
      <c r="Y1506" s="8" t="s">
        <v>41</v>
      </c>
      <c r="Z1506" s="10" t="s">
        <v>42</v>
      </c>
      <c r="AA1506" s="10" t="s">
        <v>73</v>
      </c>
      <c r="AB1506" s="10" t="s">
        <v>44</v>
      </c>
      <c r="AC1506" s="8" t="s">
        <v>44</v>
      </c>
    </row>
    <row r="1507" spans="1:29">
      <c r="A1507" s="11">
        <v>1500</v>
      </c>
      <c r="B1507" s="11" t="s">
        <v>1845</v>
      </c>
      <c r="C1507" s="11" t="s">
        <v>1842</v>
      </c>
      <c r="D1507" s="11" t="s">
        <v>1829</v>
      </c>
      <c r="E1507" s="11" t="s">
        <v>34</v>
      </c>
      <c r="F1507" s="11" t="s">
        <v>35</v>
      </c>
      <c r="G1507" s="9" t="s">
        <v>36</v>
      </c>
      <c r="H1507" s="9" t="s">
        <v>47</v>
      </c>
      <c r="I1507" s="9" t="s">
        <v>48</v>
      </c>
      <c r="J1507" s="11">
        <v>164</v>
      </c>
      <c r="K1507" s="11" t="s">
        <v>321</v>
      </c>
      <c r="L1507" s="11" t="s">
        <v>40</v>
      </c>
      <c r="M1507" s="13">
        <v>1</v>
      </c>
      <c r="N1507" s="16">
        <v>18000.0</v>
      </c>
      <c r="O1507" s="16"/>
      <c r="P1507" s="18">
        <f>IF(N1507&gt;0, O1507/N1507, 0)</f>
        <v>0</v>
      </c>
      <c r="Q1507" s="16">
        <f>N1507-O1507</f>
        <v>18000</v>
      </c>
      <c r="R1507" s="16">
        <f>M1507*N1507</f>
        <v>18000</v>
      </c>
      <c r="S1507" s="16">
        <f>M1507*O1507</f>
        <v>0</v>
      </c>
      <c r="T1507" s="16">
        <f>M1507*Q1507</f>
        <v>18000</v>
      </c>
      <c r="U1507" s="16"/>
      <c r="V1507" s="16">
        <f>M1507*U1507</f>
        <v>0</v>
      </c>
      <c r="W1507" s="16">
        <f>T1507-V1507</f>
        <v>18000</v>
      </c>
      <c r="X1507" s="18">
        <f>IF(T1507&gt;0, W1507/T1507, 0)</f>
        <v>1</v>
      </c>
      <c r="Y1507" s="9" t="s">
        <v>41</v>
      </c>
      <c r="Z1507" s="11" t="s">
        <v>42</v>
      </c>
      <c r="AA1507" s="11" t="s">
        <v>43</v>
      </c>
      <c r="AB1507" s="11" t="s">
        <v>44</v>
      </c>
      <c r="AC1507" s="9" t="s">
        <v>44</v>
      </c>
    </row>
    <row r="1508" spans="1:29">
      <c r="A1508" s="10">
        <v>1501</v>
      </c>
      <c r="B1508" s="10" t="s">
        <v>1846</v>
      </c>
      <c r="C1508" s="10" t="s">
        <v>1842</v>
      </c>
      <c r="D1508" s="10" t="s">
        <v>1829</v>
      </c>
      <c r="E1508" s="10" t="s">
        <v>34</v>
      </c>
      <c r="F1508" s="10" t="s">
        <v>35</v>
      </c>
      <c r="G1508" s="8" t="s">
        <v>36</v>
      </c>
      <c r="H1508" s="8" t="s">
        <v>65</v>
      </c>
      <c r="I1508" s="8" t="s">
        <v>151</v>
      </c>
      <c r="J1508" s="10">
        <v>164</v>
      </c>
      <c r="K1508" s="10" t="s">
        <v>368</v>
      </c>
      <c r="L1508" s="10" t="s">
        <v>40</v>
      </c>
      <c r="M1508" s="12">
        <v>1</v>
      </c>
      <c r="N1508" s="15">
        <v>9500.0</v>
      </c>
      <c r="O1508" s="15"/>
      <c r="P1508" s="17">
        <f>IF(N1508&gt;0, O1508/N1508, 0)</f>
        <v>0</v>
      </c>
      <c r="Q1508" s="15">
        <f>N1508-O1508</f>
        <v>9500</v>
      </c>
      <c r="R1508" s="15">
        <f>M1508*N1508</f>
        <v>9500</v>
      </c>
      <c r="S1508" s="15">
        <f>M1508*O1508</f>
        <v>0</v>
      </c>
      <c r="T1508" s="15">
        <f>M1508*Q1508</f>
        <v>9500</v>
      </c>
      <c r="U1508" s="15"/>
      <c r="V1508" s="15">
        <f>M1508*U1508</f>
        <v>0</v>
      </c>
      <c r="W1508" s="15">
        <f>T1508-V1508</f>
        <v>9500</v>
      </c>
      <c r="X1508" s="17">
        <f>IF(T1508&gt;0, W1508/T1508, 0)</f>
        <v>1</v>
      </c>
      <c r="Y1508" s="8" t="s">
        <v>41</v>
      </c>
      <c r="Z1508" s="10" t="s">
        <v>42</v>
      </c>
      <c r="AA1508" s="10" t="s">
        <v>43</v>
      </c>
      <c r="AB1508" s="10" t="s">
        <v>44</v>
      </c>
      <c r="AC1508" s="8" t="s">
        <v>44</v>
      </c>
    </row>
    <row r="1509" spans="1:29">
      <c r="A1509" s="11">
        <v>1502</v>
      </c>
      <c r="B1509" s="11" t="s">
        <v>1847</v>
      </c>
      <c r="C1509" s="11" t="s">
        <v>1842</v>
      </c>
      <c r="D1509" s="11" t="s">
        <v>1829</v>
      </c>
      <c r="E1509" s="11" t="s">
        <v>34</v>
      </c>
      <c r="F1509" s="11" t="s">
        <v>35</v>
      </c>
      <c r="G1509" s="9" t="s">
        <v>36</v>
      </c>
      <c r="H1509" s="9" t="s">
        <v>53</v>
      </c>
      <c r="I1509" s="9" t="s">
        <v>53</v>
      </c>
      <c r="J1509" s="11">
        <v>152</v>
      </c>
      <c r="K1509" s="11" t="s">
        <v>305</v>
      </c>
      <c r="L1509" s="11" t="s">
        <v>40</v>
      </c>
      <c r="M1509" s="13">
        <v>2</v>
      </c>
      <c r="N1509" s="16">
        <v>8500.0</v>
      </c>
      <c r="O1509" s="16"/>
      <c r="P1509" s="18">
        <f>IF(N1509&gt;0, O1509/N1509, 0)</f>
        <v>0</v>
      </c>
      <c r="Q1509" s="16">
        <f>N1509-O1509</f>
        <v>8500</v>
      </c>
      <c r="R1509" s="16">
        <f>M1509*N1509</f>
        <v>17000</v>
      </c>
      <c r="S1509" s="16">
        <f>M1509*O1509</f>
        <v>0</v>
      </c>
      <c r="T1509" s="16">
        <f>M1509*Q1509</f>
        <v>17000</v>
      </c>
      <c r="U1509" s="16"/>
      <c r="V1509" s="16">
        <f>M1509*U1509</f>
        <v>0</v>
      </c>
      <c r="W1509" s="16">
        <f>T1509-V1509</f>
        <v>17000</v>
      </c>
      <c r="X1509" s="18">
        <f>IF(T1509&gt;0, W1509/T1509, 0)</f>
        <v>1</v>
      </c>
      <c r="Y1509" s="9" t="s">
        <v>41</v>
      </c>
      <c r="Z1509" s="11" t="s">
        <v>42</v>
      </c>
      <c r="AA1509" s="11" t="s">
        <v>43</v>
      </c>
      <c r="AB1509" s="11" t="s">
        <v>44</v>
      </c>
      <c r="AC1509" s="9" t="s">
        <v>44</v>
      </c>
    </row>
    <row r="1510" spans="1:29">
      <c r="A1510" s="10">
        <v>1503</v>
      </c>
      <c r="B1510" s="10" t="s">
        <v>1848</v>
      </c>
      <c r="C1510" s="10" t="s">
        <v>1842</v>
      </c>
      <c r="D1510" s="10" t="s">
        <v>1829</v>
      </c>
      <c r="E1510" s="10" t="s">
        <v>34</v>
      </c>
      <c r="F1510" s="10" t="s">
        <v>35</v>
      </c>
      <c r="G1510" s="8" t="s">
        <v>36</v>
      </c>
      <c r="H1510" s="8" t="s">
        <v>37</v>
      </c>
      <c r="I1510" s="8" t="s">
        <v>75</v>
      </c>
      <c r="J1510" s="10">
        <v>164</v>
      </c>
      <c r="K1510" s="10" t="s">
        <v>76</v>
      </c>
      <c r="L1510" s="10" t="s">
        <v>40</v>
      </c>
      <c r="M1510" s="12">
        <v>1</v>
      </c>
      <c r="N1510" s="15">
        <v>9000.0</v>
      </c>
      <c r="O1510" s="15"/>
      <c r="P1510" s="17">
        <f>IF(N1510&gt;0, O1510/N1510, 0)</f>
        <v>0</v>
      </c>
      <c r="Q1510" s="15">
        <f>N1510-O1510</f>
        <v>9000</v>
      </c>
      <c r="R1510" s="15">
        <f>M1510*N1510</f>
        <v>9000</v>
      </c>
      <c r="S1510" s="15">
        <f>M1510*O1510</f>
        <v>0</v>
      </c>
      <c r="T1510" s="15">
        <f>M1510*Q1510</f>
        <v>9000</v>
      </c>
      <c r="U1510" s="15"/>
      <c r="V1510" s="15">
        <f>M1510*U1510</f>
        <v>0</v>
      </c>
      <c r="W1510" s="15">
        <f>T1510-V1510</f>
        <v>9000</v>
      </c>
      <c r="X1510" s="17">
        <f>IF(T1510&gt;0, W1510/T1510, 0)</f>
        <v>1</v>
      </c>
      <c r="Y1510" s="8" t="s">
        <v>41</v>
      </c>
      <c r="Z1510" s="10" t="s">
        <v>42</v>
      </c>
      <c r="AA1510" s="10" t="s">
        <v>43</v>
      </c>
      <c r="AB1510" s="10" t="s">
        <v>44</v>
      </c>
      <c r="AC1510" s="8" t="s">
        <v>44</v>
      </c>
    </row>
    <row r="1511" spans="1:29">
      <c r="A1511" s="11">
        <v>1504</v>
      </c>
      <c r="B1511" s="11" t="s">
        <v>1849</v>
      </c>
      <c r="C1511" s="11" t="s">
        <v>1842</v>
      </c>
      <c r="D1511" s="11" t="s">
        <v>1829</v>
      </c>
      <c r="E1511" s="11" t="s">
        <v>34</v>
      </c>
      <c r="F1511" s="11" t="s">
        <v>35</v>
      </c>
      <c r="G1511" s="9" t="s">
        <v>52</v>
      </c>
      <c r="H1511" s="9" t="s">
        <v>37</v>
      </c>
      <c r="I1511" s="9" t="s">
        <v>38</v>
      </c>
      <c r="J1511" s="11">
        <v>152</v>
      </c>
      <c r="K1511" s="11" t="s">
        <v>154</v>
      </c>
      <c r="L1511" s="11" t="s">
        <v>55</v>
      </c>
      <c r="M1511" s="13">
        <v>2</v>
      </c>
      <c r="N1511" s="16">
        <v>8000.0</v>
      </c>
      <c r="O1511" s="16"/>
      <c r="P1511" s="18">
        <f>IF(N1511&gt;0, O1511/N1511, 0)</f>
        <v>0</v>
      </c>
      <c r="Q1511" s="16">
        <f>N1511-O1511</f>
        <v>8000</v>
      </c>
      <c r="R1511" s="16">
        <f>M1511*N1511</f>
        <v>16000</v>
      </c>
      <c r="S1511" s="16">
        <f>M1511*O1511</f>
        <v>0</v>
      </c>
      <c r="T1511" s="16">
        <f>M1511*Q1511</f>
        <v>16000</v>
      </c>
      <c r="U1511" s="16"/>
      <c r="V1511" s="16">
        <f>M1511*U1511</f>
        <v>0</v>
      </c>
      <c r="W1511" s="16">
        <f>T1511-V1511</f>
        <v>16000</v>
      </c>
      <c r="X1511" s="18">
        <f>IF(T1511&gt;0, W1511/T1511, 0)</f>
        <v>1</v>
      </c>
      <c r="Y1511" s="9" t="s">
        <v>41</v>
      </c>
      <c r="Z1511" s="11" t="s">
        <v>42</v>
      </c>
      <c r="AA1511" s="11" t="s">
        <v>43</v>
      </c>
      <c r="AB1511" s="11" t="s">
        <v>44</v>
      </c>
      <c r="AC1511" s="9" t="s">
        <v>44</v>
      </c>
    </row>
    <row r="1512" spans="1:29">
      <c r="A1512" s="10">
        <v>1505</v>
      </c>
      <c r="B1512" s="10" t="s">
        <v>1850</v>
      </c>
      <c r="C1512" s="10" t="s">
        <v>1842</v>
      </c>
      <c r="D1512" s="10" t="s">
        <v>1829</v>
      </c>
      <c r="E1512" s="10" t="s">
        <v>70</v>
      </c>
      <c r="F1512" s="10" t="s">
        <v>35</v>
      </c>
      <c r="G1512" s="8" t="s">
        <v>36</v>
      </c>
      <c r="H1512" s="8" t="s">
        <v>71</v>
      </c>
      <c r="I1512" s="8" t="s">
        <v>71</v>
      </c>
      <c r="J1512" s="10">
        <v>164</v>
      </c>
      <c r="K1512" s="10" t="s">
        <v>72</v>
      </c>
      <c r="L1512" s="10" t="s">
        <v>40</v>
      </c>
      <c r="M1512" s="12">
        <v>1</v>
      </c>
      <c r="N1512" s="15">
        <v>18000.0</v>
      </c>
      <c r="O1512" s="15"/>
      <c r="P1512" s="17">
        <f>IF(N1512&gt;0, O1512/N1512, 0)</f>
        <v>0</v>
      </c>
      <c r="Q1512" s="15">
        <f>N1512-O1512</f>
        <v>18000</v>
      </c>
      <c r="R1512" s="15">
        <f>M1512*N1512</f>
        <v>18000</v>
      </c>
      <c r="S1512" s="15">
        <f>M1512*O1512</f>
        <v>0</v>
      </c>
      <c r="T1512" s="15">
        <f>M1512*Q1512</f>
        <v>18000</v>
      </c>
      <c r="U1512" s="15"/>
      <c r="V1512" s="15">
        <f>M1512*U1512</f>
        <v>0</v>
      </c>
      <c r="W1512" s="15">
        <f>T1512-V1512</f>
        <v>18000</v>
      </c>
      <c r="X1512" s="17">
        <f>IF(T1512&gt;0, W1512/T1512, 0)</f>
        <v>1</v>
      </c>
      <c r="Y1512" s="8" t="s">
        <v>41</v>
      </c>
      <c r="Z1512" s="10" t="s">
        <v>42</v>
      </c>
      <c r="AA1512" s="10" t="s">
        <v>1238</v>
      </c>
      <c r="AB1512" s="10" t="s">
        <v>44</v>
      </c>
      <c r="AC1512" s="8" t="s">
        <v>44</v>
      </c>
    </row>
    <row r="1513" spans="1:29">
      <c r="A1513" s="11">
        <v>1506</v>
      </c>
      <c r="B1513" s="11" t="s">
        <v>1851</v>
      </c>
      <c r="C1513" s="11" t="s">
        <v>1842</v>
      </c>
      <c r="D1513" s="11" t="s">
        <v>1829</v>
      </c>
      <c r="E1513" s="11" t="s">
        <v>34</v>
      </c>
      <c r="F1513" s="11" t="s">
        <v>35</v>
      </c>
      <c r="G1513" s="9" t="s">
        <v>52</v>
      </c>
      <c r="H1513" s="9" t="s">
        <v>58</v>
      </c>
      <c r="I1513" s="9" t="s">
        <v>58</v>
      </c>
      <c r="J1513" s="11">
        <v>116</v>
      </c>
      <c r="K1513" s="11" t="s">
        <v>81</v>
      </c>
      <c r="L1513" s="11" t="s">
        <v>40</v>
      </c>
      <c r="M1513" s="13">
        <v>1</v>
      </c>
      <c r="N1513" s="16">
        <v>7000.0</v>
      </c>
      <c r="O1513" s="16"/>
      <c r="P1513" s="18">
        <f>IF(N1513&gt;0, O1513/N1513, 0)</f>
        <v>0</v>
      </c>
      <c r="Q1513" s="16">
        <f>N1513-O1513</f>
        <v>7000</v>
      </c>
      <c r="R1513" s="16">
        <f>M1513*N1513</f>
        <v>7000</v>
      </c>
      <c r="S1513" s="16">
        <f>M1513*O1513</f>
        <v>0</v>
      </c>
      <c r="T1513" s="16">
        <f>M1513*Q1513</f>
        <v>7000</v>
      </c>
      <c r="U1513" s="16"/>
      <c r="V1513" s="16">
        <f>M1513*U1513</f>
        <v>0</v>
      </c>
      <c r="W1513" s="16">
        <f>T1513-V1513</f>
        <v>7000</v>
      </c>
      <c r="X1513" s="18">
        <f>IF(T1513&gt;0, W1513/T1513, 0)</f>
        <v>1</v>
      </c>
      <c r="Y1513" s="9" t="s">
        <v>41</v>
      </c>
      <c r="Z1513" s="11" t="s">
        <v>42</v>
      </c>
      <c r="AA1513" s="11" t="s">
        <v>43</v>
      </c>
      <c r="AB1513" s="11" t="s">
        <v>44</v>
      </c>
      <c r="AC1513" s="9" t="s">
        <v>44</v>
      </c>
    </row>
    <row r="1514" spans="1:29">
      <c r="A1514" s="10">
        <v>1507</v>
      </c>
      <c r="B1514" s="10" t="s">
        <v>1852</v>
      </c>
      <c r="C1514" s="10" t="s">
        <v>1842</v>
      </c>
      <c r="D1514" s="10" t="s">
        <v>1829</v>
      </c>
      <c r="E1514" s="10" t="s">
        <v>34</v>
      </c>
      <c r="F1514" s="10" t="s">
        <v>35</v>
      </c>
      <c r="G1514" s="8" t="s">
        <v>52</v>
      </c>
      <c r="H1514" s="8" t="s">
        <v>53</v>
      </c>
      <c r="I1514" s="8" t="s">
        <v>53</v>
      </c>
      <c r="J1514" s="10">
        <v>122</v>
      </c>
      <c r="K1514" s="10" t="s">
        <v>84</v>
      </c>
      <c r="L1514" s="10" t="s">
        <v>55</v>
      </c>
      <c r="M1514" s="12">
        <v>1</v>
      </c>
      <c r="N1514" s="15">
        <v>8000.0</v>
      </c>
      <c r="O1514" s="15"/>
      <c r="P1514" s="17">
        <f>IF(N1514&gt;0, O1514/N1514, 0)</f>
        <v>0</v>
      </c>
      <c r="Q1514" s="15">
        <f>N1514-O1514</f>
        <v>8000</v>
      </c>
      <c r="R1514" s="15">
        <f>M1514*N1514</f>
        <v>8000</v>
      </c>
      <c r="S1514" s="15">
        <f>M1514*O1514</f>
        <v>0</v>
      </c>
      <c r="T1514" s="15">
        <f>M1514*Q1514</f>
        <v>8000</v>
      </c>
      <c r="U1514" s="15"/>
      <c r="V1514" s="15">
        <f>M1514*U1514</f>
        <v>0</v>
      </c>
      <c r="W1514" s="15">
        <f>T1514-V1514</f>
        <v>8000</v>
      </c>
      <c r="X1514" s="17">
        <f>IF(T1514&gt;0, W1514/T1514, 0)</f>
        <v>1</v>
      </c>
      <c r="Y1514" s="8" t="s">
        <v>41</v>
      </c>
      <c r="Z1514" s="10" t="s">
        <v>42</v>
      </c>
      <c r="AA1514" s="10" t="s">
        <v>43</v>
      </c>
      <c r="AB1514" s="10" t="s">
        <v>44</v>
      </c>
      <c r="AC1514" s="8" t="s">
        <v>44</v>
      </c>
    </row>
    <row r="1515" spans="1:29">
      <c r="A1515" s="11">
        <v>1508</v>
      </c>
      <c r="B1515" s="11" t="s">
        <v>1853</v>
      </c>
      <c r="C1515" s="11" t="s">
        <v>1842</v>
      </c>
      <c r="D1515" s="11" t="s">
        <v>1829</v>
      </c>
      <c r="E1515" s="11" t="s">
        <v>34</v>
      </c>
      <c r="F1515" s="11" t="s">
        <v>35</v>
      </c>
      <c r="G1515" s="9" t="s">
        <v>52</v>
      </c>
      <c r="H1515" s="9" t="s">
        <v>37</v>
      </c>
      <c r="I1515" s="9" t="s">
        <v>38</v>
      </c>
      <c r="J1515" s="11">
        <v>122</v>
      </c>
      <c r="K1515" s="11" t="s">
        <v>107</v>
      </c>
      <c r="L1515" s="11" t="s">
        <v>55</v>
      </c>
      <c r="M1515" s="13">
        <v>2</v>
      </c>
      <c r="N1515" s="16">
        <v>7000.0</v>
      </c>
      <c r="O1515" s="16"/>
      <c r="P1515" s="18">
        <f>IF(N1515&gt;0, O1515/N1515, 0)</f>
        <v>0</v>
      </c>
      <c r="Q1515" s="16">
        <f>N1515-O1515</f>
        <v>7000</v>
      </c>
      <c r="R1515" s="16">
        <f>M1515*N1515</f>
        <v>14000</v>
      </c>
      <c r="S1515" s="16">
        <f>M1515*O1515</f>
        <v>0</v>
      </c>
      <c r="T1515" s="16">
        <f>M1515*Q1515</f>
        <v>14000</v>
      </c>
      <c r="U1515" s="16"/>
      <c r="V1515" s="16">
        <f>M1515*U1515</f>
        <v>0</v>
      </c>
      <c r="W1515" s="16">
        <f>T1515-V1515</f>
        <v>14000</v>
      </c>
      <c r="X1515" s="18">
        <f>IF(T1515&gt;0, W1515/T1515, 0)</f>
        <v>1</v>
      </c>
      <c r="Y1515" s="9" t="s">
        <v>41</v>
      </c>
      <c r="Z1515" s="11" t="s">
        <v>42</v>
      </c>
      <c r="AA1515" s="11" t="s">
        <v>43</v>
      </c>
      <c r="AB1515" s="11" t="s">
        <v>44</v>
      </c>
      <c r="AC1515" s="9" t="s">
        <v>44</v>
      </c>
    </row>
    <row r="1516" spans="1:29">
      <c r="A1516" s="10">
        <v>1509</v>
      </c>
      <c r="B1516" s="10" t="s">
        <v>1854</v>
      </c>
      <c r="C1516" s="10" t="s">
        <v>1842</v>
      </c>
      <c r="D1516" s="10" t="s">
        <v>1829</v>
      </c>
      <c r="E1516" s="10" t="s">
        <v>34</v>
      </c>
      <c r="F1516" s="10" t="s">
        <v>35</v>
      </c>
      <c r="G1516" s="8" t="s">
        <v>52</v>
      </c>
      <c r="H1516" s="8" t="s">
        <v>71</v>
      </c>
      <c r="I1516" s="8" t="s">
        <v>71</v>
      </c>
      <c r="J1516" s="10">
        <v>122</v>
      </c>
      <c r="K1516" s="10" t="s">
        <v>101</v>
      </c>
      <c r="L1516" s="10" t="s">
        <v>40</v>
      </c>
      <c r="M1516" s="12">
        <v>1</v>
      </c>
      <c r="N1516" s="15">
        <v>16000.0</v>
      </c>
      <c r="O1516" s="15"/>
      <c r="P1516" s="17">
        <f>IF(N1516&gt;0, O1516/N1516, 0)</f>
        <v>0</v>
      </c>
      <c r="Q1516" s="15">
        <f>N1516-O1516</f>
        <v>16000</v>
      </c>
      <c r="R1516" s="15">
        <f>M1516*N1516</f>
        <v>16000</v>
      </c>
      <c r="S1516" s="15">
        <f>M1516*O1516</f>
        <v>0</v>
      </c>
      <c r="T1516" s="15">
        <f>M1516*Q1516</f>
        <v>16000</v>
      </c>
      <c r="U1516" s="15"/>
      <c r="V1516" s="15">
        <f>M1516*U1516</f>
        <v>0</v>
      </c>
      <c r="W1516" s="15">
        <f>T1516-V1516</f>
        <v>16000</v>
      </c>
      <c r="X1516" s="17">
        <f>IF(T1516&gt;0, W1516/T1516, 0)</f>
        <v>1</v>
      </c>
      <c r="Y1516" s="8" t="s">
        <v>41</v>
      </c>
      <c r="Z1516" s="10" t="s">
        <v>42</v>
      </c>
      <c r="AA1516" s="10" t="s">
        <v>43</v>
      </c>
      <c r="AB1516" s="10" t="s">
        <v>44</v>
      </c>
      <c r="AC1516" s="8" t="s">
        <v>44</v>
      </c>
    </row>
    <row r="1517" spans="1:29">
      <c r="A1517" s="11">
        <v>1510</v>
      </c>
      <c r="B1517" s="11" t="s">
        <v>1855</v>
      </c>
      <c r="C1517" s="11" t="s">
        <v>1842</v>
      </c>
      <c r="D1517" s="11" t="s">
        <v>1829</v>
      </c>
      <c r="E1517" s="11" t="s">
        <v>34</v>
      </c>
      <c r="F1517" s="11" t="s">
        <v>35</v>
      </c>
      <c r="G1517" s="9" t="s">
        <v>36</v>
      </c>
      <c r="H1517" s="9" t="s">
        <v>37</v>
      </c>
      <c r="I1517" s="9" t="s">
        <v>38</v>
      </c>
      <c r="J1517" s="11">
        <v>158</v>
      </c>
      <c r="K1517" s="11" t="s">
        <v>39</v>
      </c>
      <c r="L1517" s="11" t="s">
        <v>40</v>
      </c>
      <c r="M1517" s="13">
        <v>1</v>
      </c>
      <c r="N1517" s="16">
        <v>8000.0</v>
      </c>
      <c r="O1517" s="16"/>
      <c r="P1517" s="18">
        <f>IF(N1517&gt;0, O1517/N1517, 0)</f>
        <v>0</v>
      </c>
      <c r="Q1517" s="16">
        <f>N1517-O1517</f>
        <v>8000</v>
      </c>
      <c r="R1517" s="16">
        <f>M1517*N1517</f>
        <v>8000</v>
      </c>
      <c r="S1517" s="16">
        <f>M1517*O1517</f>
        <v>0</v>
      </c>
      <c r="T1517" s="16">
        <f>M1517*Q1517</f>
        <v>8000</v>
      </c>
      <c r="U1517" s="16"/>
      <c r="V1517" s="16">
        <f>M1517*U1517</f>
        <v>0</v>
      </c>
      <c r="W1517" s="16">
        <f>T1517-V1517</f>
        <v>8000</v>
      </c>
      <c r="X1517" s="18">
        <f>IF(T1517&gt;0, W1517/T1517, 0)</f>
        <v>1</v>
      </c>
      <c r="Y1517" s="9" t="s">
        <v>41</v>
      </c>
      <c r="Z1517" s="11" t="s">
        <v>42</v>
      </c>
      <c r="AA1517" s="11" t="s">
        <v>43</v>
      </c>
      <c r="AB1517" s="11" t="s">
        <v>44</v>
      </c>
      <c r="AC1517" s="9" t="s">
        <v>44</v>
      </c>
    </row>
    <row r="1518" spans="1:29">
      <c r="A1518" s="10">
        <v>1511</v>
      </c>
      <c r="B1518" s="10" t="s">
        <v>1856</v>
      </c>
      <c r="C1518" s="10" t="s">
        <v>1842</v>
      </c>
      <c r="D1518" s="10" t="s">
        <v>1829</v>
      </c>
      <c r="E1518" s="10" t="s">
        <v>34</v>
      </c>
      <c r="F1518" s="10" t="s">
        <v>35</v>
      </c>
      <c r="G1518" s="8" t="s">
        <v>36</v>
      </c>
      <c r="H1518" s="8" t="s">
        <v>1857</v>
      </c>
      <c r="I1518" s="8" t="s">
        <v>1858</v>
      </c>
      <c r="J1518" s="10">
        <v>158</v>
      </c>
      <c r="K1518" s="10" t="s">
        <v>1859</v>
      </c>
      <c r="L1518" s="10" t="s">
        <v>44</v>
      </c>
      <c r="M1518" s="12">
        <v>1</v>
      </c>
      <c r="N1518" s="15">
        <v>9500.0</v>
      </c>
      <c r="O1518" s="15"/>
      <c r="P1518" s="17">
        <f>IF(N1518&gt;0, O1518/N1518, 0)</f>
        <v>0</v>
      </c>
      <c r="Q1518" s="15">
        <f>N1518-O1518</f>
        <v>9500</v>
      </c>
      <c r="R1518" s="15">
        <f>M1518*N1518</f>
        <v>9500</v>
      </c>
      <c r="S1518" s="15">
        <f>M1518*O1518</f>
        <v>0</v>
      </c>
      <c r="T1518" s="15">
        <f>M1518*Q1518</f>
        <v>9500</v>
      </c>
      <c r="U1518" s="15"/>
      <c r="V1518" s="15">
        <f>M1518*U1518</f>
        <v>0</v>
      </c>
      <c r="W1518" s="15">
        <f>T1518-V1518</f>
        <v>9500</v>
      </c>
      <c r="X1518" s="17">
        <f>IF(T1518&gt;0, W1518/T1518, 0)</f>
        <v>1</v>
      </c>
      <c r="Y1518" s="8" t="s">
        <v>41</v>
      </c>
      <c r="Z1518" s="10" t="s">
        <v>42</v>
      </c>
      <c r="AA1518" s="10" t="s">
        <v>43</v>
      </c>
      <c r="AB1518" s="10" t="s">
        <v>44</v>
      </c>
      <c r="AC1518" s="8" t="s">
        <v>44</v>
      </c>
    </row>
    <row r="1519" spans="1:29">
      <c r="A1519" s="11">
        <v>1512</v>
      </c>
      <c r="B1519" s="11" t="s">
        <v>1860</v>
      </c>
      <c r="C1519" s="11" t="s">
        <v>1842</v>
      </c>
      <c r="D1519" s="11" t="s">
        <v>1829</v>
      </c>
      <c r="E1519" s="11" t="s">
        <v>34</v>
      </c>
      <c r="F1519" s="11" t="s">
        <v>35</v>
      </c>
      <c r="G1519" s="9" t="s">
        <v>36</v>
      </c>
      <c r="H1519" s="9" t="s">
        <v>53</v>
      </c>
      <c r="I1519" s="9" t="s">
        <v>53</v>
      </c>
      <c r="J1519" s="11">
        <v>158</v>
      </c>
      <c r="K1519" s="11" t="s">
        <v>124</v>
      </c>
      <c r="L1519" s="11" t="s">
        <v>40</v>
      </c>
      <c r="M1519" s="13">
        <v>1</v>
      </c>
      <c r="N1519" s="16">
        <v>8500.0</v>
      </c>
      <c r="O1519" s="16"/>
      <c r="P1519" s="18">
        <f>IF(N1519&gt;0, O1519/N1519, 0)</f>
        <v>0</v>
      </c>
      <c r="Q1519" s="16">
        <f>N1519-O1519</f>
        <v>8500</v>
      </c>
      <c r="R1519" s="16">
        <f>M1519*N1519</f>
        <v>8500</v>
      </c>
      <c r="S1519" s="16">
        <f>M1519*O1519</f>
        <v>0</v>
      </c>
      <c r="T1519" s="16">
        <f>M1519*Q1519</f>
        <v>8500</v>
      </c>
      <c r="U1519" s="16"/>
      <c r="V1519" s="16">
        <f>M1519*U1519</f>
        <v>0</v>
      </c>
      <c r="W1519" s="16">
        <f>T1519-V1519</f>
        <v>8500</v>
      </c>
      <c r="X1519" s="18">
        <f>IF(T1519&gt;0, W1519/T1519, 0)</f>
        <v>1</v>
      </c>
      <c r="Y1519" s="9" t="s">
        <v>41</v>
      </c>
      <c r="Z1519" s="11" t="s">
        <v>42</v>
      </c>
      <c r="AA1519" s="11" t="s">
        <v>43</v>
      </c>
      <c r="AB1519" s="11" t="s">
        <v>44</v>
      </c>
      <c r="AC1519" s="9" t="s">
        <v>44</v>
      </c>
    </row>
    <row r="1520" spans="1:29">
      <c r="A1520" s="10">
        <v>1513</v>
      </c>
      <c r="B1520" s="10" t="s">
        <v>1861</v>
      </c>
      <c r="C1520" s="10" t="s">
        <v>1842</v>
      </c>
      <c r="D1520" s="10" t="s">
        <v>1829</v>
      </c>
      <c r="E1520" s="10" t="s">
        <v>34</v>
      </c>
      <c r="F1520" s="10" t="s">
        <v>35</v>
      </c>
      <c r="G1520" s="8" t="s">
        <v>36</v>
      </c>
      <c r="H1520" s="8" t="s">
        <v>58</v>
      </c>
      <c r="I1520" s="8" t="s">
        <v>1862</v>
      </c>
      <c r="J1520" s="10">
        <v>146</v>
      </c>
      <c r="K1520" s="10" t="s">
        <v>1863</v>
      </c>
      <c r="L1520" s="10" t="s">
        <v>44</v>
      </c>
      <c r="M1520" s="12">
        <v>1</v>
      </c>
      <c r="N1520" s="15">
        <v>7500.0</v>
      </c>
      <c r="O1520" s="15"/>
      <c r="P1520" s="17">
        <f>IF(N1520&gt;0, O1520/N1520, 0)</f>
        <v>0</v>
      </c>
      <c r="Q1520" s="15">
        <f>N1520-O1520</f>
        <v>7500</v>
      </c>
      <c r="R1520" s="15">
        <f>M1520*N1520</f>
        <v>7500</v>
      </c>
      <c r="S1520" s="15">
        <f>M1520*O1520</f>
        <v>0</v>
      </c>
      <c r="T1520" s="15">
        <f>M1520*Q1520</f>
        <v>7500</v>
      </c>
      <c r="U1520" s="15"/>
      <c r="V1520" s="15">
        <f>M1520*U1520</f>
        <v>0</v>
      </c>
      <c r="W1520" s="15">
        <f>T1520-V1520</f>
        <v>7500</v>
      </c>
      <c r="X1520" s="17">
        <f>IF(T1520&gt;0, W1520/T1520, 0)</f>
        <v>1</v>
      </c>
      <c r="Y1520" s="8" t="s">
        <v>41</v>
      </c>
      <c r="Z1520" s="10" t="s">
        <v>42</v>
      </c>
      <c r="AA1520" s="10" t="s">
        <v>43</v>
      </c>
      <c r="AB1520" s="10" t="s">
        <v>44</v>
      </c>
      <c r="AC1520" s="8" t="s">
        <v>44</v>
      </c>
    </row>
    <row r="1521" spans="1:29">
      <c r="A1521" s="11">
        <v>1514</v>
      </c>
      <c r="B1521" s="11" t="s">
        <v>1864</v>
      </c>
      <c r="C1521" s="11" t="s">
        <v>1842</v>
      </c>
      <c r="D1521" s="11" t="s">
        <v>1829</v>
      </c>
      <c r="E1521" s="11" t="s">
        <v>34</v>
      </c>
      <c r="F1521" s="11" t="s">
        <v>35</v>
      </c>
      <c r="G1521" s="9" t="s">
        <v>36</v>
      </c>
      <c r="H1521" s="9" t="s">
        <v>47</v>
      </c>
      <c r="I1521" s="9" t="s">
        <v>48</v>
      </c>
      <c r="J1521" s="11">
        <v>164</v>
      </c>
      <c r="K1521" s="11" t="s">
        <v>321</v>
      </c>
      <c r="L1521" s="11" t="s">
        <v>40</v>
      </c>
      <c r="M1521" s="13">
        <v>1</v>
      </c>
      <c r="N1521" s="16">
        <v>18000.0</v>
      </c>
      <c r="O1521" s="16"/>
      <c r="P1521" s="18">
        <f>IF(N1521&gt;0, O1521/N1521, 0)</f>
        <v>0</v>
      </c>
      <c r="Q1521" s="16">
        <f>N1521-O1521</f>
        <v>18000</v>
      </c>
      <c r="R1521" s="16">
        <f>M1521*N1521</f>
        <v>18000</v>
      </c>
      <c r="S1521" s="16">
        <f>M1521*O1521</f>
        <v>0</v>
      </c>
      <c r="T1521" s="16">
        <f>M1521*Q1521</f>
        <v>18000</v>
      </c>
      <c r="U1521" s="16"/>
      <c r="V1521" s="16">
        <f>M1521*U1521</f>
        <v>0</v>
      </c>
      <c r="W1521" s="16">
        <f>T1521-V1521</f>
        <v>18000</v>
      </c>
      <c r="X1521" s="18">
        <f>IF(T1521&gt;0, W1521/T1521, 0)</f>
        <v>1</v>
      </c>
      <c r="Y1521" s="9" t="s">
        <v>41</v>
      </c>
      <c r="Z1521" s="11" t="s">
        <v>42</v>
      </c>
      <c r="AA1521" s="11" t="s">
        <v>43</v>
      </c>
      <c r="AB1521" s="11" t="s">
        <v>44</v>
      </c>
      <c r="AC1521" s="9" t="s">
        <v>44</v>
      </c>
    </row>
    <row r="1522" spans="1:29">
      <c r="A1522" s="10">
        <v>1515</v>
      </c>
      <c r="B1522" s="10" t="s">
        <v>1865</v>
      </c>
      <c r="C1522" s="10" t="s">
        <v>1842</v>
      </c>
      <c r="D1522" s="10" t="s">
        <v>1829</v>
      </c>
      <c r="E1522" s="10" t="s">
        <v>34</v>
      </c>
      <c r="F1522" s="10" t="s">
        <v>35</v>
      </c>
      <c r="G1522" s="8" t="s">
        <v>36</v>
      </c>
      <c r="H1522" s="8" t="s">
        <v>53</v>
      </c>
      <c r="I1522" s="8" t="s">
        <v>53</v>
      </c>
      <c r="J1522" s="10">
        <v>170</v>
      </c>
      <c r="K1522" s="10" t="s">
        <v>1142</v>
      </c>
      <c r="L1522" s="10" t="s">
        <v>40</v>
      </c>
      <c r="M1522" s="12">
        <v>1</v>
      </c>
      <c r="N1522" s="15">
        <v>8500.0</v>
      </c>
      <c r="O1522" s="15"/>
      <c r="P1522" s="17">
        <f>IF(N1522&gt;0, O1522/N1522, 0)</f>
        <v>0</v>
      </c>
      <c r="Q1522" s="15">
        <f>N1522-O1522</f>
        <v>8500</v>
      </c>
      <c r="R1522" s="15">
        <f>M1522*N1522</f>
        <v>8500</v>
      </c>
      <c r="S1522" s="15">
        <f>M1522*O1522</f>
        <v>0</v>
      </c>
      <c r="T1522" s="15">
        <f>M1522*Q1522</f>
        <v>8500</v>
      </c>
      <c r="U1522" s="15"/>
      <c r="V1522" s="15">
        <f>M1522*U1522</f>
        <v>0</v>
      </c>
      <c r="W1522" s="15">
        <f>T1522-V1522</f>
        <v>8500</v>
      </c>
      <c r="X1522" s="17">
        <f>IF(T1522&gt;0, W1522/T1522, 0)</f>
        <v>1</v>
      </c>
      <c r="Y1522" s="8" t="s">
        <v>41</v>
      </c>
      <c r="Z1522" s="10" t="s">
        <v>42</v>
      </c>
      <c r="AA1522" s="10" t="s">
        <v>43</v>
      </c>
      <c r="AB1522" s="10" t="s">
        <v>44</v>
      </c>
      <c r="AC1522" s="8" t="s">
        <v>44</v>
      </c>
    </row>
    <row r="1523" spans="1:29">
      <c r="A1523" s="11">
        <v>1516</v>
      </c>
      <c r="B1523" s="11" t="s">
        <v>1866</v>
      </c>
      <c r="C1523" s="11" t="s">
        <v>1842</v>
      </c>
      <c r="D1523" s="11" t="s">
        <v>1829</v>
      </c>
      <c r="E1523" s="11" t="s">
        <v>34</v>
      </c>
      <c r="F1523" s="11" t="s">
        <v>35</v>
      </c>
      <c r="G1523" s="9" t="s">
        <v>36</v>
      </c>
      <c r="H1523" s="9" t="s">
        <v>58</v>
      </c>
      <c r="I1523" s="9" t="s">
        <v>58</v>
      </c>
      <c r="J1523" s="11">
        <v>158</v>
      </c>
      <c r="K1523" s="11" t="s">
        <v>130</v>
      </c>
      <c r="L1523" s="11" t="s">
        <v>40</v>
      </c>
      <c r="M1523" s="13">
        <v>1</v>
      </c>
      <c r="N1523" s="16">
        <v>7500.0</v>
      </c>
      <c r="O1523" s="16"/>
      <c r="P1523" s="18">
        <f>IF(N1523&gt;0, O1523/N1523, 0)</f>
        <v>0</v>
      </c>
      <c r="Q1523" s="16">
        <f>N1523-O1523</f>
        <v>7500</v>
      </c>
      <c r="R1523" s="16">
        <f>M1523*N1523</f>
        <v>7500</v>
      </c>
      <c r="S1523" s="16">
        <f>M1523*O1523</f>
        <v>0</v>
      </c>
      <c r="T1523" s="16">
        <f>M1523*Q1523</f>
        <v>7500</v>
      </c>
      <c r="U1523" s="16"/>
      <c r="V1523" s="16">
        <f>M1523*U1523</f>
        <v>0</v>
      </c>
      <c r="W1523" s="16">
        <f>T1523-V1523</f>
        <v>7500</v>
      </c>
      <c r="X1523" s="18">
        <f>IF(T1523&gt;0, W1523/T1523, 0)</f>
        <v>1</v>
      </c>
      <c r="Y1523" s="9" t="s">
        <v>41</v>
      </c>
      <c r="Z1523" s="11" t="s">
        <v>42</v>
      </c>
      <c r="AA1523" s="11" t="s">
        <v>43</v>
      </c>
      <c r="AB1523" s="11" t="s">
        <v>44</v>
      </c>
      <c r="AC1523" s="9" t="s">
        <v>44</v>
      </c>
    </row>
    <row r="1524" spans="1:29">
      <c r="A1524" s="10">
        <v>1517</v>
      </c>
      <c r="B1524" s="10" t="s">
        <v>1867</v>
      </c>
      <c r="C1524" s="10" t="s">
        <v>1842</v>
      </c>
      <c r="D1524" s="10" t="s">
        <v>1829</v>
      </c>
      <c r="E1524" s="10" t="s">
        <v>34</v>
      </c>
      <c r="F1524" s="10" t="s">
        <v>35</v>
      </c>
      <c r="G1524" s="8" t="s">
        <v>36</v>
      </c>
      <c r="H1524" s="8" t="s">
        <v>37</v>
      </c>
      <c r="I1524" s="8" t="s">
        <v>38</v>
      </c>
      <c r="J1524" s="10">
        <v>164</v>
      </c>
      <c r="K1524" s="10" t="s">
        <v>79</v>
      </c>
      <c r="L1524" s="10" t="s">
        <v>40</v>
      </c>
      <c r="M1524" s="12">
        <v>1</v>
      </c>
      <c r="N1524" s="15">
        <v>8000.0</v>
      </c>
      <c r="O1524" s="15"/>
      <c r="P1524" s="17">
        <f>IF(N1524&gt;0, O1524/N1524, 0)</f>
        <v>0</v>
      </c>
      <c r="Q1524" s="15">
        <f>N1524-O1524</f>
        <v>8000</v>
      </c>
      <c r="R1524" s="15">
        <f>M1524*N1524</f>
        <v>8000</v>
      </c>
      <c r="S1524" s="15">
        <f>M1524*O1524</f>
        <v>0</v>
      </c>
      <c r="T1524" s="15">
        <f>M1524*Q1524</f>
        <v>8000</v>
      </c>
      <c r="U1524" s="15"/>
      <c r="V1524" s="15">
        <f>M1524*U1524</f>
        <v>0</v>
      </c>
      <c r="W1524" s="15">
        <f>T1524-V1524</f>
        <v>8000</v>
      </c>
      <c r="X1524" s="17">
        <f>IF(T1524&gt;0, W1524/T1524, 0)</f>
        <v>1</v>
      </c>
      <c r="Y1524" s="8" t="s">
        <v>41</v>
      </c>
      <c r="Z1524" s="10" t="s">
        <v>42</v>
      </c>
      <c r="AA1524" s="10" t="s">
        <v>43</v>
      </c>
      <c r="AB1524" s="10" t="s">
        <v>44</v>
      </c>
      <c r="AC1524" s="8" t="s">
        <v>44</v>
      </c>
    </row>
    <row r="1525" spans="1:29">
      <c r="A1525" s="11">
        <v>1518</v>
      </c>
      <c r="B1525" s="11" t="s">
        <v>1868</v>
      </c>
      <c r="C1525" s="11" t="s">
        <v>1842</v>
      </c>
      <c r="D1525" s="11" t="s">
        <v>1829</v>
      </c>
      <c r="E1525" s="11" t="s">
        <v>34</v>
      </c>
      <c r="F1525" s="11" t="s">
        <v>35</v>
      </c>
      <c r="G1525" s="9" t="s">
        <v>36</v>
      </c>
      <c r="H1525" s="9" t="s">
        <v>37</v>
      </c>
      <c r="I1525" s="9" t="s">
        <v>38</v>
      </c>
      <c r="J1525" s="11">
        <v>164</v>
      </c>
      <c r="K1525" s="11" t="s">
        <v>79</v>
      </c>
      <c r="L1525" s="11" t="s">
        <v>40</v>
      </c>
      <c r="M1525" s="13">
        <v>1</v>
      </c>
      <c r="N1525" s="16">
        <v>8000.0</v>
      </c>
      <c r="O1525" s="16"/>
      <c r="P1525" s="18">
        <f>IF(N1525&gt;0, O1525/N1525, 0)</f>
        <v>0</v>
      </c>
      <c r="Q1525" s="16">
        <f>N1525-O1525</f>
        <v>8000</v>
      </c>
      <c r="R1525" s="16">
        <f>M1525*N1525</f>
        <v>8000</v>
      </c>
      <c r="S1525" s="16">
        <f>M1525*O1525</f>
        <v>0</v>
      </c>
      <c r="T1525" s="16">
        <f>M1525*Q1525</f>
        <v>8000</v>
      </c>
      <c r="U1525" s="16"/>
      <c r="V1525" s="16">
        <f>M1525*U1525</f>
        <v>0</v>
      </c>
      <c r="W1525" s="16">
        <f>T1525-V1525</f>
        <v>8000</v>
      </c>
      <c r="X1525" s="18">
        <f>IF(T1525&gt;0, W1525/T1525, 0)</f>
        <v>1</v>
      </c>
      <c r="Y1525" s="9" t="s">
        <v>41</v>
      </c>
      <c r="Z1525" s="11" t="s">
        <v>42</v>
      </c>
      <c r="AA1525" s="11" t="s">
        <v>43</v>
      </c>
      <c r="AB1525" s="11" t="s">
        <v>44</v>
      </c>
      <c r="AC1525" s="9" t="s">
        <v>44</v>
      </c>
    </row>
    <row r="1526" spans="1:29">
      <c r="A1526" s="10">
        <v>1519</v>
      </c>
      <c r="B1526" s="10" t="s">
        <v>1869</v>
      </c>
      <c r="C1526" s="10" t="s">
        <v>1842</v>
      </c>
      <c r="D1526" s="10" t="s">
        <v>1829</v>
      </c>
      <c r="E1526" s="10" t="s">
        <v>34</v>
      </c>
      <c r="F1526" s="10" t="s">
        <v>35</v>
      </c>
      <c r="G1526" s="8" t="s">
        <v>36</v>
      </c>
      <c r="H1526" s="8" t="s">
        <v>71</v>
      </c>
      <c r="I1526" s="8" t="s">
        <v>71</v>
      </c>
      <c r="J1526" s="10">
        <v>170</v>
      </c>
      <c r="K1526" s="10" t="s">
        <v>182</v>
      </c>
      <c r="L1526" s="10" t="s">
        <v>40</v>
      </c>
      <c r="M1526" s="12">
        <v>1</v>
      </c>
      <c r="N1526" s="15">
        <v>16500.0</v>
      </c>
      <c r="O1526" s="15"/>
      <c r="P1526" s="17">
        <f>IF(N1526&gt;0, O1526/N1526, 0)</f>
        <v>0</v>
      </c>
      <c r="Q1526" s="15">
        <f>N1526-O1526</f>
        <v>16500</v>
      </c>
      <c r="R1526" s="15">
        <f>M1526*N1526</f>
        <v>16500</v>
      </c>
      <c r="S1526" s="15">
        <f>M1526*O1526</f>
        <v>0</v>
      </c>
      <c r="T1526" s="15">
        <f>M1526*Q1526</f>
        <v>16500</v>
      </c>
      <c r="U1526" s="15"/>
      <c r="V1526" s="15">
        <f>M1526*U1526</f>
        <v>0</v>
      </c>
      <c r="W1526" s="15">
        <f>T1526-V1526</f>
        <v>16500</v>
      </c>
      <c r="X1526" s="17">
        <f>IF(T1526&gt;0, W1526/T1526, 0)</f>
        <v>1</v>
      </c>
      <c r="Y1526" s="8" t="s">
        <v>41</v>
      </c>
      <c r="Z1526" s="10" t="s">
        <v>42</v>
      </c>
      <c r="AA1526" s="10" t="s">
        <v>43</v>
      </c>
      <c r="AB1526" s="10" t="s">
        <v>44</v>
      </c>
      <c r="AC1526" s="8" t="s">
        <v>44</v>
      </c>
    </row>
    <row r="1527" spans="1:29">
      <c r="A1527" s="11">
        <v>1520</v>
      </c>
      <c r="B1527" s="11" t="s">
        <v>1870</v>
      </c>
      <c r="C1527" s="11" t="s">
        <v>1842</v>
      </c>
      <c r="D1527" s="11" t="s">
        <v>1829</v>
      </c>
      <c r="E1527" s="11" t="s">
        <v>70</v>
      </c>
      <c r="F1527" s="11" t="s">
        <v>35</v>
      </c>
      <c r="G1527" s="9" t="s">
        <v>52</v>
      </c>
      <c r="H1527" s="9" t="s">
        <v>1857</v>
      </c>
      <c r="I1527" s="9" t="s">
        <v>1858</v>
      </c>
      <c r="J1527" s="11">
        <v>128</v>
      </c>
      <c r="K1527" s="11" t="s">
        <v>1871</v>
      </c>
      <c r="L1527" s="11" t="s">
        <v>44</v>
      </c>
      <c r="M1527" s="13">
        <v>1</v>
      </c>
      <c r="N1527" s="16">
        <v>10000.0</v>
      </c>
      <c r="O1527" s="16"/>
      <c r="P1527" s="18">
        <f>IF(N1527&gt;0, O1527/N1527, 0)</f>
        <v>0</v>
      </c>
      <c r="Q1527" s="16">
        <f>N1527-O1527</f>
        <v>10000</v>
      </c>
      <c r="R1527" s="16">
        <f>M1527*N1527</f>
        <v>10000</v>
      </c>
      <c r="S1527" s="16">
        <f>M1527*O1527</f>
        <v>0</v>
      </c>
      <c r="T1527" s="16">
        <f>M1527*Q1527</f>
        <v>10000</v>
      </c>
      <c r="U1527" s="16"/>
      <c r="V1527" s="16">
        <f>M1527*U1527</f>
        <v>0</v>
      </c>
      <c r="W1527" s="16">
        <f>T1527-V1527</f>
        <v>10000</v>
      </c>
      <c r="X1527" s="18">
        <f>IF(T1527&gt;0, W1527/T1527, 0)</f>
        <v>1</v>
      </c>
      <c r="Y1527" s="9" t="s">
        <v>41</v>
      </c>
      <c r="Z1527" s="11" t="s">
        <v>42</v>
      </c>
      <c r="AA1527" s="11" t="s">
        <v>73</v>
      </c>
      <c r="AB1527" s="11" t="s">
        <v>44</v>
      </c>
      <c r="AC1527" s="9" t="s">
        <v>44</v>
      </c>
    </row>
    <row r="1528" spans="1:29">
      <c r="A1528" s="10">
        <v>1521</v>
      </c>
      <c r="B1528" s="10" t="s">
        <v>1872</v>
      </c>
      <c r="C1528" s="10" t="s">
        <v>1842</v>
      </c>
      <c r="D1528" s="10" t="s">
        <v>1829</v>
      </c>
      <c r="E1528" s="10" t="s">
        <v>34</v>
      </c>
      <c r="F1528" s="10" t="s">
        <v>35</v>
      </c>
      <c r="G1528" s="8" t="s">
        <v>52</v>
      </c>
      <c r="H1528" s="8" t="s">
        <v>47</v>
      </c>
      <c r="I1528" s="8" t="s">
        <v>48</v>
      </c>
      <c r="J1528" s="10">
        <v>128</v>
      </c>
      <c r="K1528" s="10" t="s">
        <v>186</v>
      </c>
      <c r="L1528" s="10" t="s">
        <v>40</v>
      </c>
      <c r="M1528" s="12">
        <v>1</v>
      </c>
      <c r="N1528" s="15">
        <v>18000.0</v>
      </c>
      <c r="O1528" s="15"/>
      <c r="P1528" s="17">
        <f>IF(N1528&gt;0, O1528/N1528, 0)</f>
        <v>0</v>
      </c>
      <c r="Q1528" s="15">
        <f>N1528-O1528</f>
        <v>18000</v>
      </c>
      <c r="R1528" s="15">
        <f>M1528*N1528</f>
        <v>18000</v>
      </c>
      <c r="S1528" s="15">
        <f>M1528*O1528</f>
        <v>0</v>
      </c>
      <c r="T1528" s="15">
        <f>M1528*Q1528</f>
        <v>18000</v>
      </c>
      <c r="U1528" s="15"/>
      <c r="V1528" s="15">
        <f>M1528*U1528</f>
        <v>0</v>
      </c>
      <c r="W1528" s="15">
        <f>T1528-V1528</f>
        <v>18000</v>
      </c>
      <c r="X1528" s="17">
        <f>IF(T1528&gt;0, W1528/T1528, 0)</f>
        <v>1</v>
      </c>
      <c r="Y1528" s="8" t="s">
        <v>41</v>
      </c>
      <c r="Z1528" s="10" t="s">
        <v>42</v>
      </c>
      <c r="AA1528" s="10" t="s">
        <v>43</v>
      </c>
      <c r="AB1528" s="10" t="s">
        <v>44</v>
      </c>
      <c r="AC1528" s="8" t="s">
        <v>44</v>
      </c>
    </row>
    <row r="1529" spans="1:29">
      <c r="A1529" s="11">
        <v>1522</v>
      </c>
      <c r="B1529" s="11" t="s">
        <v>1873</v>
      </c>
      <c r="C1529" s="11" t="s">
        <v>1842</v>
      </c>
      <c r="D1529" s="11" t="s">
        <v>1829</v>
      </c>
      <c r="E1529" s="11" t="s">
        <v>34</v>
      </c>
      <c r="F1529" s="11" t="s">
        <v>35</v>
      </c>
      <c r="G1529" s="9" t="s">
        <v>52</v>
      </c>
      <c r="H1529" s="9" t="s">
        <v>53</v>
      </c>
      <c r="I1529" s="9" t="s">
        <v>53</v>
      </c>
      <c r="J1529" s="11">
        <v>128</v>
      </c>
      <c r="K1529" s="11" t="s">
        <v>393</v>
      </c>
      <c r="L1529" s="11" t="s">
        <v>55</v>
      </c>
      <c r="M1529" s="13">
        <v>1</v>
      </c>
      <c r="N1529" s="16">
        <v>8000.0</v>
      </c>
      <c r="O1529" s="16"/>
      <c r="P1529" s="18">
        <f>IF(N1529&gt;0, O1529/N1529, 0)</f>
        <v>0</v>
      </c>
      <c r="Q1529" s="16">
        <f>N1529-O1529</f>
        <v>8000</v>
      </c>
      <c r="R1529" s="16">
        <f>M1529*N1529</f>
        <v>8000</v>
      </c>
      <c r="S1529" s="16">
        <f>M1529*O1529</f>
        <v>0</v>
      </c>
      <c r="T1529" s="16">
        <f>M1529*Q1529</f>
        <v>8000</v>
      </c>
      <c r="U1529" s="16"/>
      <c r="V1529" s="16">
        <f>M1529*U1529</f>
        <v>0</v>
      </c>
      <c r="W1529" s="16">
        <f>T1529-V1529</f>
        <v>8000</v>
      </c>
      <c r="X1529" s="18">
        <f>IF(T1529&gt;0, W1529/T1529, 0)</f>
        <v>1</v>
      </c>
      <c r="Y1529" s="9" t="s">
        <v>41</v>
      </c>
      <c r="Z1529" s="11" t="s">
        <v>42</v>
      </c>
      <c r="AA1529" s="11" t="s">
        <v>43</v>
      </c>
      <c r="AB1529" s="11" t="s">
        <v>44</v>
      </c>
      <c r="AC1529" s="9" t="s">
        <v>44</v>
      </c>
    </row>
    <row r="1530" spans="1:29">
      <c r="A1530" s="10">
        <v>1523</v>
      </c>
      <c r="B1530" s="10" t="s">
        <v>1874</v>
      </c>
      <c r="C1530" s="10" t="s">
        <v>1842</v>
      </c>
      <c r="D1530" s="10" t="s">
        <v>1829</v>
      </c>
      <c r="E1530" s="10" t="s">
        <v>34</v>
      </c>
      <c r="F1530" s="10" t="s">
        <v>35</v>
      </c>
      <c r="G1530" s="8" t="s">
        <v>52</v>
      </c>
      <c r="H1530" s="8" t="s">
        <v>37</v>
      </c>
      <c r="I1530" s="8" t="s">
        <v>75</v>
      </c>
      <c r="J1530" s="10">
        <v>128</v>
      </c>
      <c r="K1530" s="10" t="s">
        <v>188</v>
      </c>
      <c r="L1530" s="10" t="s">
        <v>55</v>
      </c>
      <c r="M1530" s="12">
        <v>1</v>
      </c>
      <c r="N1530" s="15">
        <v>8000.0</v>
      </c>
      <c r="O1530" s="15"/>
      <c r="P1530" s="17">
        <f>IF(N1530&gt;0, O1530/N1530, 0)</f>
        <v>0</v>
      </c>
      <c r="Q1530" s="15">
        <f>N1530-O1530</f>
        <v>8000</v>
      </c>
      <c r="R1530" s="15">
        <f>M1530*N1530</f>
        <v>8000</v>
      </c>
      <c r="S1530" s="15">
        <f>M1530*O1530</f>
        <v>0</v>
      </c>
      <c r="T1530" s="15">
        <f>M1530*Q1530</f>
        <v>8000</v>
      </c>
      <c r="U1530" s="15"/>
      <c r="V1530" s="15">
        <f>M1530*U1530</f>
        <v>0</v>
      </c>
      <c r="W1530" s="15">
        <f>T1530-V1530</f>
        <v>8000</v>
      </c>
      <c r="X1530" s="17">
        <f>IF(T1530&gt;0, W1530/T1530, 0)</f>
        <v>1</v>
      </c>
      <c r="Y1530" s="8" t="s">
        <v>41</v>
      </c>
      <c r="Z1530" s="10" t="s">
        <v>42</v>
      </c>
      <c r="AA1530" s="10" t="s">
        <v>43</v>
      </c>
      <c r="AB1530" s="10" t="s">
        <v>44</v>
      </c>
      <c r="AC1530" s="8" t="s">
        <v>44</v>
      </c>
    </row>
    <row r="1531" spans="1:29">
      <c r="A1531" s="11">
        <v>1524</v>
      </c>
      <c r="B1531" s="11" t="s">
        <v>1875</v>
      </c>
      <c r="C1531" s="11" t="s">
        <v>1842</v>
      </c>
      <c r="D1531" s="11" t="s">
        <v>1829</v>
      </c>
      <c r="E1531" s="11" t="s">
        <v>34</v>
      </c>
      <c r="F1531" s="11" t="s">
        <v>35</v>
      </c>
      <c r="G1531" s="9" t="s">
        <v>52</v>
      </c>
      <c r="H1531" s="9" t="s">
        <v>37</v>
      </c>
      <c r="I1531" s="9" t="s">
        <v>38</v>
      </c>
      <c r="J1531" s="11">
        <v>128</v>
      </c>
      <c r="K1531" s="11" t="s">
        <v>159</v>
      </c>
      <c r="L1531" s="11" t="s">
        <v>55</v>
      </c>
      <c r="M1531" s="13">
        <v>2</v>
      </c>
      <c r="N1531" s="16">
        <v>7000.0</v>
      </c>
      <c r="O1531" s="16"/>
      <c r="P1531" s="18">
        <f>IF(N1531&gt;0, O1531/N1531, 0)</f>
        <v>0</v>
      </c>
      <c r="Q1531" s="16">
        <f>N1531-O1531</f>
        <v>7000</v>
      </c>
      <c r="R1531" s="16">
        <f>M1531*N1531</f>
        <v>14000</v>
      </c>
      <c r="S1531" s="16">
        <f>M1531*O1531</f>
        <v>0</v>
      </c>
      <c r="T1531" s="16">
        <f>M1531*Q1531</f>
        <v>14000</v>
      </c>
      <c r="U1531" s="16"/>
      <c r="V1531" s="16">
        <f>M1531*U1531</f>
        <v>0</v>
      </c>
      <c r="W1531" s="16">
        <f>T1531-V1531</f>
        <v>14000</v>
      </c>
      <c r="X1531" s="18">
        <f>IF(T1531&gt;0, W1531/T1531, 0)</f>
        <v>1</v>
      </c>
      <c r="Y1531" s="9" t="s">
        <v>41</v>
      </c>
      <c r="Z1531" s="11" t="s">
        <v>42</v>
      </c>
      <c r="AA1531" s="11" t="s">
        <v>43</v>
      </c>
      <c r="AB1531" s="11" t="s">
        <v>44</v>
      </c>
      <c r="AC1531" s="9" t="s">
        <v>44</v>
      </c>
    </row>
    <row r="1532" spans="1:29">
      <c r="A1532" s="10">
        <v>1525</v>
      </c>
      <c r="B1532" s="10" t="s">
        <v>1876</v>
      </c>
      <c r="C1532" s="10" t="s">
        <v>1842</v>
      </c>
      <c r="D1532" s="10" t="s">
        <v>1829</v>
      </c>
      <c r="E1532" s="10" t="s">
        <v>70</v>
      </c>
      <c r="F1532" s="10" t="s">
        <v>35</v>
      </c>
      <c r="G1532" s="8" t="s">
        <v>52</v>
      </c>
      <c r="H1532" s="8" t="s">
        <v>58</v>
      </c>
      <c r="I1532" s="8" t="s">
        <v>58</v>
      </c>
      <c r="J1532" s="10">
        <v>128</v>
      </c>
      <c r="K1532" s="10" t="s">
        <v>580</v>
      </c>
      <c r="L1532" s="10" t="s">
        <v>40</v>
      </c>
      <c r="M1532" s="12">
        <v>1</v>
      </c>
      <c r="N1532" s="15">
        <v>8000.0</v>
      </c>
      <c r="O1532" s="15"/>
      <c r="P1532" s="17">
        <f>IF(N1532&gt;0, O1532/N1532, 0)</f>
        <v>0</v>
      </c>
      <c r="Q1532" s="15">
        <f>N1532-O1532</f>
        <v>8000</v>
      </c>
      <c r="R1532" s="15">
        <f>M1532*N1532</f>
        <v>8000</v>
      </c>
      <c r="S1532" s="15">
        <f>M1532*O1532</f>
        <v>0</v>
      </c>
      <c r="T1532" s="15">
        <f>M1532*Q1532</f>
        <v>8000</v>
      </c>
      <c r="U1532" s="15"/>
      <c r="V1532" s="15">
        <f>M1532*U1532</f>
        <v>0</v>
      </c>
      <c r="W1532" s="15">
        <f>T1532-V1532</f>
        <v>8000</v>
      </c>
      <c r="X1532" s="17">
        <f>IF(T1532&gt;0, W1532/T1532, 0)</f>
        <v>1</v>
      </c>
      <c r="Y1532" s="8" t="s">
        <v>41</v>
      </c>
      <c r="Z1532" s="10" t="s">
        <v>42</v>
      </c>
      <c r="AA1532" s="10" t="s">
        <v>73</v>
      </c>
      <c r="AB1532" s="10" t="s">
        <v>44</v>
      </c>
      <c r="AC1532" s="8" t="s">
        <v>44</v>
      </c>
    </row>
    <row r="1533" spans="1:29">
      <c r="A1533" s="11">
        <v>1526</v>
      </c>
      <c r="B1533" s="11" t="s">
        <v>1877</v>
      </c>
      <c r="C1533" s="11" t="s">
        <v>1842</v>
      </c>
      <c r="D1533" s="11" t="s">
        <v>1829</v>
      </c>
      <c r="E1533" s="11" t="s">
        <v>34</v>
      </c>
      <c r="F1533" s="11" t="s">
        <v>35</v>
      </c>
      <c r="G1533" s="9" t="s">
        <v>52</v>
      </c>
      <c r="H1533" s="9" t="s">
        <v>53</v>
      </c>
      <c r="I1533" s="9" t="s">
        <v>53</v>
      </c>
      <c r="J1533" s="11">
        <v>134</v>
      </c>
      <c r="K1533" s="11" t="s">
        <v>178</v>
      </c>
      <c r="L1533" s="11" t="s">
        <v>55</v>
      </c>
      <c r="M1533" s="13">
        <v>1</v>
      </c>
      <c r="N1533" s="16">
        <v>8000.0</v>
      </c>
      <c r="O1533" s="16"/>
      <c r="P1533" s="18">
        <f>IF(N1533&gt;0, O1533/N1533, 0)</f>
        <v>0</v>
      </c>
      <c r="Q1533" s="16">
        <f>N1533-O1533</f>
        <v>8000</v>
      </c>
      <c r="R1533" s="16">
        <f>M1533*N1533</f>
        <v>8000</v>
      </c>
      <c r="S1533" s="16">
        <f>M1533*O1533</f>
        <v>0</v>
      </c>
      <c r="T1533" s="16">
        <f>M1533*Q1533</f>
        <v>8000</v>
      </c>
      <c r="U1533" s="16"/>
      <c r="V1533" s="16">
        <f>M1533*U1533</f>
        <v>0</v>
      </c>
      <c r="W1533" s="16">
        <f>T1533-V1533</f>
        <v>8000</v>
      </c>
      <c r="X1533" s="18">
        <f>IF(T1533&gt;0, W1533/T1533, 0)</f>
        <v>1</v>
      </c>
      <c r="Y1533" s="9" t="s">
        <v>41</v>
      </c>
      <c r="Z1533" s="11" t="s">
        <v>42</v>
      </c>
      <c r="AA1533" s="11" t="s">
        <v>43</v>
      </c>
      <c r="AB1533" s="11" t="s">
        <v>44</v>
      </c>
      <c r="AC1533" s="9" t="s">
        <v>44</v>
      </c>
    </row>
    <row r="1534" spans="1:29">
      <c r="A1534" s="10">
        <v>1527</v>
      </c>
      <c r="B1534" s="10" t="s">
        <v>1878</v>
      </c>
      <c r="C1534" s="10" t="s">
        <v>1842</v>
      </c>
      <c r="D1534" s="10" t="s">
        <v>1829</v>
      </c>
      <c r="E1534" s="10" t="s">
        <v>34</v>
      </c>
      <c r="F1534" s="10" t="s">
        <v>35</v>
      </c>
      <c r="G1534" s="8" t="s">
        <v>52</v>
      </c>
      <c r="H1534" s="8" t="s">
        <v>47</v>
      </c>
      <c r="I1534" s="8" t="s">
        <v>48</v>
      </c>
      <c r="J1534" s="10">
        <v>128</v>
      </c>
      <c r="K1534" s="10" t="s">
        <v>186</v>
      </c>
      <c r="L1534" s="10" t="s">
        <v>40</v>
      </c>
      <c r="M1534" s="12">
        <v>1</v>
      </c>
      <c r="N1534" s="15">
        <v>18000.0</v>
      </c>
      <c r="O1534" s="15"/>
      <c r="P1534" s="17">
        <f>IF(N1534&gt;0, O1534/N1534, 0)</f>
        <v>0</v>
      </c>
      <c r="Q1534" s="15">
        <f>N1534-O1534</f>
        <v>18000</v>
      </c>
      <c r="R1534" s="15">
        <f>M1534*N1534</f>
        <v>18000</v>
      </c>
      <c r="S1534" s="15">
        <f>M1534*O1534</f>
        <v>0</v>
      </c>
      <c r="T1534" s="15">
        <f>M1534*Q1534</f>
        <v>18000</v>
      </c>
      <c r="U1534" s="15"/>
      <c r="V1534" s="15">
        <f>M1534*U1534</f>
        <v>0</v>
      </c>
      <c r="W1534" s="15">
        <f>T1534-V1534</f>
        <v>18000</v>
      </c>
      <c r="X1534" s="17">
        <f>IF(T1534&gt;0, W1534/T1534, 0)</f>
        <v>1</v>
      </c>
      <c r="Y1534" s="8" t="s">
        <v>41</v>
      </c>
      <c r="Z1534" s="10" t="s">
        <v>42</v>
      </c>
      <c r="AA1534" s="10" t="s">
        <v>43</v>
      </c>
      <c r="AB1534" s="10" t="s">
        <v>44</v>
      </c>
      <c r="AC1534" s="8" t="s">
        <v>44</v>
      </c>
    </row>
    <row r="1535" spans="1:29">
      <c r="A1535" s="11">
        <v>1528</v>
      </c>
      <c r="B1535" s="11" t="s">
        <v>1879</v>
      </c>
      <c r="C1535" s="11" t="s">
        <v>1842</v>
      </c>
      <c r="D1535" s="11" t="s">
        <v>1829</v>
      </c>
      <c r="E1535" s="11" t="s">
        <v>34</v>
      </c>
      <c r="F1535" s="11" t="s">
        <v>35</v>
      </c>
      <c r="G1535" s="9" t="s">
        <v>52</v>
      </c>
      <c r="H1535" s="9" t="s">
        <v>37</v>
      </c>
      <c r="I1535" s="9" t="s">
        <v>38</v>
      </c>
      <c r="J1535" s="11">
        <v>128</v>
      </c>
      <c r="K1535" s="11" t="s">
        <v>159</v>
      </c>
      <c r="L1535" s="11" t="s">
        <v>55</v>
      </c>
      <c r="M1535" s="13">
        <v>1</v>
      </c>
      <c r="N1535" s="16">
        <v>7000.0</v>
      </c>
      <c r="O1535" s="16"/>
      <c r="P1535" s="18">
        <f>IF(N1535&gt;0, O1535/N1535, 0)</f>
        <v>0</v>
      </c>
      <c r="Q1535" s="16">
        <f>N1535-O1535</f>
        <v>7000</v>
      </c>
      <c r="R1535" s="16">
        <f>M1535*N1535</f>
        <v>7000</v>
      </c>
      <c r="S1535" s="16">
        <f>M1535*O1535</f>
        <v>0</v>
      </c>
      <c r="T1535" s="16">
        <f>M1535*Q1535</f>
        <v>7000</v>
      </c>
      <c r="U1535" s="16"/>
      <c r="V1535" s="16">
        <f>M1535*U1535</f>
        <v>0</v>
      </c>
      <c r="W1535" s="16">
        <f>T1535-V1535</f>
        <v>7000</v>
      </c>
      <c r="X1535" s="18">
        <f>IF(T1535&gt;0, W1535/T1535, 0)</f>
        <v>1</v>
      </c>
      <c r="Y1535" s="9" t="s">
        <v>41</v>
      </c>
      <c r="Z1535" s="11" t="s">
        <v>42</v>
      </c>
      <c r="AA1535" s="11" t="s">
        <v>43</v>
      </c>
      <c r="AB1535" s="11" t="s">
        <v>44</v>
      </c>
      <c r="AC1535" s="9" t="s">
        <v>44</v>
      </c>
    </row>
    <row r="1536" spans="1:29">
      <c r="A1536" s="10">
        <v>1529</v>
      </c>
      <c r="B1536" s="10" t="s">
        <v>1880</v>
      </c>
      <c r="C1536" s="10" t="s">
        <v>1842</v>
      </c>
      <c r="D1536" s="10" t="s">
        <v>1829</v>
      </c>
      <c r="E1536" s="10" t="s">
        <v>34</v>
      </c>
      <c r="F1536" s="10" t="s">
        <v>35</v>
      </c>
      <c r="G1536" s="8" t="s">
        <v>36</v>
      </c>
      <c r="H1536" s="8" t="s">
        <v>37</v>
      </c>
      <c r="I1536" s="8" t="s">
        <v>38</v>
      </c>
      <c r="J1536" s="10">
        <v>134</v>
      </c>
      <c r="K1536" s="10" t="s">
        <v>725</v>
      </c>
      <c r="L1536" s="10" t="s">
        <v>40</v>
      </c>
      <c r="M1536" s="12">
        <v>1</v>
      </c>
      <c r="N1536" s="15">
        <v>7000.0</v>
      </c>
      <c r="O1536" s="15"/>
      <c r="P1536" s="17">
        <f>IF(N1536&gt;0, O1536/N1536, 0)</f>
        <v>0</v>
      </c>
      <c r="Q1536" s="15">
        <f>N1536-O1536</f>
        <v>7000</v>
      </c>
      <c r="R1536" s="15">
        <f>M1536*N1536</f>
        <v>7000</v>
      </c>
      <c r="S1536" s="15">
        <f>M1536*O1536</f>
        <v>0</v>
      </c>
      <c r="T1536" s="15">
        <f>M1536*Q1536</f>
        <v>7000</v>
      </c>
      <c r="U1536" s="15"/>
      <c r="V1536" s="15">
        <f>M1536*U1536</f>
        <v>0</v>
      </c>
      <c r="W1536" s="15">
        <f>T1536-V1536</f>
        <v>7000</v>
      </c>
      <c r="X1536" s="17">
        <f>IF(T1536&gt;0, W1536/T1536, 0)</f>
        <v>1</v>
      </c>
      <c r="Y1536" s="8" t="s">
        <v>41</v>
      </c>
      <c r="Z1536" s="10" t="s">
        <v>42</v>
      </c>
      <c r="AA1536" s="10" t="s">
        <v>43</v>
      </c>
      <c r="AB1536" s="10" t="s">
        <v>44</v>
      </c>
      <c r="AC1536" s="8" t="s">
        <v>44</v>
      </c>
    </row>
    <row r="1537" spans="1:29">
      <c r="A1537" s="11">
        <v>1530</v>
      </c>
      <c r="B1537" s="11" t="s">
        <v>1881</v>
      </c>
      <c r="C1537" s="11" t="s">
        <v>1842</v>
      </c>
      <c r="D1537" s="11" t="s">
        <v>1829</v>
      </c>
      <c r="E1537" s="11" t="s">
        <v>34</v>
      </c>
      <c r="F1537" s="11" t="s">
        <v>35</v>
      </c>
      <c r="G1537" s="9" t="s">
        <v>36</v>
      </c>
      <c r="H1537" s="9" t="s">
        <v>37</v>
      </c>
      <c r="I1537" s="9" t="s">
        <v>38</v>
      </c>
      <c r="J1537" s="11">
        <v>152</v>
      </c>
      <c r="K1537" s="11" t="s">
        <v>729</v>
      </c>
      <c r="L1537" s="11" t="s">
        <v>40</v>
      </c>
      <c r="M1537" s="13">
        <v>2</v>
      </c>
      <c r="N1537" s="16">
        <v>8000.0</v>
      </c>
      <c r="O1537" s="16"/>
      <c r="P1537" s="18">
        <f>IF(N1537&gt;0, O1537/N1537, 0)</f>
        <v>0</v>
      </c>
      <c r="Q1537" s="16">
        <f>N1537-O1537</f>
        <v>8000</v>
      </c>
      <c r="R1537" s="16">
        <f>M1537*N1537</f>
        <v>16000</v>
      </c>
      <c r="S1537" s="16">
        <f>M1537*O1537</f>
        <v>0</v>
      </c>
      <c r="T1537" s="16">
        <f>M1537*Q1537</f>
        <v>16000</v>
      </c>
      <c r="U1537" s="16"/>
      <c r="V1537" s="16">
        <f>M1537*U1537</f>
        <v>0</v>
      </c>
      <c r="W1537" s="16">
        <f>T1537-V1537</f>
        <v>16000</v>
      </c>
      <c r="X1537" s="18">
        <f>IF(T1537&gt;0, W1537/T1537, 0)</f>
        <v>1</v>
      </c>
      <c r="Y1537" s="9" t="s">
        <v>41</v>
      </c>
      <c r="Z1537" s="11" t="s">
        <v>42</v>
      </c>
      <c r="AA1537" s="11" t="s">
        <v>43</v>
      </c>
      <c r="AB1537" s="11" t="s">
        <v>44</v>
      </c>
      <c r="AC1537" s="9" t="s">
        <v>44</v>
      </c>
    </row>
    <row r="1538" spans="1:29">
      <c r="A1538" s="10">
        <v>1531</v>
      </c>
      <c r="B1538" s="10" t="s">
        <v>1882</v>
      </c>
      <c r="C1538" s="10" t="s">
        <v>1883</v>
      </c>
      <c r="D1538" s="10" t="s">
        <v>1829</v>
      </c>
      <c r="E1538" s="10" t="s">
        <v>34</v>
      </c>
      <c r="F1538" s="10" t="s">
        <v>35</v>
      </c>
      <c r="G1538" s="8" t="s">
        <v>52</v>
      </c>
      <c r="H1538" s="8" t="s">
        <v>53</v>
      </c>
      <c r="I1538" s="8" t="s">
        <v>53</v>
      </c>
      <c r="J1538" s="10">
        <v>152</v>
      </c>
      <c r="K1538" s="10" t="s">
        <v>405</v>
      </c>
      <c r="L1538" s="10" t="s">
        <v>55</v>
      </c>
      <c r="M1538" s="12">
        <v>1</v>
      </c>
      <c r="N1538" s="15">
        <v>8000.0</v>
      </c>
      <c r="O1538" s="15"/>
      <c r="P1538" s="17">
        <f>IF(N1538&gt;0, O1538/N1538, 0)</f>
        <v>0</v>
      </c>
      <c r="Q1538" s="15">
        <f>N1538-O1538</f>
        <v>8000</v>
      </c>
      <c r="R1538" s="15">
        <f>M1538*N1538</f>
        <v>8000</v>
      </c>
      <c r="S1538" s="15">
        <f>M1538*O1538</f>
        <v>0</v>
      </c>
      <c r="T1538" s="15">
        <f>M1538*Q1538</f>
        <v>8000</v>
      </c>
      <c r="U1538" s="15"/>
      <c r="V1538" s="15">
        <f>M1538*U1538</f>
        <v>0</v>
      </c>
      <c r="W1538" s="15">
        <f>T1538-V1538</f>
        <v>8000</v>
      </c>
      <c r="X1538" s="17">
        <f>IF(T1538&gt;0, W1538/T1538, 0)</f>
        <v>1</v>
      </c>
      <c r="Y1538" s="8" t="s">
        <v>41</v>
      </c>
      <c r="Z1538" s="10" t="s">
        <v>42</v>
      </c>
      <c r="AA1538" s="10" t="s">
        <v>43</v>
      </c>
      <c r="AB1538" s="10" t="s">
        <v>44</v>
      </c>
      <c r="AC1538" s="8" t="s">
        <v>44</v>
      </c>
    </row>
    <row r="1539" spans="1:29">
      <c r="A1539" s="11">
        <v>1532</v>
      </c>
      <c r="B1539" s="11" t="s">
        <v>1884</v>
      </c>
      <c r="C1539" s="11" t="s">
        <v>1883</v>
      </c>
      <c r="D1539" s="11" t="s">
        <v>1829</v>
      </c>
      <c r="E1539" s="11" t="s">
        <v>34</v>
      </c>
      <c r="F1539" s="11" t="s">
        <v>35</v>
      </c>
      <c r="G1539" s="9" t="s">
        <v>52</v>
      </c>
      <c r="H1539" s="9" t="s">
        <v>47</v>
      </c>
      <c r="I1539" s="9" t="s">
        <v>48</v>
      </c>
      <c r="J1539" s="11">
        <v>152</v>
      </c>
      <c r="K1539" s="11" t="s">
        <v>414</v>
      </c>
      <c r="L1539" s="11" t="s">
        <v>40</v>
      </c>
      <c r="M1539" s="13">
        <v>1</v>
      </c>
      <c r="N1539" s="16">
        <v>18000.0</v>
      </c>
      <c r="O1539" s="16"/>
      <c r="P1539" s="18">
        <f>IF(N1539&gt;0, O1539/N1539, 0)</f>
        <v>0</v>
      </c>
      <c r="Q1539" s="16">
        <f>N1539-O1539</f>
        <v>18000</v>
      </c>
      <c r="R1539" s="16">
        <f>M1539*N1539</f>
        <v>18000</v>
      </c>
      <c r="S1539" s="16">
        <f>M1539*O1539</f>
        <v>0</v>
      </c>
      <c r="T1539" s="16">
        <f>M1539*Q1539</f>
        <v>18000</v>
      </c>
      <c r="U1539" s="16"/>
      <c r="V1539" s="16">
        <f>M1539*U1539</f>
        <v>0</v>
      </c>
      <c r="W1539" s="16">
        <f>T1539-V1539</f>
        <v>18000</v>
      </c>
      <c r="X1539" s="18">
        <f>IF(T1539&gt;0, W1539/T1539, 0)</f>
        <v>1</v>
      </c>
      <c r="Y1539" s="9" t="s">
        <v>41</v>
      </c>
      <c r="Z1539" s="11" t="s">
        <v>42</v>
      </c>
      <c r="AA1539" s="11" t="s">
        <v>43</v>
      </c>
      <c r="AB1539" s="11" t="s">
        <v>44</v>
      </c>
      <c r="AC1539" s="9" t="s">
        <v>44</v>
      </c>
    </row>
    <row r="1540" spans="1:29">
      <c r="A1540" s="10">
        <v>1533</v>
      </c>
      <c r="B1540" s="10" t="s">
        <v>1885</v>
      </c>
      <c r="C1540" s="10" t="s">
        <v>1883</v>
      </c>
      <c r="D1540" s="10" t="s">
        <v>1829</v>
      </c>
      <c r="E1540" s="10" t="s">
        <v>34</v>
      </c>
      <c r="F1540" s="10" t="s">
        <v>35</v>
      </c>
      <c r="G1540" s="8" t="s">
        <v>52</v>
      </c>
      <c r="H1540" s="8" t="s">
        <v>37</v>
      </c>
      <c r="I1540" s="8" t="s">
        <v>38</v>
      </c>
      <c r="J1540" s="10">
        <v>152</v>
      </c>
      <c r="K1540" s="10" t="s">
        <v>154</v>
      </c>
      <c r="L1540" s="10" t="s">
        <v>55</v>
      </c>
      <c r="M1540" s="12">
        <v>8</v>
      </c>
      <c r="N1540" s="15">
        <v>7000.0</v>
      </c>
      <c r="O1540" s="15"/>
      <c r="P1540" s="17">
        <f>IF(N1540&gt;0, O1540/N1540, 0)</f>
        <v>0</v>
      </c>
      <c r="Q1540" s="15">
        <f>N1540-O1540</f>
        <v>7000</v>
      </c>
      <c r="R1540" s="15">
        <f>M1540*N1540</f>
        <v>56000</v>
      </c>
      <c r="S1540" s="15">
        <f>M1540*O1540</f>
        <v>0</v>
      </c>
      <c r="T1540" s="15">
        <f>M1540*Q1540</f>
        <v>56000</v>
      </c>
      <c r="U1540" s="15"/>
      <c r="V1540" s="15">
        <f>M1540*U1540</f>
        <v>0</v>
      </c>
      <c r="W1540" s="15">
        <f>T1540-V1540</f>
        <v>56000</v>
      </c>
      <c r="X1540" s="17">
        <f>IF(T1540&gt;0, W1540/T1540, 0)</f>
        <v>1</v>
      </c>
      <c r="Y1540" s="8" t="s">
        <v>41</v>
      </c>
      <c r="Z1540" s="10" t="s">
        <v>42</v>
      </c>
      <c r="AA1540" s="10" t="s">
        <v>43</v>
      </c>
      <c r="AB1540" s="10" t="s">
        <v>44</v>
      </c>
      <c r="AC1540" s="8" t="s">
        <v>44</v>
      </c>
    </row>
    <row r="1541" spans="1:29">
      <c r="A1541" s="11">
        <v>1534</v>
      </c>
      <c r="B1541" s="11" t="s">
        <v>1886</v>
      </c>
      <c r="C1541" s="11" t="s">
        <v>1883</v>
      </c>
      <c r="D1541" s="11" t="s">
        <v>1829</v>
      </c>
      <c r="E1541" s="11" t="s">
        <v>34</v>
      </c>
      <c r="F1541" s="11" t="s">
        <v>35</v>
      </c>
      <c r="G1541" s="9" t="s">
        <v>52</v>
      </c>
      <c r="H1541" s="9" t="s">
        <v>37</v>
      </c>
      <c r="I1541" s="9" t="s">
        <v>38</v>
      </c>
      <c r="J1541" s="11">
        <v>164</v>
      </c>
      <c r="K1541" s="11" t="s">
        <v>410</v>
      </c>
      <c r="L1541" s="11" t="s">
        <v>55</v>
      </c>
      <c r="M1541" s="13">
        <v>8</v>
      </c>
      <c r="N1541" s="16">
        <v>7000.0</v>
      </c>
      <c r="O1541" s="16"/>
      <c r="P1541" s="18">
        <f>IF(N1541&gt;0, O1541/N1541, 0)</f>
        <v>0</v>
      </c>
      <c r="Q1541" s="16">
        <f>N1541-O1541</f>
        <v>7000</v>
      </c>
      <c r="R1541" s="16">
        <f>M1541*N1541</f>
        <v>56000</v>
      </c>
      <c r="S1541" s="16">
        <f>M1541*O1541</f>
        <v>0</v>
      </c>
      <c r="T1541" s="16">
        <f>M1541*Q1541</f>
        <v>56000</v>
      </c>
      <c r="U1541" s="16"/>
      <c r="V1541" s="16">
        <f>M1541*U1541</f>
        <v>0</v>
      </c>
      <c r="W1541" s="16">
        <f>T1541-V1541</f>
        <v>56000</v>
      </c>
      <c r="X1541" s="18">
        <f>IF(T1541&gt;0, W1541/T1541, 0)</f>
        <v>1</v>
      </c>
      <c r="Y1541" s="9" t="s">
        <v>41</v>
      </c>
      <c r="Z1541" s="11" t="s">
        <v>42</v>
      </c>
      <c r="AA1541" s="11" t="s">
        <v>43</v>
      </c>
      <c r="AB1541" s="11" t="s">
        <v>44</v>
      </c>
      <c r="AC1541" s="9" t="s">
        <v>44</v>
      </c>
    </row>
    <row r="1542" spans="1:29">
      <c r="A1542" s="10">
        <v>1535</v>
      </c>
      <c r="B1542" s="10" t="s">
        <v>1887</v>
      </c>
      <c r="C1542" s="10" t="s">
        <v>1883</v>
      </c>
      <c r="D1542" s="10" t="s">
        <v>1829</v>
      </c>
      <c r="E1542" s="10" t="s">
        <v>34</v>
      </c>
      <c r="F1542" s="10" t="s">
        <v>35</v>
      </c>
      <c r="G1542" s="8" t="s">
        <v>36</v>
      </c>
      <c r="H1542" s="8" t="s">
        <v>71</v>
      </c>
      <c r="I1542" s="8" t="s">
        <v>71</v>
      </c>
      <c r="J1542" s="10">
        <v>170</v>
      </c>
      <c r="K1542" s="10" t="s">
        <v>182</v>
      </c>
      <c r="L1542" s="10" t="s">
        <v>40</v>
      </c>
      <c r="M1542" s="12">
        <v>1</v>
      </c>
      <c r="N1542" s="15">
        <v>16500.0</v>
      </c>
      <c r="O1542" s="15"/>
      <c r="P1542" s="17">
        <f>IF(N1542&gt;0, O1542/N1542, 0)</f>
        <v>0</v>
      </c>
      <c r="Q1542" s="15">
        <f>N1542-O1542</f>
        <v>16500</v>
      </c>
      <c r="R1542" s="15">
        <f>M1542*N1542</f>
        <v>16500</v>
      </c>
      <c r="S1542" s="15">
        <f>M1542*O1542</f>
        <v>0</v>
      </c>
      <c r="T1542" s="15">
        <f>M1542*Q1542</f>
        <v>16500</v>
      </c>
      <c r="U1542" s="15"/>
      <c r="V1542" s="15">
        <f>M1542*U1542</f>
        <v>0</v>
      </c>
      <c r="W1542" s="15">
        <f>T1542-V1542</f>
        <v>16500</v>
      </c>
      <c r="X1542" s="17">
        <f>IF(T1542&gt;0, W1542/T1542, 0)</f>
        <v>1</v>
      </c>
      <c r="Y1542" s="8" t="s">
        <v>41</v>
      </c>
      <c r="Z1542" s="10" t="s">
        <v>42</v>
      </c>
      <c r="AA1542" s="10" t="s">
        <v>43</v>
      </c>
      <c r="AB1542" s="10" t="s">
        <v>44</v>
      </c>
      <c r="AC1542" s="8" t="s">
        <v>44</v>
      </c>
    </row>
    <row r="1543" spans="1:29">
      <c r="A1543" s="11">
        <v>1536</v>
      </c>
      <c r="B1543" s="11" t="s">
        <v>1888</v>
      </c>
      <c r="C1543" s="11" t="s">
        <v>1883</v>
      </c>
      <c r="D1543" s="11" t="s">
        <v>1829</v>
      </c>
      <c r="E1543" s="11" t="s">
        <v>34</v>
      </c>
      <c r="F1543" s="11" t="s">
        <v>35</v>
      </c>
      <c r="G1543" s="9" t="s">
        <v>36</v>
      </c>
      <c r="H1543" s="9" t="s">
        <v>58</v>
      </c>
      <c r="I1543" s="9" t="s">
        <v>58</v>
      </c>
      <c r="J1543" s="11">
        <v>170</v>
      </c>
      <c r="K1543" s="11" t="s">
        <v>215</v>
      </c>
      <c r="L1543" s="11" t="s">
        <v>40</v>
      </c>
      <c r="M1543" s="13">
        <v>1</v>
      </c>
      <c r="N1543" s="16">
        <v>7500.0</v>
      </c>
      <c r="O1543" s="16"/>
      <c r="P1543" s="18">
        <f>IF(N1543&gt;0, O1543/N1543, 0)</f>
        <v>0</v>
      </c>
      <c r="Q1543" s="16">
        <f>N1543-O1543</f>
        <v>7500</v>
      </c>
      <c r="R1543" s="16">
        <f>M1543*N1543</f>
        <v>7500</v>
      </c>
      <c r="S1543" s="16">
        <f>M1543*O1543</f>
        <v>0</v>
      </c>
      <c r="T1543" s="16">
        <f>M1543*Q1543</f>
        <v>7500</v>
      </c>
      <c r="U1543" s="16"/>
      <c r="V1543" s="16">
        <f>M1543*U1543</f>
        <v>0</v>
      </c>
      <c r="W1543" s="16">
        <f>T1543-V1543</f>
        <v>7500</v>
      </c>
      <c r="X1543" s="18">
        <f>IF(T1543&gt;0, W1543/T1543, 0)</f>
        <v>1</v>
      </c>
      <c r="Y1543" s="9" t="s">
        <v>41</v>
      </c>
      <c r="Z1543" s="11" t="s">
        <v>42</v>
      </c>
      <c r="AA1543" s="11" t="s">
        <v>43</v>
      </c>
      <c r="AB1543" s="11" t="s">
        <v>44</v>
      </c>
      <c r="AC1543" s="9" t="s">
        <v>44</v>
      </c>
    </row>
    <row r="1544" spans="1:29">
      <c r="A1544" s="10">
        <v>1537</v>
      </c>
      <c r="B1544" s="10" t="s">
        <v>1889</v>
      </c>
      <c r="C1544" s="10" t="s">
        <v>1883</v>
      </c>
      <c r="D1544" s="10" t="s">
        <v>1829</v>
      </c>
      <c r="E1544" s="10" t="s">
        <v>34</v>
      </c>
      <c r="F1544" s="10" t="s">
        <v>35</v>
      </c>
      <c r="G1544" s="8" t="s">
        <v>36</v>
      </c>
      <c r="H1544" s="8" t="s">
        <v>47</v>
      </c>
      <c r="I1544" s="8" t="s">
        <v>48</v>
      </c>
      <c r="J1544" s="10">
        <v>170</v>
      </c>
      <c r="K1544" s="10" t="s">
        <v>184</v>
      </c>
      <c r="L1544" s="10" t="s">
        <v>40</v>
      </c>
      <c r="M1544" s="12">
        <v>1</v>
      </c>
      <c r="N1544" s="15">
        <v>18000.0</v>
      </c>
      <c r="O1544" s="15"/>
      <c r="P1544" s="17">
        <f>IF(N1544&gt;0, O1544/N1544, 0)</f>
        <v>0</v>
      </c>
      <c r="Q1544" s="15">
        <f>N1544-O1544</f>
        <v>18000</v>
      </c>
      <c r="R1544" s="15">
        <f>M1544*N1544</f>
        <v>18000</v>
      </c>
      <c r="S1544" s="15">
        <f>M1544*O1544</f>
        <v>0</v>
      </c>
      <c r="T1544" s="15">
        <f>M1544*Q1544</f>
        <v>18000</v>
      </c>
      <c r="U1544" s="15"/>
      <c r="V1544" s="15">
        <f>M1544*U1544</f>
        <v>0</v>
      </c>
      <c r="W1544" s="15">
        <f>T1544-V1544</f>
        <v>18000</v>
      </c>
      <c r="X1544" s="17">
        <f>IF(T1544&gt;0, W1544/T1544, 0)</f>
        <v>1</v>
      </c>
      <c r="Y1544" s="8" t="s">
        <v>41</v>
      </c>
      <c r="Z1544" s="10" t="s">
        <v>42</v>
      </c>
      <c r="AA1544" s="10" t="s">
        <v>43</v>
      </c>
      <c r="AB1544" s="10" t="s">
        <v>44</v>
      </c>
      <c r="AC1544" s="8" t="s">
        <v>44</v>
      </c>
    </row>
    <row r="1545" spans="1:29">
      <c r="A1545" s="11">
        <v>1538</v>
      </c>
      <c r="B1545" s="11" t="s">
        <v>1890</v>
      </c>
      <c r="C1545" s="11" t="s">
        <v>1883</v>
      </c>
      <c r="D1545" s="11" t="s">
        <v>1829</v>
      </c>
      <c r="E1545" s="11" t="s">
        <v>34</v>
      </c>
      <c r="F1545" s="11" t="s">
        <v>35</v>
      </c>
      <c r="G1545" s="9" t="s">
        <v>36</v>
      </c>
      <c r="H1545" s="9" t="s">
        <v>53</v>
      </c>
      <c r="I1545" s="9" t="s">
        <v>53</v>
      </c>
      <c r="J1545" s="11">
        <v>170</v>
      </c>
      <c r="K1545" s="11" t="s">
        <v>1142</v>
      </c>
      <c r="L1545" s="11" t="s">
        <v>40</v>
      </c>
      <c r="M1545" s="13">
        <v>1</v>
      </c>
      <c r="N1545" s="16">
        <v>8500.0</v>
      </c>
      <c r="O1545" s="16"/>
      <c r="P1545" s="18">
        <f>IF(N1545&gt;0, O1545/N1545, 0)</f>
        <v>0</v>
      </c>
      <c r="Q1545" s="16">
        <f>N1545-O1545</f>
        <v>8500</v>
      </c>
      <c r="R1545" s="16">
        <f>M1545*N1545</f>
        <v>8500</v>
      </c>
      <c r="S1545" s="16">
        <f>M1545*O1545</f>
        <v>0</v>
      </c>
      <c r="T1545" s="16">
        <f>M1545*Q1545</f>
        <v>8500</v>
      </c>
      <c r="U1545" s="16"/>
      <c r="V1545" s="16">
        <f>M1545*U1545</f>
        <v>0</v>
      </c>
      <c r="W1545" s="16">
        <f>T1545-V1545</f>
        <v>8500</v>
      </c>
      <c r="X1545" s="18">
        <f>IF(T1545&gt;0, W1545/T1545, 0)</f>
        <v>1</v>
      </c>
      <c r="Y1545" s="9" t="s">
        <v>41</v>
      </c>
      <c r="Z1545" s="11" t="s">
        <v>42</v>
      </c>
      <c r="AA1545" s="11" t="s">
        <v>43</v>
      </c>
      <c r="AB1545" s="11" t="s">
        <v>44</v>
      </c>
      <c r="AC1545" s="9" t="s">
        <v>44</v>
      </c>
    </row>
    <row r="1546" spans="1:29">
      <c r="A1546" s="10">
        <v>1539</v>
      </c>
      <c r="B1546" s="10" t="s">
        <v>1891</v>
      </c>
      <c r="C1546" s="10" t="s">
        <v>1883</v>
      </c>
      <c r="D1546" s="10" t="s">
        <v>1829</v>
      </c>
      <c r="E1546" s="10" t="s">
        <v>34</v>
      </c>
      <c r="F1546" s="10" t="s">
        <v>35</v>
      </c>
      <c r="G1546" s="8" t="s">
        <v>36</v>
      </c>
      <c r="H1546" s="8" t="s">
        <v>37</v>
      </c>
      <c r="I1546" s="8" t="s">
        <v>38</v>
      </c>
      <c r="J1546" s="10">
        <v>170</v>
      </c>
      <c r="K1546" s="10" t="s">
        <v>145</v>
      </c>
      <c r="L1546" s="10" t="s">
        <v>40</v>
      </c>
      <c r="M1546" s="12">
        <v>2</v>
      </c>
      <c r="N1546" s="15">
        <v>8000.0</v>
      </c>
      <c r="O1546" s="15"/>
      <c r="P1546" s="17">
        <f>IF(N1546&gt;0, O1546/N1546, 0)</f>
        <v>0</v>
      </c>
      <c r="Q1546" s="15">
        <f>N1546-O1546</f>
        <v>8000</v>
      </c>
      <c r="R1546" s="15">
        <f>M1546*N1546</f>
        <v>16000</v>
      </c>
      <c r="S1546" s="15">
        <f>M1546*O1546</f>
        <v>0</v>
      </c>
      <c r="T1546" s="15">
        <f>M1546*Q1546</f>
        <v>16000</v>
      </c>
      <c r="U1546" s="15"/>
      <c r="V1546" s="15">
        <f>M1546*U1546</f>
        <v>0</v>
      </c>
      <c r="W1546" s="15">
        <f>T1546-V1546</f>
        <v>16000</v>
      </c>
      <c r="X1546" s="17">
        <f>IF(T1546&gt;0, W1546/T1546, 0)</f>
        <v>1</v>
      </c>
      <c r="Y1546" s="8" t="s">
        <v>41</v>
      </c>
      <c r="Z1546" s="10" t="s">
        <v>42</v>
      </c>
      <c r="AA1546" s="10" t="s">
        <v>43</v>
      </c>
      <c r="AB1546" s="10" t="s">
        <v>44</v>
      </c>
      <c r="AC1546" s="8" t="s">
        <v>44</v>
      </c>
    </row>
    <row r="1547" spans="1:29">
      <c r="A1547" s="11">
        <v>1540</v>
      </c>
      <c r="B1547" s="11" t="s">
        <v>1892</v>
      </c>
      <c r="C1547" s="11" t="s">
        <v>1883</v>
      </c>
      <c r="D1547" s="11" t="s">
        <v>1829</v>
      </c>
      <c r="E1547" s="11" t="s">
        <v>34</v>
      </c>
      <c r="F1547" s="11" t="s">
        <v>35</v>
      </c>
      <c r="G1547" s="9" t="s">
        <v>36</v>
      </c>
      <c r="H1547" s="9" t="s">
        <v>37</v>
      </c>
      <c r="I1547" s="9" t="s">
        <v>75</v>
      </c>
      <c r="J1547" s="11">
        <v>170</v>
      </c>
      <c r="K1547" s="11" t="s">
        <v>651</v>
      </c>
      <c r="L1547" s="11" t="s">
        <v>40</v>
      </c>
      <c r="M1547" s="13">
        <v>2</v>
      </c>
      <c r="N1547" s="16">
        <v>8800.0</v>
      </c>
      <c r="O1547" s="16"/>
      <c r="P1547" s="18">
        <f>IF(N1547&gt;0, O1547/N1547, 0)</f>
        <v>0</v>
      </c>
      <c r="Q1547" s="16">
        <f>N1547-O1547</f>
        <v>8800</v>
      </c>
      <c r="R1547" s="16">
        <f>M1547*N1547</f>
        <v>17600</v>
      </c>
      <c r="S1547" s="16">
        <f>M1547*O1547</f>
        <v>0</v>
      </c>
      <c r="T1547" s="16">
        <f>M1547*Q1547</f>
        <v>17600</v>
      </c>
      <c r="U1547" s="16"/>
      <c r="V1547" s="16">
        <f>M1547*U1547</f>
        <v>0</v>
      </c>
      <c r="W1547" s="16">
        <f>T1547-V1547</f>
        <v>17600</v>
      </c>
      <c r="X1547" s="18">
        <f>IF(T1547&gt;0, W1547/T1547, 0)</f>
        <v>1</v>
      </c>
      <c r="Y1547" s="9" t="s">
        <v>41</v>
      </c>
      <c r="Z1547" s="11" t="s">
        <v>42</v>
      </c>
      <c r="AA1547" s="11" t="s">
        <v>43</v>
      </c>
      <c r="AB1547" s="11" t="s">
        <v>44</v>
      </c>
      <c r="AC1547" s="9" t="s">
        <v>44</v>
      </c>
    </row>
    <row r="1548" spans="1:29">
      <c r="A1548" s="10">
        <v>1541</v>
      </c>
      <c r="B1548" s="10" t="s">
        <v>1893</v>
      </c>
      <c r="C1548" s="10" t="s">
        <v>1894</v>
      </c>
      <c r="D1548" s="10" t="s">
        <v>1895</v>
      </c>
      <c r="E1548" s="10" t="s">
        <v>34</v>
      </c>
      <c r="F1548" s="10" t="s">
        <v>35</v>
      </c>
      <c r="G1548" s="8" t="s">
        <v>36</v>
      </c>
      <c r="H1548" s="8" t="s">
        <v>1857</v>
      </c>
      <c r="I1548" s="8" t="s">
        <v>1858</v>
      </c>
      <c r="J1548" s="10">
        <v>170</v>
      </c>
      <c r="K1548" s="10" t="s">
        <v>1896</v>
      </c>
      <c r="L1548" s="10" t="s">
        <v>44</v>
      </c>
      <c r="M1548" s="12">
        <v>1</v>
      </c>
      <c r="N1548" s="15">
        <v>9500.0</v>
      </c>
      <c r="O1548" s="15"/>
      <c r="P1548" s="17">
        <f>IF(N1548&gt;0, O1548/N1548, 0)</f>
        <v>0</v>
      </c>
      <c r="Q1548" s="15">
        <f>N1548-O1548</f>
        <v>9500</v>
      </c>
      <c r="R1548" s="15">
        <f>M1548*N1548</f>
        <v>9500</v>
      </c>
      <c r="S1548" s="15">
        <f>M1548*O1548</f>
        <v>0</v>
      </c>
      <c r="T1548" s="15">
        <f>M1548*Q1548</f>
        <v>9500</v>
      </c>
      <c r="U1548" s="15"/>
      <c r="V1548" s="15">
        <f>M1548*U1548</f>
        <v>0</v>
      </c>
      <c r="W1548" s="15">
        <f>T1548-V1548</f>
        <v>9500</v>
      </c>
      <c r="X1548" s="17">
        <f>IF(T1548&gt;0, W1548/T1548, 0)</f>
        <v>1</v>
      </c>
      <c r="Y1548" s="8" t="s">
        <v>41</v>
      </c>
      <c r="Z1548" s="10" t="s">
        <v>42</v>
      </c>
      <c r="AA1548" s="10" t="s">
        <v>43</v>
      </c>
      <c r="AB1548" s="10" t="s">
        <v>44</v>
      </c>
      <c r="AC1548" s="8" t="s">
        <v>44</v>
      </c>
    </row>
    <row r="1549" spans="1:29">
      <c r="A1549" s="7" t="s">
        <v>1898</v>
      </c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14">
        <f>SUBTOTAL(109, M8:M1548)</f>
        <v>1922</v>
      </c>
      <c r="N1549" s="7" t="s">
        <v>44</v>
      </c>
      <c r="O1549" s="7" t="s">
        <v>44</v>
      </c>
      <c r="P1549" s="19">
        <f>IF(R1549&gt;0, S1549/R1549, 0)</f>
        <v>0.0009228410992758</v>
      </c>
      <c r="Q1549" s="20" t="s">
        <v>44</v>
      </c>
      <c r="R1549" s="20">
        <f>SUBTOTAL(109, R8:R1548)</f>
        <v>19179900</v>
      </c>
      <c r="S1549" s="20">
        <f>SUBTOTAL(109, S8:S1548)</f>
        <v>17700</v>
      </c>
      <c r="T1549" s="20">
        <f>SUBTOTAL(109, T8:T1548)</f>
        <v>19162200</v>
      </c>
      <c r="U1549" s="20" t="s">
        <v>44</v>
      </c>
      <c r="V1549" s="20">
        <f>SUBTOTAL(109, V8:V1548)</f>
        <v>0</v>
      </c>
      <c r="W1549" s="20">
        <f>SUBTOTAL(109, W8:W1548)</f>
        <v>19162200</v>
      </c>
      <c r="X1549" s="19">
        <f>IF(T1549&gt;0, W1549/T1549, 0)</f>
        <v>1</v>
      </c>
      <c r="Y1549" s="7" t="str">
        <f>SUBTOTAL(103, A8:A1548) &amp; " позиций"</f>
        <v>1541 позиций</v>
      </c>
      <c r="Z1549" s="7"/>
      <c r="AA1549" s="7"/>
      <c r="AB1549" s="7"/>
      <c r="AC1549" s="7"/>
    </row>
  </sheetData>
  <autoFilter ref="A7:AC1548"/>
  <mergeCells>
    <mergeCell ref="A5:L5"/>
    <mergeCell ref="Y5:AC5"/>
    <mergeCell ref="A1549:L1549"/>
    <mergeCell ref="Y1549:AC154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85"/>
  <sheetViews>
    <sheetView tabSelected="0" workbookViewId="0" showGridLines="true" showRowColHeaders="1">
      <selection activeCell="J35" sqref="J35:K85"/>
    </sheetView>
  </sheetViews>
  <sheetFormatPr defaultRowHeight="14.4" outlineLevelRow="0" outlineLevelCol="0"/>
  <cols>
    <col min="1" max="1" width="198.972" bestFit="true" customWidth="true" style="0"/>
    <col min="2" max="2" width="24.497" bestFit="true" customWidth="true" style="0"/>
    <col min="3" max="3" width="25.663" bestFit="true" customWidth="true" style="0"/>
    <col min="4" max="4" width="30.163" bestFit="true" customWidth="true" style="0"/>
    <col min="5" max="5" width="17.664" bestFit="true" customWidth="true" style="0"/>
    <col min="6" max="6" width="27.996" bestFit="true" customWidth="true" style="0"/>
    <col min="7" max="7" width="24.33" bestFit="true" customWidth="true" style="0"/>
    <col min="8" max="8" width="21.164" bestFit="true" customWidth="true" style="0"/>
    <col min="9" max="9" width="30.163" bestFit="true" customWidth="true" style="0"/>
    <col min="10" max="10" width="22.164" bestFit="true" customWidth="true" style="0"/>
    <col min="11" max="11" width="14.498" bestFit="true" customWidth="true" style="0"/>
    <col min="12" max="12" width="25.663" bestFit="true" customWidth="true" style="0"/>
  </cols>
  <sheetData>
    <row r="2" spans="1:12">
      <c r="A2" s="1" t="s">
        <v>1899</v>
      </c>
    </row>
    <row r="3" spans="1:12">
      <c r="A3" s="2" t="s">
        <v>1900</v>
      </c>
    </row>
    <row r="5" spans="1:12">
      <c r="A5" s="21" t="s">
        <v>1901</v>
      </c>
    </row>
    <row r="6" spans="1:12" customHeight="1" ht="26">
      <c r="A6" s="3" t="s">
        <v>2</v>
      </c>
      <c r="B6" s="3" t="s">
        <v>9</v>
      </c>
      <c r="C6" s="3" t="s">
        <v>10</v>
      </c>
      <c r="D6" s="3" t="s">
        <v>11</v>
      </c>
      <c r="E6" s="3" t="s">
        <v>13</v>
      </c>
      <c r="F6" s="3" t="s">
        <v>1902</v>
      </c>
      <c r="G6" s="3" t="s">
        <v>15</v>
      </c>
      <c r="H6" s="3" t="s">
        <v>21</v>
      </c>
      <c r="I6" s="3" t="s">
        <v>1903</v>
      </c>
    </row>
    <row r="7" spans="1:12">
      <c r="A7" s="11">
        <v>1</v>
      </c>
      <c r="B7" s="9" t="s">
        <v>162</v>
      </c>
      <c r="C7" s="9" t="s">
        <v>162</v>
      </c>
      <c r="D7" s="11" t="s">
        <v>44</v>
      </c>
      <c r="E7" s="11" t="s">
        <v>40</v>
      </c>
      <c r="F7" s="13">
        <v>7</v>
      </c>
      <c r="G7" s="16">
        <v>5000.0</v>
      </c>
      <c r="H7" s="16">
        <v>35000.0</v>
      </c>
      <c r="I7" s="18">
        <f>IF(H30&gt;0, H7/H30, 0)</f>
        <v>0.053451435552841</v>
      </c>
    </row>
    <row r="8" spans="1:12">
      <c r="A8" s="10">
        <v>2</v>
      </c>
      <c r="B8" s="8" t="s">
        <v>65</v>
      </c>
      <c r="C8" s="8" t="s">
        <v>151</v>
      </c>
      <c r="D8" s="10">
        <v>152</v>
      </c>
      <c r="E8" s="10" t="s">
        <v>40</v>
      </c>
      <c r="F8" s="12">
        <v>6</v>
      </c>
      <c r="G8" s="15">
        <v>15000.0</v>
      </c>
      <c r="H8" s="15">
        <v>78000.0</v>
      </c>
      <c r="I8" s="17">
        <f>IF(H30&gt;0, H8/H30, 0)</f>
        <v>0.11912034208919</v>
      </c>
    </row>
    <row r="9" spans="1:12">
      <c r="A9" s="11">
        <v>3</v>
      </c>
      <c r="B9" s="9" t="s">
        <v>65</v>
      </c>
      <c r="C9" s="9" t="s">
        <v>151</v>
      </c>
      <c r="D9" s="11">
        <v>134</v>
      </c>
      <c r="E9" s="11" t="s">
        <v>40</v>
      </c>
      <c r="F9" s="13">
        <v>4</v>
      </c>
      <c r="G9" s="16">
        <v>12000.0</v>
      </c>
      <c r="H9" s="16">
        <v>44800.0</v>
      </c>
      <c r="I9" s="18">
        <f>IF(H30&gt;0, H9/H30, 0)</f>
        <v>0.068417837507636</v>
      </c>
    </row>
    <row r="10" spans="1:12">
      <c r="A10" s="10">
        <v>4</v>
      </c>
      <c r="B10" s="8" t="s">
        <v>65</v>
      </c>
      <c r="C10" s="8" t="s">
        <v>151</v>
      </c>
      <c r="D10" s="10">
        <v>140</v>
      </c>
      <c r="E10" s="10" t="s">
        <v>40</v>
      </c>
      <c r="F10" s="12">
        <v>4</v>
      </c>
      <c r="G10" s="15">
        <v>12000.0</v>
      </c>
      <c r="H10" s="15">
        <v>44000.0</v>
      </c>
      <c r="I10" s="17">
        <f>IF(H30&gt;0, H10/H30, 0)</f>
        <v>0.067196090409285</v>
      </c>
    </row>
    <row r="11" spans="1:12">
      <c r="A11" s="11">
        <v>5</v>
      </c>
      <c r="B11" s="9" t="s">
        <v>65</v>
      </c>
      <c r="C11" s="9" t="s">
        <v>151</v>
      </c>
      <c r="D11" s="11">
        <v>170</v>
      </c>
      <c r="E11" s="11" t="s">
        <v>40</v>
      </c>
      <c r="F11" s="13">
        <v>3</v>
      </c>
      <c r="G11" s="16">
        <v>15000.0</v>
      </c>
      <c r="H11" s="16">
        <v>38000.0</v>
      </c>
      <c r="I11" s="18">
        <f>IF(H30&gt;0, H11/H30, 0)</f>
        <v>0.058032987171655</v>
      </c>
    </row>
    <row r="12" spans="1:12">
      <c r="A12" s="10">
        <v>6</v>
      </c>
      <c r="B12" s="8" t="s">
        <v>65</v>
      </c>
      <c r="C12" s="8" t="s">
        <v>151</v>
      </c>
      <c r="D12" s="10">
        <v>146</v>
      </c>
      <c r="E12" s="10" t="s">
        <v>40</v>
      </c>
      <c r="F12" s="12">
        <v>3</v>
      </c>
      <c r="G12" s="15">
        <v>12000.0</v>
      </c>
      <c r="H12" s="15">
        <v>36000.0</v>
      </c>
      <c r="I12" s="17">
        <f>IF(H30&gt;0, H12/H30, 0)</f>
        <v>0.054978619425779</v>
      </c>
    </row>
    <row r="13" spans="1:12">
      <c r="A13" s="11">
        <v>7</v>
      </c>
      <c r="B13" s="9" t="s">
        <v>65</v>
      </c>
      <c r="C13" s="9" t="s">
        <v>151</v>
      </c>
      <c r="D13" s="11">
        <v>122</v>
      </c>
      <c r="E13" s="11" t="s">
        <v>40</v>
      </c>
      <c r="F13" s="13">
        <v>3</v>
      </c>
      <c r="G13" s="16">
        <v>12000.0</v>
      </c>
      <c r="H13" s="16">
        <v>34000.0</v>
      </c>
      <c r="I13" s="18">
        <f>IF(H30&gt;0, H13/H30, 0)</f>
        <v>0.051924251679902</v>
      </c>
    </row>
    <row r="14" spans="1:12">
      <c r="A14" s="10">
        <v>8</v>
      </c>
      <c r="B14" s="8" t="s">
        <v>37</v>
      </c>
      <c r="C14" s="8" t="s">
        <v>38</v>
      </c>
      <c r="D14" s="10">
        <v>170</v>
      </c>
      <c r="E14" s="10" t="s">
        <v>40</v>
      </c>
      <c r="F14" s="12">
        <v>3</v>
      </c>
      <c r="G14" s="15">
        <v>10000.0</v>
      </c>
      <c r="H14" s="15">
        <v>30000.0</v>
      </c>
      <c r="I14" s="17">
        <f>IF(H30&gt;0, H14/H30, 0)</f>
        <v>0.045815516188149</v>
      </c>
    </row>
    <row r="15" spans="1:12">
      <c r="A15" s="11">
        <v>9</v>
      </c>
      <c r="B15" s="9" t="s">
        <v>37</v>
      </c>
      <c r="C15" s="9" t="s">
        <v>38</v>
      </c>
      <c r="D15" s="11">
        <v>164</v>
      </c>
      <c r="E15" s="11" t="s">
        <v>40</v>
      </c>
      <c r="F15" s="13">
        <v>3</v>
      </c>
      <c r="G15" s="16">
        <v>10000.0</v>
      </c>
      <c r="H15" s="16">
        <v>30000.0</v>
      </c>
      <c r="I15" s="18">
        <f>IF(H30&gt;0, H15/H30, 0)</f>
        <v>0.045815516188149</v>
      </c>
    </row>
    <row r="16" spans="1:12">
      <c r="A16" s="10">
        <v>10</v>
      </c>
      <c r="B16" s="8" t="s">
        <v>71</v>
      </c>
      <c r="C16" s="8" t="s">
        <v>71</v>
      </c>
      <c r="D16" s="10">
        <v>170</v>
      </c>
      <c r="E16" s="10" t="s">
        <v>40</v>
      </c>
      <c r="F16" s="12">
        <v>2</v>
      </c>
      <c r="G16" s="15">
        <v>18000.0</v>
      </c>
      <c r="H16" s="15">
        <v>36000.0</v>
      </c>
      <c r="I16" s="17">
        <f>IF(H30&gt;0, H16/H30, 0)</f>
        <v>0.054978619425779</v>
      </c>
    </row>
    <row r="17" spans="1:12">
      <c r="A17" s="11">
        <v>11</v>
      </c>
      <c r="B17" s="9" t="s">
        <v>71</v>
      </c>
      <c r="C17" s="9" t="s">
        <v>71</v>
      </c>
      <c r="D17" s="11">
        <v>164</v>
      </c>
      <c r="E17" s="11" t="s">
        <v>40</v>
      </c>
      <c r="F17" s="13">
        <v>2</v>
      </c>
      <c r="G17" s="16">
        <v>18000.0</v>
      </c>
      <c r="H17" s="16">
        <v>36000.0</v>
      </c>
      <c r="I17" s="18">
        <f>IF(H30&gt;0, H17/H30, 0)</f>
        <v>0.054978619425779</v>
      </c>
    </row>
    <row r="18" spans="1:12">
      <c r="A18" s="10">
        <v>12</v>
      </c>
      <c r="B18" s="8" t="s">
        <v>71</v>
      </c>
      <c r="C18" s="8" t="s">
        <v>71</v>
      </c>
      <c r="D18" s="10">
        <v>158</v>
      </c>
      <c r="E18" s="10" t="s">
        <v>40</v>
      </c>
      <c r="F18" s="12">
        <v>2</v>
      </c>
      <c r="G18" s="15">
        <v>18000.0</v>
      </c>
      <c r="H18" s="15">
        <v>36000.0</v>
      </c>
      <c r="I18" s="17">
        <f>IF(H30&gt;0, H18/H30, 0)</f>
        <v>0.054978619425779</v>
      </c>
    </row>
    <row r="19" spans="1:12">
      <c r="A19" s="11">
        <v>13</v>
      </c>
      <c r="B19" s="9" t="s">
        <v>65</v>
      </c>
      <c r="C19" s="9" t="s">
        <v>151</v>
      </c>
      <c r="D19" s="11">
        <v>128</v>
      </c>
      <c r="E19" s="11" t="s">
        <v>40</v>
      </c>
      <c r="F19" s="13">
        <v>2</v>
      </c>
      <c r="G19" s="16">
        <v>12000.0</v>
      </c>
      <c r="H19" s="16">
        <v>22000.0</v>
      </c>
      <c r="I19" s="18">
        <f>IF(H30&gt;0, H19/H30, 0)</f>
        <v>0.033598045204643</v>
      </c>
    </row>
    <row r="20" spans="1:12">
      <c r="A20" s="10">
        <v>14</v>
      </c>
      <c r="B20" s="8" t="s">
        <v>37</v>
      </c>
      <c r="C20" s="8" t="s">
        <v>75</v>
      </c>
      <c r="D20" s="10">
        <v>152</v>
      </c>
      <c r="E20" s="10" t="s">
        <v>40</v>
      </c>
      <c r="F20" s="12">
        <v>2</v>
      </c>
      <c r="G20" s="15">
        <v>10000.0</v>
      </c>
      <c r="H20" s="15">
        <v>20000.0</v>
      </c>
      <c r="I20" s="17">
        <f>IF(H30&gt;0, H20/H30, 0)</f>
        <v>0.030543677458766</v>
      </c>
    </row>
    <row r="21" spans="1:12">
      <c r="A21" s="11">
        <v>15</v>
      </c>
      <c r="B21" s="9" t="s">
        <v>71</v>
      </c>
      <c r="C21" s="9" t="s">
        <v>71</v>
      </c>
      <c r="D21" s="11">
        <v>176</v>
      </c>
      <c r="E21" s="11" t="s">
        <v>40</v>
      </c>
      <c r="F21" s="13">
        <v>1</v>
      </c>
      <c r="G21" s="16">
        <v>18000.0</v>
      </c>
      <c r="H21" s="16">
        <v>18000.0</v>
      </c>
      <c r="I21" s="18">
        <f>IF(H30&gt;0, H21/H30, 0)</f>
        <v>0.027489309712889</v>
      </c>
    </row>
    <row r="22" spans="1:12">
      <c r="A22" s="10">
        <v>16</v>
      </c>
      <c r="B22" s="8" t="s">
        <v>71</v>
      </c>
      <c r="C22" s="8" t="s">
        <v>286</v>
      </c>
      <c r="D22" s="10">
        <v>140</v>
      </c>
      <c r="E22" s="10" t="s">
        <v>40</v>
      </c>
      <c r="F22" s="12">
        <v>1</v>
      </c>
      <c r="G22" s="15">
        <v>18000.0</v>
      </c>
      <c r="H22" s="15">
        <v>18000.0</v>
      </c>
      <c r="I22" s="17">
        <f>IF(H30&gt;0, H22/H30, 0)</f>
        <v>0.027489309712889</v>
      </c>
    </row>
    <row r="23" spans="1:12">
      <c r="A23" s="11">
        <v>17</v>
      </c>
      <c r="B23" s="9" t="s">
        <v>53</v>
      </c>
      <c r="C23" s="9" t="s">
        <v>156</v>
      </c>
      <c r="D23" s="11">
        <v>134</v>
      </c>
      <c r="E23" s="11" t="s">
        <v>40</v>
      </c>
      <c r="F23" s="13">
        <v>1</v>
      </c>
      <c r="G23" s="16">
        <v>15000.0</v>
      </c>
      <c r="H23" s="16">
        <v>15000.0</v>
      </c>
      <c r="I23" s="18">
        <f>IF(H30&gt;0, H23/H30, 0)</f>
        <v>0.022907758094075</v>
      </c>
    </row>
    <row r="24" spans="1:12">
      <c r="A24" s="10">
        <v>18</v>
      </c>
      <c r="B24" s="8" t="s">
        <v>53</v>
      </c>
      <c r="C24" s="8" t="s">
        <v>165</v>
      </c>
      <c r="D24" s="10">
        <v>122</v>
      </c>
      <c r="E24" s="10" t="s">
        <v>40</v>
      </c>
      <c r="F24" s="12">
        <v>1</v>
      </c>
      <c r="G24" s="15">
        <v>15000.0</v>
      </c>
      <c r="H24" s="15">
        <v>15000.0</v>
      </c>
      <c r="I24" s="17">
        <f>IF(H30&gt;0, H24/H30, 0)</f>
        <v>0.022907758094075</v>
      </c>
    </row>
    <row r="25" spans="1:12">
      <c r="A25" s="11">
        <v>19</v>
      </c>
      <c r="B25" s="9" t="s">
        <v>53</v>
      </c>
      <c r="C25" s="9" t="s">
        <v>175</v>
      </c>
      <c r="D25" s="11">
        <v>134</v>
      </c>
      <c r="E25" s="11" t="s">
        <v>40</v>
      </c>
      <c r="F25" s="13">
        <v>1</v>
      </c>
      <c r="G25" s="16">
        <v>15000.0</v>
      </c>
      <c r="H25" s="16">
        <v>15000.0</v>
      </c>
      <c r="I25" s="18">
        <f>IF(H30&gt;0, H25/H30, 0)</f>
        <v>0.022907758094075</v>
      </c>
    </row>
    <row r="26" spans="1:12">
      <c r="A26" s="10">
        <v>20</v>
      </c>
      <c r="B26" s="8" t="s">
        <v>65</v>
      </c>
      <c r="C26" s="8" t="s">
        <v>151</v>
      </c>
      <c r="D26" s="10">
        <v>164</v>
      </c>
      <c r="E26" s="10" t="s">
        <v>40</v>
      </c>
      <c r="F26" s="12">
        <v>1</v>
      </c>
      <c r="G26" s="15">
        <v>15000.0</v>
      </c>
      <c r="H26" s="15">
        <v>15000.0</v>
      </c>
      <c r="I26" s="17">
        <f>IF(H30&gt;0, H26/H30, 0)</f>
        <v>0.022907758094075</v>
      </c>
    </row>
    <row r="27" spans="1:12">
      <c r="A27" s="11">
        <v>21</v>
      </c>
      <c r="B27" s="9" t="s">
        <v>434</v>
      </c>
      <c r="C27" s="9" t="s">
        <v>447</v>
      </c>
      <c r="D27" s="11">
        <v>140</v>
      </c>
      <c r="E27" s="11" t="s">
        <v>40</v>
      </c>
      <c r="F27" s="13">
        <v>1</v>
      </c>
      <c r="G27" s="16">
        <v>15000.0</v>
      </c>
      <c r="H27" s="16">
        <v>15000.0</v>
      </c>
      <c r="I27" s="18">
        <f>IF(H30&gt;0, H27/H30, 0)</f>
        <v>0.022907758094075</v>
      </c>
    </row>
    <row r="28" spans="1:12">
      <c r="A28" s="10">
        <v>22</v>
      </c>
      <c r="B28" s="8" t="s">
        <v>65</v>
      </c>
      <c r="C28" s="8" t="s">
        <v>240</v>
      </c>
      <c r="D28" s="10">
        <v>146</v>
      </c>
      <c r="E28" s="10" t="s">
        <v>40</v>
      </c>
      <c r="F28" s="12">
        <v>1</v>
      </c>
      <c r="G28" s="15">
        <v>12000.0</v>
      </c>
      <c r="H28" s="15">
        <v>12000.0</v>
      </c>
      <c r="I28" s="17">
        <f>IF(H30&gt;0, H28/H30, 0)</f>
        <v>0.01832620647526</v>
      </c>
    </row>
    <row r="29" spans="1:12">
      <c r="A29" s="11">
        <v>23</v>
      </c>
      <c r="B29" s="9" t="s">
        <v>65</v>
      </c>
      <c r="C29" s="9" t="s">
        <v>151</v>
      </c>
      <c r="D29" s="11">
        <v>158</v>
      </c>
      <c r="E29" s="11" t="s">
        <v>40</v>
      </c>
      <c r="F29" s="13">
        <v>1</v>
      </c>
      <c r="G29" s="16">
        <v>12000.0</v>
      </c>
      <c r="H29" s="16">
        <v>12000.0</v>
      </c>
      <c r="I29" s="18">
        <f>IF(H30&gt;0, H29/H30, 0)</f>
        <v>0.01832620647526</v>
      </c>
    </row>
    <row r="30" spans="1:12">
      <c r="A30" s="7" t="s">
        <v>1904</v>
      </c>
      <c r="B30" s="7"/>
      <c r="C30" s="7"/>
      <c r="D30" s="7"/>
      <c r="E30" s="7"/>
      <c r="F30" s="14">
        <f>SUBTOTAL(109, F7:F29)</f>
        <v>55</v>
      </c>
      <c r="G30" s="20" t="s">
        <v>44</v>
      </c>
      <c r="H30" s="20">
        <f>SUBTOTAL(109, H7:H29)</f>
        <v>654800</v>
      </c>
      <c r="I30" s="19">
        <f>IF(H30&gt;0, 1.0, 0)</f>
        <v>1</v>
      </c>
    </row>
    <row r="33" spans="1:12">
      <c r="A33" s="21" t="s">
        <v>1905</v>
      </c>
    </row>
    <row r="34" spans="1:12" customHeight="1" ht="26">
      <c r="A34" s="3" t="s">
        <v>2</v>
      </c>
      <c r="B34" s="3" t="s">
        <v>3</v>
      </c>
      <c r="C34" s="3" t="s">
        <v>4</v>
      </c>
      <c r="D34" s="3" t="s">
        <v>26</v>
      </c>
      <c r="E34" s="3" t="s">
        <v>9</v>
      </c>
      <c r="F34" s="3" t="s">
        <v>10</v>
      </c>
      <c r="G34" s="3" t="s">
        <v>1906</v>
      </c>
      <c r="H34" s="3" t="s">
        <v>13</v>
      </c>
      <c r="I34" s="3" t="s">
        <v>14</v>
      </c>
      <c r="J34" s="3" t="s">
        <v>1907</v>
      </c>
      <c r="K34" s="3" t="s">
        <v>1908</v>
      </c>
      <c r="L34" s="3" t="s">
        <v>30</v>
      </c>
    </row>
    <row r="35" spans="1:12">
      <c r="A35" s="11">
        <v>1</v>
      </c>
      <c r="B35" s="11" t="s">
        <v>143</v>
      </c>
      <c r="C35" s="11" t="s">
        <v>141</v>
      </c>
      <c r="D35" s="9" t="s">
        <v>60</v>
      </c>
      <c r="E35" s="9" t="s">
        <v>37</v>
      </c>
      <c r="F35" s="9" t="s">
        <v>38</v>
      </c>
      <c r="G35" s="11">
        <v>170</v>
      </c>
      <c r="H35" s="11" t="s">
        <v>40</v>
      </c>
      <c r="I35" s="13">
        <v>2</v>
      </c>
      <c r="J35" s="16">
        <v>10000.0</v>
      </c>
      <c r="K35" s="16">
        <f>I35*J35</f>
        <v>20000</v>
      </c>
      <c r="L35" s="9" t="s">
        <v>146</v>
      </c>
    </row>
    <row r="36" spans="1:12">
      <c r="A36" s="10">
        <v>2</v>
      </c>
      <c r="B36" s="10" t="s">
        <v>147</v>
      </c>
      <c r="C36" s="10" t="s">
        <v>141</v>
      </c>
      <c r="D36" s="8" t="s">
        <v>60</v>
      </c>
      <c r="E36" s="8" t="s">
        <v>37</v>
      </c>
      <c r="F36" s="8" t="s">
        <v>38</v>
      </c>
      <c r="G36" s="10">
        <v>164</v>
      </c>
      <c r="H36" s="10" t="s">
        <v>40</v>
      </c>
      <c r="I36" s="12">
        <v>1</v>
      </c>
      <c r="J36" s="15">
        <v>10000.0</v>
      </c>
      <c r="K36" s="15">
        <f>I36*J36</f>
        <v>10000</v>
      </c>
      <c r="L36" s="8" t="s">
        <v>146</v>
      </c>
    </row>
    <row r="37" spans="1:12">
      <c r="A37" s="11">
        <v>3</v>
      </c>
      <c r="B37" s="11" t="s">
        <v>150</v>
      </c>
      <c r="C37" s="11" t="s">
        <v>141</v>
      </c>
      <c r="D37" s="9" t="s">
        <v>60</v>
      </c>
      <c r="E37" s="9" t="s">
        <v>65</v>
      </c>
      <c r="F37" s="9" t="s">
        <v>151</v>
      </c>
      <c r="G37" s="11">
        <v>170</v>
      </c>
      <c r="H37" s="11" t="s">
        <v>40</v>
      </c>
      <c r="I37" s="13">
        <v>1</v>
      </c>
      <c r="J37" s="16">
        <v>15000.0</v>
      </c>
      <c r="K37" s="16">
        <f>I37*J37</f>
        <v>15000</v>
      </c>
      <c r="L37" s="9" t="s">
        <v>146</v>
      </c>
    </row>
    <row r="38" spans="1:12">
      <c r="A38" s="10">
        <v>4</v>
      </c>
      <c r="B38" s="10" t="s">
        <v>155</v>
      </c>
      <c r="C38" s="10" t="s">
        <v>141</v>
      </c>
      <c r="D38" s="8" t="s">
        <v>60</v>
      </c>
      <c r="E38" s="8" t="s">
        <v>53</v>
      </c>
      <c r="F38" s="8" t="s">
        <v>156</v>
      </c>
      <c r="G38" s="10">
        <v>134</v>
      </c>
      <c r="H38" s="10" t="s">
        <v>40</v>
      </c>
      <c r="I38" s="12">
        <v>1</v>
      </c>
      <c r="J38" s="15">
        <v>15000.0</v>
      </c>
      <c r="K38" s="15">
        <f>I38*J38</f>
        <v>15000</v>
      </c>
      <c r="L38" s="8" t="s">
        <v>146</v>
      </c>
    </row>
    <row r="39" spans="1:12">
      <c r="A39" s="11">
        <v>5</v>
      </c>
      <c r="B39" s="11" t="s">
        <v>160</v>
      </c>
      <c r="C39" s="11" t="s">
        <v>141</v>
      </c>
      <c r="D39" s="9" t="s">
        <v>60</v>
      </c>
      <c r="E39" s="9" t="s">
        <v>162</v>
      </c>
      <c r="F39" s="9" t="s">
        <v>162</v>
      </c>
      <c r="G39" s="11" t="s">
        <v>44</v>
      </c>
      <c r="H39" s="11" t="s">
        <v>40</v>
      </c>
      <c r="I39" s="13">
        <v>1</v>
      </c>
      <c r="J39" s="16">
        <v>5000.0</v>
      </c>
      <c r="K39" s="16">
        <f>I39*J39</f>
        <v>5000</v>
      </c>
      <c r="L39" s="9" t="s">
        <v>146</v>
      </c>
    </row>
    <row r="40" spans="1:12">
      <c r="A40" s="10">
        <v>6</v>
      </c>
      <c r="B40" s="10" t="s">
        <v>164</v>
      </c>
      <c r="C40" s="10" t="s">
        <v>141</v>
      </c>
      <c r="D40" s="8" t="s">
        <v>60</v>
      </c>
      <c r="E40" s="8" t="s">
        <v>53</v>
      </c>
      <c r="F40" s="8" t="s">
        <v>165</v>
      </c>
      <c r="G40" s="10">
        <v>122</v>
      </c>
      <c r="H40" s="10" t="s">
        <v>40</v>
      </c>
      <c r="I40" s="12">
        <v>1</v>
      </c>
      <c r="J40" s="15">
        <v>15000.0</v>
      </c>
      <c r="K40" s="15">
        <f>I40*J40</f>
        <v>15000</v>
      </c>
      <c r="L40" s="8" t="s">
        <v>146</v>
      </c>
    </row>
    <row r="41" spans="1:12">
      <c r="A41" s="11">
        <v>7</v>
      </c>
      <c r="B41" s="11" t="s">
        <v>167</v>
      </c>
      <c r="C41" s="11" t="s">
        <v>141</v>
      </c>
      <c r="D41" s="9" t="s">
        <v>60</v>
      </c>
      <c r="E41" s="9" t="s">
        <v>65</v>
      </c>
      <c r="F41" s="9" t="s">
        <v>151</v>
      </c>
      <c r="G41" s="11">
        <v>128</v>
      </c>
      <c r="H41" s="11" t="s">
        <v>40</v>
      </c>
      <c r="I41" s="13">
        <v>1</v>
      </c>
      <c r="J41" s="16">
        <v>12000.0</v>
      </c>
      <c r="K41" s="16">
        <f>I41*J41</f>
        <v>12000</v>
      </c>
      <c r="L41" s="9" t="s">
        <v>146</v>
      </c>
    </row>
    <row r="42" spans="1:12">
      <c r="A42" s="10">
        <v>8</v>
      </c>
      <c r="B42" s="10" t="s">
        <v>169</v>
      </c>
      <c r="C42" s="10" t="s">
        <v>141</v>
      </c>
      <c r="D42" s="8" t="s">
        <v>60</v>
      </c>
      <c r="E42" s="8" t="s">
        <v>65</v>
      </c>
      <c r="F42" s="8" t="s">
        <v>151</v>
      </c>
      <c r="G42" s="10">
        <v>146</v>
      </c>
      <c r="H42" s="10" t="s">
        <v>40</v>
      </c>
      <c r="I42" s="12">
        <v>1</v>
      </c>
      <c r="J42" s="15">
        <v>12000.0</v>
      </c>
      <c r="K42" s="15">
        <f>I42*J42</f>
        <v>12000</v>
      </c>
      <c r="L42" s="8" t="s">
        <v>146</v>
      </c>
    </row>
    <row r="43" spans="1:12">
      <c r="A43" s="11">
        <v>9</v>
      </c>
      <c r="B43" s="11" t="s">
        <v>173</v>
      </c>
      <c r="C43" s="11" t="s">
        <v>141</v>
      </c>
      <c r="D43" s="9" t="s">
        <v>60</v>
      </c>
      <c r="E43" s="9" t="s">
        <v>162</v>
      </c>
      <c r="F43" s="9" t="s">
        <v>162</v>
      </c>
      <c r="G43" s="11" t="s">
        <v>44</v>
      </c>
      <c r="H43" s="11" t="s">
        <v>40</v>
      </c>
      <c r="I43" s="13">
        <v>1</v>
      </c>
      <c r="J43" s="16">
        <v>5000.0</v>
      </c>
      <c r="K43" s="16">
        <f>I43*J43</f>
        <v>5000</v>
      </c>
      <c r="L43" s="9" t="s">
        <v>146</v>
      </c>
    </row>
    <row r="44" spans="1:12">
      <c r="A44" s="10">
        <v>10</v>
      </c>
      <c r="B44" s="10" t="s">
        <v>174</v>
      </c>
      <c r="C44" s="10" t="s">
        <v>141</v>
      </c>
      <c r="D44" s="8" t="s">
        <v>60</v>
      </c>
      <c r="E44" s="8" t="s">
        <v>53</v>
      </c>
      <c r="F44" s="8" t="s">
        <v>175</v>
      </c>
      <c r="G44" s="10">
        <v>134</v>
      </c>
      <c r="H44" s="10" t="s">
        <v>40</v>
      </c>
      <c r="I44" s="12">
        <v>1</v>
      </c>
      <c r="J44" s="15">
        <v>15000.0</v>
      </c>
      <c r="K44" s="15">
        <f>I44*J44</f>
        <v>15000</v>
      </c>
      <c r="L44" s="8" t="s">
        <v>146</v>
      </c>
    </row>
    <row r="45" spans="1:12">
      <c r="A45" s="11">
        <v>11</v>
      </c>
      <c r="B45" s="11" t="s">
        <v>181</v>
      </c>
      <c r="C45" s="11" t="s">
        <v>141</v>
      </c>
      <c r="D45" s="9" t="s">
        <v>60</v>
      </c>
      <c r="E45" s="9" t="s">
        <v>71</v>
      </c>
      <c r="F45" s="9" t="s">
        <v>71</v>
      </c>
      <c r="G45" s="11">
        <v>170</v>
      </c>
      <c r="H45" s="11" t="s">
        <v>40</v>
      </c>
      <c r="I45" s="13">
        <v>1</v>
      </c>
      <c r="J45" s="16">
        <v>18000.0</v>
      </c>
      <c r="K45" s="16">
        <f>I45*J45</f>
        <v>18000</v>
      </c>
      <c r="L45" s="9" t="s">
        <v>146</v>
      </c>
    </row>
    <row r="46" spans="1:12">
      <c r="A46" s="10">
        <v>12</v>
      </c>
      <c r="B46" s="10" t="s">
        <v>191</v>
      </c>
      <c r="C46" s="10" t="s">
        <v>141</v>
      </c>
      <c r="D46" s="8" t="s">
        <v>60</v>
      </c>
      <c r="E46" s="8" t="s">
        <v>71</v>
      </c>
      <c r="F46" s="8" t="s">
        <v>71</v>
      </c>
      <c r="G46" s="10">
        <v>170</v>
      </c>
      <c r="H46" s="10" t="s">
        <v>40</v>
      </c>
      <c r="I46" s="12">
        <v>1</v>
      </c>
      <c r="J46" s="15">
        <v>18000.0</v>
      </c>
      <c r="K46" s="15">
        <f>I46*J46</f>
        <v>18000</v>
      </c>
      <c r="L46" s="8" t="s">
        <v>146</v>
      </c>
    </row>
    <row r="47" spans="1:12">
      <c r="A47" s="11">
        <v>13</v>
      </c>
      <c r="B47" s="11" t="s">
        <v>192</v>
      </c>
      <c r="C47" s="11" t="s">
        <v>141</v>
      </c>
      <c r="D47" s="9" t="s">
        <v>60</v>
      </c>
      <c r="E47" s="9" t="s">
        <v>71</v>
      </c>
      <c r="F47" s="9" t="s">
        <v>71</v>
      </c>
      <c r="G47" s="11">
        <v>164</v>
      </c>
      <c r="H47" s="11" t="s">
        <v>40</v>
      </c>
      <c r="I47" s="13">
        <v>1</v>
      </c>
      <c r="J47" s="16">
        <v>18000.0</v>
      </c>
      <c r="K47" s="16">
        <f>I47*J47</f>
        <v>18000</v>
      </c>
      <c r="L47" s="9" t="s">
        <v>146</v>
      </c>
    </row>
    <row r="48" spans="1:12">
      <c r="A48" s="10">
        <v>14</v>
      </c>
      <c r="B48" s="10" t="s">
        <v>193</v>
      </c>
      <c r="C48" s="10" t="s">
        <v>141</v>
      </c>
      <c r="D48" s="8" t="s">
        <v>60</v>
      </c>
      <c r="E48" s="8" t="s">
        <v>162</v>
      </c>
      <c r="F48" s="8" t="s">
        <v>162</v>
      </c>
      <c r="G48" s="10" t="s">
        <v>44</v>
      </c>
      <c r="H48" s="10" t="s">
        <v>40</v>
      </c>
      <c r="I48" s="12">
        <v>1</v>
      </c>
      <c r="J48" s="15">
        <v>5000.0</v>
      </c>
      <c r="K48" s="15">
        <f>I48*J48</f>
        <v>5000</v>
      </c>
      <c r="L48" s="8" t="s">
        <v>146</v>
      </c>
    </row>
    <row r="49" spans="1:12">
      <c r="A49" s="11">
        <v>15</v>
      </c>
      <c r="B49" s="11" t="s">
        <v>195</v>
      </c>
      <c r="C49" s="11" t="s">
        <v>141</v>
      </c>
      <c r="D49" s="9" t="s">
        <v>60</v>
      </c>
      <c r="E49" s="9" t="s">
        <v>65</v>
      </c>
      <c r="F49" s="9" t="s">
        <v>151</v>
      </c>
      <c r="G49" s="11">
        <v>170</v>
      </c>
      <c r="H49" s="11" t="s">
        <v>40</v>
      </c>
      <c r="I49" s="13">
        <v>1</v>
      </c>
      <c r="J49" s="16">
        <v>12000.0</v>
      </c>
      <c r="K49" s="16">
        <f>I49*J49</f>
        <v>12000</v>
      </c>
      <c r="L49" s="9" t="s">
        <v>146</v>
      </c>
    </row>
    <row r="50" spans="1:12">
      <c r="A50" s="10">
        <v>16</v>
      </c>
      <c r="B50" s="10" t="s">
        <v>196</v>
      </c>
      <c r="C50" s="10" t="s">
        <v>141</v>
      </c>
      <c r="D50" s="8" t="s">
        <v>60</v>
      </c>
      <c r="E50" s="8" t="s">
        <v>37</v>
      </c>
      <c r="F50" s="8" t="s">
        <v>38</v>
      </c>
      <c r="G50" s="10">
        <v>170</v>
      </c>
      <c r="H50" s="10" t="s">
        <v>40</v>
      </c>
      <c r="I50" s="12">
        <v>1</v>
      </c>
      <c r="J50" s="15">
        <v>10000.0</v>
      </c>
      <c r="K50" s="15">
        <f>I50*J50</f>
        <v>10000</v>
      </c>
      <c r="L50" s="8" t="s">
        <v>146</v>
      </c>
    </row>
    <row r="51" spans="1:12">
      <c r="A51" s="11">
        <v>17</v>
      </c>
      <c r="B51" s="11" t="s">
        <v>197</v>
      </c>
      <c r="C51" s="11" t="s">
        <v>141</v>
      </c>
      <c r="D51" s="9" t="s">
        <v>60</v>
      </c>
      <c r="E51" s="9" t="s">
        <v>65</v>
      </c>
      <c r="F51" s="9" t="s">
        <v>151</v>
      </c>
      <c r="G51" s="11">
        <v>152</v>
      </c>
      <c r="H51" s="11" t="s">
        <v>40</v>
      </c>
      <c r="I51" s="13">
        <v>2</v>
      </c>
      <c r="J51" s="16">
        <v>15000.0</v>
      </c>
      <c r="K51" s="16">
        <f>I51*J51</f>
        <v>30000</v>
      </c>
      <c r="L51" s="9" t="s">
        <v>146</v>
      </c>
    </row>
    <row r="52" spans="1:12">
      <c r="A52" s="10">
        <v>18</v>
      </c>
      <c r="B52" s="10" t="s">
        <v>203</v>
      </c>
      <c r="C52" s="10" t="s">
        <v>200</v>
      </c>
      <c r="D52" s="8" t="s">
        <v>60</v>
      </c>
      <c r="E52" s="8" t="s">
        <v>162</v>
      </c>
      <c r="F52" s="8" t="s">
        <v>162</v>
      </c>
      <c r="G52" s="10" t="s">
        <v>44</v>
      </c>
      <c r="H52" s="10" t="s">
        <v>40</v>
      </c>
      <c r="I52" s="12">
        <v>1</v>
      </c>
      <c r="J52" s="15">
        <v>5000.0</v>
      </c>
      <c r="K52" s="15">
        <f>I52*J52</f>
        <v>5000</v>
      </c>
      <c r="L52" s="8" t="s">
        <v>146</v>
      </c>
    </row>
    <row r="53" spans="1:12">
      <c r="A53" s="11">
        <v>19</v>
      </c>
      <c r="B53" s="11" t="s">
        <v>205</v>
      </c>
      <c r="C53" s="11" t="s">
        <v>200</v>
      </c>
      <c r="D53" s="9" t="s">
        <v>60</v>
      </c>
      <c r="E53" s="9" t="s">
        <v>71</v>
      </c>
      <c r="F53" s="9" t="s">
        <v>71</v>
      </c>
      <c r="G53" s="11">
        <v>176</v>
      </c>
      <c r="H53" s="11" t="s">
        <v>40</v>
      </c>
      <c r="I53" s="13">
        <v>1</v>
      </c>
      <c r="J53" s="16">
        <v>18000.0</v>
      </c>
      <c r="K53" s="16">
        <f>I53*J53</f>
        <v>18000</v>
      </c>
      <c r="L53" s="9" t="s">
        <v>146</v>
      </c>
    </row>
    <row r="54" spans="1:12">
      <c r="A54" s="10">
        <v>20</v>
      </c>
      <c r="B54" s="10" t="s">
        <v>208</v>
      </c>
      <c r="C54" s="10" t="s">
        <v>200</v>
      </c>
      <c r="D54" s="8" t="s">
        <v>60</v>
      </c>
      <c r="E54" s="8" t="s">
        <v>65</v>
      </c>
      <c r="F54" s="8" t="s">
        <v>151</v>
      </c>
      <c r="G54" s="10">
        <v>152</v>
      </c>
      <c r="H54" s="10" t="s">
        <v>40</v>
      </c>
      <c r="I54" s="12">
        <v>1</v>
      </c>
      <c r="J54" s="15">
        <v>14000.0</v>
      </c>
      <c r="K54" s="15">
        <f>I54*J54</f>
        <v>14000</v>
      </c>
      <c r="L54" s="8" t="s">
        <v>146</v>
      </c>
    </row>
    <row r="55" spans="1:12">
      <c r="A55" s="11">
        <v>21</v>
      </c>
      <c r="B55" s="11" t="s">
        <v>219</v>
      </c>
      <c r="C55" s="11" t="s">
        <v>200</v>
      </c>
      <c r="D55" s="9" t="s">
        <v>60</v>
      </c>
      <c r="E55" s="9" t="s">
        <v>65</v>
      </c>
      <c r="F55" s="9" t="s">
        <v>151</v>
      </c>
      <c r="G55" s="11">
        <v>164</v>
      </c>
      <c r="H55" s="11" t="s">
        <v>40</v>
      </c>
      <c r="I55" s="13">
        <v>1</v>
      </c>
      <c r="J55" s="16">
        <v>15000.0</v>
      </c>
      <c r="K55" s="16">
        <f>I55*J55</f>
        <v>15000</v>
      </c>
      <c r="L55" s="9" t="s">
        <v>146</v>
      </c>
    </row>
    <row r="56" spans="1:12">
      <c r="A56" s="10">
        <v>22</v>
      </c>
      <c r="B56" s="10" t="s">
        <v>223</v>
      </c>
      <c r="C56" s="10" t="s">
        <v>200</v>
      </c>
      <c r="D56" s="8" t="s">
        <v>60</v>
      </c>
      <c r="E56" s="8" t="s">
        <v>65</v>
      </c>
      <c r="F56" s="8" t="s">
        <v>151</v>
      </c>
      <c r="G56" s="10">
        <v>140</v>
      </c>
      <c r="H56" s="10" t="s">
        <v>40</v>
      </c>
      <c r="I56" s="12">
        <v>1</v>
      </c>
      <c r="J56" s="15">
        <v>12000.0</v>
      </c>
      <c r="K56" s="15">
        <f>I56*J56</f>
        <v>12000</v>
      </c>
      <c r="L56" s="8" t="s">
        <v>146</v>
      </c>
    </row>
    <row r="57" spans="1:12">
      <c r="A57" s="11">
        <v>23</v>
      </c>
      <c r="B57" s="11" t="s">
        <v>239</v>
      </c>
      <c r="C57" s="11" t="s">
        <v>200</v>
      </c>
      <c r="D57" s="9" t="s">
        <v>60</v>
      </c>
      <c r="E57" s="9" t="s">
        <v>65</v>
      </c>
      <c r="F57" s="9" t="s">
        <v>240</v>
      </c>
      <c r="G57" s="11">
        <v>146</v>
      </c>
      <c r="H57" s="11" t="s">
        <v>40</v>
      </c>
      <c r="I57" s="13">
        <v>1</v>
      </c>
      <c r="J57" s="16">
        <v>12000.0</v>
      </c>
      <c r="K57" s="16">
        <f>I57*J57</f>
        <v>12000</v>
      </c>
      <c r="L57" s="9" t="s">
        <v>146</v>
      </c>
    </row>
    <row r="58" spans="1:12">
      <c r="A58" s="10">
        <v>24</v>
      </c>
      <c r="B58" s="10" t="s">
        <v>242</v>
      </c>
      <c r="C58" s="10" t="s">
        <v>200</v>
      </c>
      <c r="D58" s="8" t="s">
        <v>60</v>
      </c>
      <c r="E58" s="8" t="s">
        <v>65</v>
      </c>
      <c r="F58" s="8" t="s">
        <v>151</v>
      </c>
      <c r="G58" s="10">
        <v>140</v>
      </c>
      <c r="H58" s="10" t="s">
        <v>40</v>
      </c>
      <c r="I58" s="12">
        <v>1</v>
      </c>
      <c r="J58" s="15">
        <v>12000.0</v>
      </c>
      <c r="K58" s="15">
        <f>I58*J58</f>
        <v>12000</v>
      </c>
      <c r="L58" s="8" t="s">
        <v>146</v>
      </c>
    </row>
    <row r="59" spans="1:12">
      <c r="A59" s="11">
        <v>25</v>
      </c>
      <c r="B59" s="11" t="s">
        <v>243</v>
      </c>
      <c r="C59" s="11" t="s">
        <v>200</v>
      </c>
      <c r="D59" s="9" t="s">
        <v>60</v>
      </c>
      <c r="E59" s="9" t="s">
        <v>65</v>
      </c>
      <c r="F59" s="9" t="s">
        <v>151</v>
      </c>
      <c r="G59" s="11">
        <v>122</v>
      </c>
      <c r="H59" s="11" t="s">
        <v>40</v>
      </c>
      <c r="I59" s="13">
        <v>1</v>
      </c>
      <c r="J59" s="16">
        <v>12000.0</v>
      </c>
      <c r="K59" s="16">
        <f>I59*J59</f>
        <v>12000</v>
      </c>
      <c r="L59" s="9" t="s">
        <v>146</v>
      </c>
    </row>
    <row r="60" spans="1:12">
      <c r="A60" s="10">
        <v>26</v>
      </c>
      <c r="B60" s="10" t="s">
        <v>247</v>
      </c>
      <c r="C60" s="10" t="s">
        <v>200</v>
      </c>
      <c r="D60" s="8" t="s">
        <v>60</v>
      </c>
      <c r="E60" s="8" t="s">
        <v>65</v>
      </c>
      <c r="F60" s="8" t="s">
        <v>151</v>
      </c>
      <c r="G60" s="10">
        <v>146</v>
      </c>
      <c r="H60" s="10" t="s">
        <v>40</v>
      </c>
      <c r="I60" s="12">
        <v>1</v>
      </c>
      <c r="J60" s="15">
        <v>12000.0</v>
      </c>
      <c r="K60" s="15">
        <f>I60*J60</f>
        <v>12000</v>
      </c>
      <c r="L60" s="8" t="s">
        <v>146</v>
      </c>
    </row>
    <row r="61" spans="1:12">
      <c r="A61" s="11">
        <v>27</v>
      </c>
      <c r="B61" s="11" t="s">
        <v>248</v>
      </c>
      <c r="C61" s="11" t="s">
        <v>200</v>
      </c>
      <c r="D61" s="9" t="s">
        <v>60</v>
      </c>
      <c r="E61" s="9" t="s">
        <v>65</v>
      </c>
      <c r="F61" s="9" t="s">
        <v>151</v>
      </c>
      <c r="G61" s="11">
        <v>134</v>
      </c>
      <c r="H61" s="11" t="s">
        <v>40</v>
      </c>
      <c r="I61" s="13">
        <v>1</v>
      </c>
      <c r="J61" s="16">
        <v>12000.0</v>
      </c>
      <c r="K61" s="16">
        <f>I61*J61</f>
        <v>12000</v>
      </c>
      <c r="L61" s="9" t="s">
        <v>146</v>
      </c>
    </row>
    <row r="62" spans="1:12">
      <c r="A62" s="10">
        <v>28</v>
      </c>
      <c r="B62" s="10" t="s">
        <v>252</v>
      </c>
      <c r="C62" s="10" t="s">
        <v>200</v>
      </c>
      <c r="D62" s="8" t="s">
        <v>60</v>
      </c>
      <c r="E62" s="8" t="s">
        <v>65</v>
      </c>
      <c r="F62" s="8" t="s">
        <v>151</v>
      </c>
      <c r="G62" s="10">
        <v>146</v>
      </c>
      <c r="H62" s="10" t="s">
        <v>40</v>
      </c>
      <c r="I62" s="12">
        <v>1</v>
      </c>
      <c r="J62" s="15">
        <v>12000.0</v>
      </c>
      <c r="K62" s="15">
        <f>I62*J62</f>
        <v>12000</v>
      </c>
      <c r="L62" s="8" t="s">
        <v>146</v>
      </c>
    </row>
    <row r="63" spans="1:12">
      <c r="A63" s="11">
        <v>29</v>
      </c>
      <c r="B63" s="11" t="s">
        <v>253</v>
      </c>
      <c r="C63" s="11" t="s">
        <v>200</v>
      </c>
      <c r="D63" s="9" t="s">
        <v>60</v>
      </c>
      <c r="E63" s="9" t="s">
        <v>65</v>
      </c>
      <c r="F63" s="9" t="s">
        <v>151</v>
      </c>
      <c r="G63" s="11">
        <v>158</v>
      </c>
      <c r="H63" s="11" t="s">
        <v>40</v>
      </c>
      <c r="I63" s="13">
        <v>1</v>
      </c>
      <c r="J63" s="16">
        <v>12000.0</v>
      </c>
      <c r="K63" s="16">
        <f>I63*J63</f>
        <v>12000</v>
      </c>
      <c r="L63" s="9" t="s">
        <v>146</v>
      </c>
    </row>
    <row r="64" spans="1:12">
      <c r="A64" s="10">
        <v>30</v>
      </c>
      <c r="B64" s="10" t="s">
        <v>255</v>
      </c>
      <c r="C64" s="10" t="s">
        <v>200</v>
      </c>
      <c r="D64" s="8" t="s">
        <v>60</v>
      </c>
      <c r="E64" s="8" t="s">
        <v>65</v>
      </c>
      <c r="F64" s="8" t="s">
        <v>151</v>
      </c>
      <c r="G64" s="10">
        <v>122</v>
      </c>
      <c r="H64" s="10" t="s">
        <v>40</v>
      </c>
      <c r="I64" s="12">
        <v>1</v>
      </c>
      <c r="J64" s="15">
        <v>12000.0</v>
      </c>
      <c r="K64" s="15">
        <f>I64*J64</f>
        <v>12000</v>
      </c>
      <c r="L64" s="8" t="s">
        <v>146</v>
      </c>
    </row>
    <row r="65" spans="1:12">
      <c r="A65" s="11">
        <v>31</v>
      </c>
      <c r="B65" s="11" t="s">
        <v>262</v>
      </c>
      <c r="C65" s="11" t="s">
        <v>200</v>
      </c>
      <c r="D65" s="9" t="s">
        <v>60</v>
      </c>
      <c r="E65" s="9" t="s">
        <v>71</v>
      </c>
      <c r="F65" s="9" t="s">
        <v>71</v>
      </c>
      <c r="G65" s="11">
        <v>158</v>
      </c>
      <c r="H65" s="11" t="s">
        <v>40</v>
      </c>
      <c r="I65" s="13">
        <v>1</v>
      </c>
      <c r="J65" s="16">
        <v>18000.0</v>
      </c>
      <c r="K65" s="16">
        <f>I65*J65</f>
        <v>18000</v>
      </c>
      <c r="L65" s="9" t="s">
        <v>146</v>
      </c>
    </row>
    <row r="66" spans="1:12">
      <c r="A66" s="10">
        <v>32</v>
      </c>
      <c r="B66" s="10" t="s">
        <v>264</v>
      </c>
      <c r="C66" s="10" t="s">
        <v>200</v>
      </c>
      <c r="D66" s="8" t="s">
        <v>60</v>
      </c>
      <c r="E66" s="8" t="s">
        <v>37</v>
      </c>
      <c r="F66" s="8" t="s">
        <v>75</v>
      </c>
      <c r="G66" s="10">
        <v>152</v>
      </c>
      <c r="H66" s="10" t="s">
        <v>40</v>
      </c>
      <c r="I66" s="12">
        <v>2</v>
      </c>
      <c r="J66" s="15">
        <v>10000.0</v>
      </c>
      <c r="K66" s="15">
        <f>I66*J66</f>
        <v>20000</v>
      </c>
      <c r="L66" s="8" t="s">
        <v>146</v>
      </c>
    </row>
    <row r="67" spans="1:12">
      <c r="A67" s="11">
        <v>33</v>
      </c>
      <c r="B67" s="11" t="s">
        <v>269</v>
      </c>
      <c r="C67" s="11" t="s">
        <v>200</v>
      </c>
      <c r="D67" s="9" t="s">
        <v>60</v>
      </c>
      <c r="E67" s="9" t="s">
        <v>37</v>
      </c>
      <c r="F67" s="9" t="s">
        <v>38</v>
      </c>
      <c r="G67" s="11">
        <v>164</v>
      </c>
      <c r="H67" s="11" t="s">
        <v>40</v>
      </c>
      <c r="I67" s="13">
        <v>2</v>
      </c>
      <c r="J67" s="16">
        <v>10000.0</v>
      </c>
      <c r="K67" s="16">
        <f>I67*J67</f>
        <v>20000</v>
      </c>
      <c r="L67" s="9" t="s">
        <v>146</v>
      </c>
    </row>
    <row r="68" spans="1:12">
      <c r="A68" s="10">
        <v>34</v>
      </c>
      <c r="B68" s="10" t="s">
        <v>275</v>
      </c>
      <c r="C68" s="10" t="s">
        <v>200</v>
      </c>
      <c r="D68" s="8" t="s">
        <v>60</v>
      </c>
      <c r="E68" s="8" t="s">
        <v>65</v>
      </c>
      <c r="F68" s="8" t="s">
        <v>151</v>
      </c>
      <c r="G68" s="10">
        <v>134</v>
      </c>
      <c r="H68" s="10" t="s">
        <v>40</v>
      </c>
      <c r="I68" s="12">
        <v>1</v>
      </c>
      <c r="J68" s="15">
        <v>10800.0</v>
      </c>
      <c r="K68" s="15">
        <f>I68*J68</f>
        <v>10800</v>
      </c>
      <c r="L68" s="8" t="s">
        <v>146</v>
      </c>
    </row>
    <row r="69" spans="1:12">
      <c r="A69" s="11">
        <v>35</v>
      </c>
      <c r="B69" s="11" t="s">
        <v>277</v>
      </c>
      <c r="C69" s="11" t="s">
        <v>200</v>
      </c>
      <c r="D69" s="9" t="s">
        <v>60</v>
      </c>
      <c r="E69" s="9" t="s">
        <v>65</v>
      </c>
      <c r="F69" s="9" t="s">
        <v>151</v>
      </c>
      <c r="G69" s="11">
        <v>134</v>
      </c>
      <c r="H69" s="11" t="s">
        <v>40</v>
      </c>
      <c r="I69" s="13">
        <v>1</v>
      </c>
      <c r="J69" s="16">
        <v>12000.0</v>
      </c>
      <c r="K69" s="16">
        <f>I69*J69</f>
        <v>12000</v>
      </c>
      <c r="L69" s="9" t="s">
        <v>278</v>
      </c>
    </row>
    <row r="70" spans="1:12">
      <c r="A70" s="10">
        <v>36</v>
      </c>
      <c r="B70" s="10" t="s">
        <v>279</v>
      </c>
      <c r="C70" s="10" t="s">
        <v>200</v>
      </c>
      <c r="D70" s="8" t="s">
        <v>60</v>
      </c>
      <c r="E70" s="8" t="s">
        <v>162</v>
      </c>
      <c r="F70" s="8" t="s">
        <v>162</v>
      </c>
      <c r="G70" s="10" t="s">
        <v>44</v>
      </c>
      <c r="H70" s="10" t="s">
        <v>40</v>
      </c>
      <c r="I70" s="12">
        <v>1</v>
      </c>
      <c r="J70" s="15">
        <v>5000.0</v>
      </c>
      <c r="K70" s="15">
        <f>I70*J70</f>
        <v>5000</v>
      </c>
      <c r="L70" s="8" t="s">
        <v>146</v>
      </c>
    </row>
    <row r="71" spans="1:12">
      <c r="A71" s="11">
        <v>37</v>
      </c>
      <c r="B71" s="11" t="s">
        <v>285</v>
      </c>
      <c r="C71" s="11" t="s">
        <v>200</v>
      </c>
      <c r="D71" s="9" t="s">
        <v>60</v>
      </c>
      <c r="E71" s="9" t="s">
        <v>71</v>
      </c>
      <c r="F71" s="9" t="s">
        <v>286</v>
      </c>
      <c r="G71" s="11">
        <v>140</v>
      </c>
      <c r="H71" s="11" t="s">
        <v>40</v>
      </c>
      <c r="I71" s="13">
        <v>1</v>
      </c>
      <c r="J71" s="16">
        <v>18000.0</v>
      </c>
      <c r="K71" s="16">
        <f>I71*J71</f>
        <v>18000</v>
      </c>
      <c r="L71" s="9" t="s">
        <v>146</v>
      </c>
    </row>
    <row r="72" spans="1:12">
      <c r="A72" s="10">
        <v>38</v>
      </c>
      <c r="B72" s="10" t="s">
        <v>295</v>
      </c>
      <c r="C72" s="10" t="s">
        <v>200</v>
      </c>
      <c r="D72" s="8" t="s">
        <v>60</v>
      </c>
      <c r="E72" s="8" t="s">
        <v>71</v>
      </c>
      <c r="F72" s="8" t="s">
        <v>71</v>
      </c>
      <c r="G72" s="10">
        <v>158</v>
      </c>
      <c r="H72" s="10" t="s">
        <v>40</v>
      </c>
      <c r="I72" s="12">
        <v>1</v>
      </c>
      <c r="J72" s="15">
        <v>18000.0</v>
      </c>
      <c r="K72" s="15">
        <f>I72*J72</f>
        <v>18000</v>
      </c>
      <c r="L72" s="8" t="s">
        <v>146</v>
      </c>
    </row>
    <row r="73" spans="1:12">
      <c r="A73" s="11">
        <v>39</v>
      </c>
      <c r="B73" s="11" t="s">
        <v>296</v>
      </c>
      <c r="C73" s="11" t="s">
        <v>200</v>
      </c>
      <c r="D73" s="9" t="s">
        <v>60</v>
      </c>
      <c r="E73" s="9" t="s">
        <v>162</v>
      </c>
      <c r="F73" s="9" t="s">
        <v>162</v>
      </c>
      <c r="G73" s="11" t="s">
        <v>44</v>
      </c>
      <c r="H73" s="11" t="s">
        <v>40</v>
      </c>
      <c r="I73" s="13">
        <v>1</v>
      </c>
      <c r="J73" s="16">
        <v>5000.0</v>
      </c>
      <c r="K73" s="16">
        <f>I73*J73</f>
        <v>5000</v>
      </c>
      <c r="L73" s="9" t="s">
        <v>146</v>
      </c>
    </row>
    <row r="74" spans="1:12">
      <c r="A74" s="10">
        <v>40</v>
      </c>
      <c r="B74" s="10" t="s">
        <v>308</v>
      </c>
      <c r="C74" s="10" t="s">
        <v>303</v>
      </c>
      <c r="D74" s="8" t="s">
        <v>60</v>
      </c>
      <c r="E74" s="8" t="s">
        <v>65</v>
      </c>
      <c r="F74" s="8" t="s">
        <v>151</v>
      </c>
      <c r="G74" s="10">
        <v>170</v>
      </c>
      <c r="H74" s="10" t="s">
        <v>40</v>
      </c>
      <c r="I74" s="12">
        <v>1</v>
      </c>
      <c r="J74" s="15">
        <v>11000.0</v>
      </c>
      <c r="K74" s="15">
        <f>I74*J74</f>
        <v>11000</v>
      </c>
      <c r="L74" s="8" t="s">
        <v>146</v>
      </c>
    </row>
    <row r="75" spans="1:12">
      <c r="A75" s="11">
        <v>41</v>
      </c>
      <c r="B75" s="11" t="s">
        <v>309</v>
      </c>
      <c r="C75" s="11" t="s">
        <v>303</v>
      </c>
      <c r="D75" s="9" t="s">
        <v>60</v>
      </c>
      <c r="E75" s="9" t="s">
        <v>65</v>
      </c>
      <c r="F75" s="9" t="s">
        <v>151</v>
      </c>
      <c r="G75" s="11">
        <v>152</v>
      </c>
      <c r="H75" s="11" t="s">
        <v>40</v>
      </c>
      <c r="I75" s="13">
        <v>1</v>
      </c>
      <c r="J75" s="16">
        <v>10000.0</v>
      </c>
      <c r="K75" s="16">
        <f>I75*J75</f>
        <v>10000</v>
      </c>
      <c r="L75" s="9" t="s">
        <v>146</v>
      </c>
    </row>
    <row r="76" spans="1:12">
      <c r="A76" s="10">
        <v>42</v>
      </c>
      <c r="B76" s="10" t="s">
        <v>310</v>
      </c>
      <c r="C76" s="10" t="s">
        <v>311</v>
      </c>
      <c r="D76" s="8" t="s">
        <v>60</v>
      </c>
      <c r="E76" s="8" t="s">
        <v>65</v>
      </c>
      <c r="F76" s="8" t="s">
        <v>151</v>
      </c>
      <c r="G76" s="10">
        <v>140</v>
      </c>
      <c r="H76" s="10" t="s">
        <v>40</v>
      </c>
      <c r="I76" s="12">
        <v>2</v>
      </c>
      <c r="J76" s="15">
        <v>10000.0</v>
      </c>
      <c r="K76" s="15">
        <f>I76*J76</f>
        <v>20000</v>
      </c>
      <c r="L76" s="8" t="s">
        <v>146</v>
      </c>
    </row>
    <row r="77" spans="1:12">
      <c r="A77" s="11">
        <v>43</v>
      </c>
      <c r="B77" s="11" t="s">
        <v>315</v>
      </c>
      <c r="C77" s="11" t="s">
        <v>311</v>
      </c>
      <c r="D77" s="9" t="s">
        <v>60</v>
      </c>
      <c r="E77" s="9" t="s">
        <v>162</v>
      </c>
      <c r="F77" s="9" t="s">
        <v>162</v>
      </c>
      <c r="G77" s="11" t="s">
        <v>44</v>
      </c>
      <c r="H77" s="11" t="s">
        <v>40</v>
      </c>
      <c r="I77" s="13">
        <v>1</v>
      </c>
      <c r="J77" s="16">
        <v>5000.0</v>
      </c>
      <c r="K77" s="16">
        <f>I77*J77</f>
        <v>5000</v>
      </c>
      <c r="L77" s="9" t="s">
        <v>146</v>
      </c>
    </row>
    <row r="78" spans="1:12">
      <c r="A78" s="10">
        <v>44</v>
      </c>
      <c r="B78" s="10" t="s">
        <v>325</v>
      </c>
      <c r="C78" s="10" t="s">
        <v>311</v>
      </c>
      <c r="D78" s="8" t="s">
        <v>60</v>
      </c>
      <c r="E78" s="8" t="s">
        <v>65</v>
      </c>
      <c r="F78" s="8" t="s">
        <v>151</v>
      </c>
      <c r="G78" s="10">
        <v>152</v>
      </c>
      <c r="H78" s="10" t="s">
        <v>40</v>
      </c>
      <c r="I78" s="12">
        <v>1</v>
      </c>
      <c r="J78" s="15">
        <v>12000.0</v>
      </c>
      <c r="K78" s="15">
        <f>I78*J78</f>
        <v>12000</v>
      </c>
      <c r="L78" s="8" t="s">
        <v>146</v>
      </c>
    </row>
    <row r="79" spans="1:12">
      <c r="A79" s="11">
        <v>45</v>
      </c>
      <c r="B79" s="11" t="s">
        <v>336</v>
      </c>
      <c r="C79" s="11" t="s">
        <v>331</v>
      </c>
      <c r="D79" s="9" t="s">
        <v>60</v>
      </c>
      <c r="E79" s="9" t="s">
        <v>65</v>
      </c>
      <c r="F79" s="9" t="s">
        <v>151</v>
      </c>
      <c r="G79" s="11">
        <v>122</v>
      </c>
      <c r="H79" s="11" t="s">
        <v>40</v>
      </c>
      <c r="I79" s="13">
        <v>1</v>
      </c>
      <c r="J79" s="16">
        <v>10000.0</v>
      </c>
      <c r="K79" s="16">
        <f>I79*J79</f>
        <v>10000</v>
      </c>
      <c r="L79" s="9" t="s">
        <v>146</v>
      </c>
    </row>
    <row r="80" spans="1:12">
      <c r="A80" s="10">
        <v>46</v>
      </c>
      <c r="B80" s="10" t="s">
        <v>340</v>
      </c>
      <c r="C80" s="10" t="s">
        <v>331</v>
      </c>
      <c r="D80" s="8" t="s">
        <v>60</v>
      </c>
      <c r="E80" s="8" t="s">
        <v>65</v>
      </c>
      <c r="F80" s="8" t="s">
        <v>151</v>
      </c>
      <c r="G80" s="10">
        <v>128</v>
      </c>
      <c r="H80" s="10" t="s">
        <v>40</v>
      </c>
      <c r="I80" s="12">
        <v>1</v>
      </c>
      <c r="J80" s="15">
        <v>10000.0</v>
      </c>
      <c r="K80" s="15">
        <f>I80*J80</f>
        <v>10000</v>
      </c>
      <c r="L80" s="8" t="s">
        <v>146</v>
      </c>
    </row>
    <row r="81" spans="1:12">
      <c r="A81" s="11">
        <v>47</v>
      </c>
      <c r="B81" s="11" t="s">
        <v>341</v>
      </c>
      <c r="C81" s="11" t="s">
        <v>331</v>
      </c>
      <c r="D81" s="9" t="s">
        <v>60</v>
      </c>
      <c r="E81" s="9" t="s">
        <v>65</v>
      </c>
      <c r="F81" s="9" t="s">
        <v>151</v>
      </c>
      <c r="G81" s="11">
        <v>152</v>
      </c>
      <c r="H81" s="11" t="s">
        <v>40</v>
      </c>
      <c r="I81" s="13">
        <v>1</v>
      </c>
      <c r="J81" s="16">
        <v>12000.0</v>
      </c>
      <c r="K81" s="16">
        <f>I81*J81</f>
        <v>12000</v>
      </c>
      <c r="L81" s="9" t="s">
        <v>146</v>
      </c>
    </row>
    <row r="82" spans="1:12">
      <c r="A82" s="10">
        <v>48</v>
      </c>
      <c r="B82" s="10" t="s">
        <v>345</v>
      </c>
      <c r="C82" s="10" t="s">
        <v>331</v>
      </c>
      <c r="D82" s="8" t="s">
        <v>60</v>
      </c>
      <c r="E82" s="8" t="s">
        <v>71</v>
      </c>
      <c r="F82" s="8" t="s">
        <v>71</v>
      </c>
      <c r="G82" s="10">
        <v>164</v>
      </c>
      <c r="H82" s="10" t="s">
        <v>40</v>
      </c>
      <c r="I82" s="12">
        <v>1</v>
      </c>
      <c r="J82" s="15">
        <v>18000.0</v>
      </c>
      <c r="K82" s="15">
        <f>I82*J82</f>
        <v>18000</v>
      </c>
      <c r="L82" s="8" t="s">
        <v>146</v>
      </c>
    </row>
    <row r="83" spans="1:12">
      <c r="A83" s="11">
        <v>49</v>
      </c>
      <c r="B83" s="11" t="s">
        <v>446</v>
      </c>
      <c r="C83" s="11" t="s">
        <v>443</v>
      </c>
      <c r="D83" s="9" t="s">
        <v>41</v>
      </c>
      <c r="E83" s="9" t="s">
        <v>434</v>
      </c>
      <c r="F83" s="9" t="s">
        <v>447</v>
      </c>
      <c r="G83" s="11">
        <v>140</v>
      </c>
      <c r="H83" s="11" t="s">
        <v>40</v>
      </c>
      <c r="I83" s="13">
        <v>1</v>
      </c>
      <c r="J83" s="16">
        <v>15000.0</v>
      </c>
      <c r="K83" s="16">
        <f>I83*J83</f>
        <v>15000</v>
      </c>
      <c r="L83" s="9" t="s">
        <v>449</v>
      </c>
    </row>
    <row r="84" spans="1:12">
      <c r="A84" s="10">
        <v>50</v>
      </c>
      <c r="B84" s="10" t="s">
        <v>462</v>
      </c>
      <c r="C84" s="10" t="s">
        <v>460</v>
      </c>
      <c r="D84" s="8" t="s">
        <v>41</v>
      </c>
      <c r="E84" s="8" t="s">
        <v>65</v>
      </c>
      <c r="F84" s="8" t="s">
        <v>151</v>
      </c>
      <c r="G84" s="10">
        <v>134</v>
      </c>
      <c r="H84" s="10" t="s">
        <v>40</v>
      </c>
      <c r="I84" s="12">
        <v>1</v>
      </c>
      <c r="J84" s="15">
        <v>10000.0</v>
      </c>
      <c r="K84" s="15">
        <f>I84*J84</f>
        <v>10000</v>
      </c>
      <c r="L84" s="8" t="s">
        <v>146</v>
      </c>
    </row>
    <row r="85" spans="1:12">
      <c r="A85" s="7" t="s">
        <v>1909</v>
      </c>
      <c r="B85" s="7"/>
      <c r="C85" s="7"/>
      <c r="D85" s="7"/>
      <c r="E85" s="7"/>
      <c r="F85" s="7"/>
      <c r="G85" s="7"/>
      <c r="H85" s="7"/>
      <c r="I85" s="14">
        <f>SUBTOTAL(109, I35:I84)</f>
        <v>55</v>
      </c>
      <c r="J85" s="20" t="s">
        <v>44</v>
      </c>
      <c r="K85" s="20">
        <f>SUBTOTAL(109, K35:K84)</f>
        <v>654800</v>
      </c>
      <c r="L85" s="7" t="str">
        <f>SUBTOTAL(103, A35:A84) &amp; " поз."</f>
        <v>50 поз.</v>
      </c>
    </row>
  </sheetData>
  <autoFilter ref="A34:L84"/>
  <mergeCells>
    <mergeCell ref="A30:E30"/>
    <mergeCell ref="A85:H8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R189"/>
  <sheetViews>
    <sheetView tabSelected="0" workbookViewId="0" showGridLines="true" showRowColHeaders="1">
      <pane ySplit="7" activePane="bottomLeft" state="frozen" topLeftCell="A8"/>
      <selection pane="bottomLeft" activeCell="Q8" sqref="Q8:R189"/>
    </sheetView>
  </sheetViews>
  <sheetFormatPr defaultRowHeight="14.4" outlineLevelRow="0" outlineLevelCol="0"/>
  <cols>
    <col min="1" max="1" width="203.472" bestFit="true" customWidth="true" style="0"/>
    <col min="2" max="2" width="18.997" bestFit="true" customWidth="true" style="0"/>
    <col min="3" max="3" width="17.664" bestFit="true" customWidth="true" style="0"/>
    <col min="4" max="4" width="27.996" bestFit="true" customWidth="true" style="0"/>
    <col min="5" max="5" width="31.162" bestFit="true" customWidth="true" style="0"/>
    <col min="6" max="6" width="10.832" bestFit="true" customWidth="true" style="0"/>
    <col min="7" max="7" width="25.663" bestFit="true" customWidth="true" style="0"/>
    <col min="8" max="8" width="24.497" bestFit="true" customWidth="true" style="0"/>
    <col min="9" max="9" width="24.497" bestFit="true" customWidth="true" style="0"/>
    <col min="10" max="10" width="26.663" bestFit="true" customWidth="true" style="0"/>
    <col min="11" max="11" width="23.497" bestFit="true" customWidth="true" style="0"/>
    <col min="12" max="12" width="15.498" bestFit="true" customWidth="true" style="0"/>
    <col min="13" max="13" width="31.162" bestFit="true" customWidth="true" style="0"/>
    <col min="14" max="14" width="28.996" bestFit="true" customWidth="true" style="0"/>
    <col min="15" max="15" width="25.663" bestFit="true" customWidth="true" style="0"/>
    <col min="16" max="16" width="26.663" bestFit="true" customWidth="true" style="0"/>
    <col min="17" max="17" width="24.497" bestFit="true" customWidth="true" style="0"/>
    <col min="18" max="18" width="30.163" bestFit="true" customWidth="true" style="0"/>
  </cols>
  <sheetData>
    <row r="2" spans="1:18">
      <c r="A2" s="1" t="s">
        <v>1910</v>
      </c>
    </row>
    <row r="3" spans="1:18">
      <c r="A3" s="2" t="s">
        <v>1911</v>
      </c>
    </row>
    <row r="5" spans="1:18" customHeight="1" ht="24">
      <c r="A5" s="4" t="s">
        <v>1920</v>
      </c>
      <c r="B5" s="5"/>
      <c r="C5" s="5"/>
      <c r="D5" s="5"/>
      <c r="E5" s="5"/>
      <c r="F5" s="5"/>
      <c r="G5" s="5">
        <f>SUBTOTAL(109, G8:G188)</f>
        <v>1922</v>
      </c>
      <c r="H5" s="5">
        <f>SUBTOTAL(109, H8:H188)</f>
        <v>1676</v>
      </c>
      <c r="I5" s="5">
        <f>SUBTOTAL(109, I8:I188)</f>
        <v>246</v>
      </c>
      <c r="J5" s="5">
        <f>SUBTOTAL(109, J8:J188)</f>
        <v>55</v>
      </c>
      <c r="K5" s="5">
        <f>SUBTOTAL(109, K8:K188)</f>
        <v>19179900</v>
      </c>
      <c r="L5" s="5">
        <f>SUBTOTAL(109, L8:L188)</f>
        <v>17700</v>
      </c>
      <c r="M5" s="5">
        <f>SUBTOTAL(109, M8:M188)</f>
        <v>19162200</v>
      </c>
      <c r="N5" s="5">
        <f>SUBTOTAL(109, N8:N188)</f>
        <v>0</v>
      </c>
      <c r="O5" s="5">
        <f>SUBTOTAL(109, O8:O188)</f>
        <v>19162200</v>
      </c>
      <c r="P5" s="5">
        <f>IF(G5&gt;0, M5/G5, 0)</f>
        <v>9969.92715920915725</v>
      </c>
      <c r="Q5" s="5">
        <f>IF(M5&gt;0, O5/M5, 0)</f>
        <v>1</v>
      </c>
      <c r="R5" s="6" t="s">
        <v>1921</v>
      </c>
    </row>
    <row r="7" spans="1:18" customHeight="1" ht="28">
      <c r="A7" s="3" t="s">
        <v>2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13</v>
      </c>
      <c r="G7" s="3" t="s">
        <v>1912</v>
      </c>
      <c r="H7" s="3" t="s">
        <v>1913</v>
      </c>
      <c r="I7" s="3" t="s">
        <v>1914</v>
      </c>
      <c r="J7" s="3" t="s">
        <v>1915</v>
      </c>
      <c r="K7" s="3" t="s">
        <v>19</v>
      </c>
      <c r="L7" s="3" t="s">
        <v>1916</v>
      </c>
      <c r="M7" s="3" t="s">
        <v>1917</v>
      </c>
      <c r="N7" s="3" t="s">
        <v>23</v>
      </c>
      <c r="O7" s="3" t="s">
        <v>24</v>
      </c>
      <c r="P7" s="3" t="s">
        <v>1918</v>
      </c>
      <c r="Q7" s="3" t="s">
        <v>25</v>
      </c>
      <c r="R7" s="3" t="s">
        <v>1919</v>
      </c>
    </row>
    <row r="8" spans="1:18">
      <c r="A8" s="10">
        <v>1</v>
      </c>
      <c r="B8" s="8" t="s">
        <v>135</v>
      </c>
      <c r="C8" s="8" t="s">
        <v>47</v>
      </c>
      <c r="D8" s="8" t="s">
        <v>47</v>
      </c>
      <c r="E8" s="10">
        <v>128</v>
      </c>
      <c r="F8" s="10" t="s">
        <v>40</v>
      </c>
      <c r="G8" s="12">
        <v>1</v>
      </c>
      <c r="H8" s="12">
        <v>1</v>
      </c>
      <c r="I8" s="12"/>
      <c r="J8" s="12"/>
      <c r="K8" s="15">
        <v>18000.0</v>
      </c>
      <c r="L8" s="15"/>
      <c r="M8" s="15">
        <f>K8-L8</f>
        <v>18000</v>
      </c>
      <c r="N8" s="15"/>
      <c r="O8" s="15">
        <f>M8-N8</f>
        <v>18000</v>
      </c>
      <c r="P8" s="15">
        <f>IF(G8&gt;0, M8/G8, 0)</f>
        <v>18000</v>
      </c>
      <c r="Q8" s="17">
        <f>IF(M8&gt;0, O8/M8, 0)</f>
        <v>1</v>
      </c>
      <c r="R8" s="17">
        <v>0.0068936463559419</v>
      </c>
    </row>
    <row r="9" spans="1:18">
      <c r="A9" s="11">
        <v>2</v>
      </c>
      <c r="B9" s="9" t="s">
        <v>135</v>
      </c>
      <c r="C9" s="9" t="s">
        <v>58</v>
      </c>
      <c r="D9" s="9" t="s">
        <v>1742</v>
      </c>
      <c r="E9" s="11">
        <v>134</v>
      </c>
      <c r="F9" s="11" t="s">
        <v>44</v>
      </c>
      <c r="G9" s="13">
        <v>1</v>
      </c>
      <c r="H9" s="13"/>
      <c r="I9" s="13">
        <v>1</v>
      </c>
      <c r="J9" s="13"/>
      <c r="K9" s="16">
        <v>9000.0</v>
      </c>
      <c r="L9" s="16"/>
      <c r="M9" s="16">
        <f>K9-L9</f>
        <v>9000</v>
      </c>
      <c r="N9" s="16"/>
      <c r="O9" s="16">
        <f>M9-N9</f>
        <v>9000</v>
      </c>
      <c r="P9" s="16">
        <f>IF(G9&gt;0, M9/G9, 0)</f>
        <v>9000</v>
      </c>
      <c r="Q9" s="18">
        <f>IF(M9&gt;0, O9/M9, 0)</f>
        <v>1</v>
      </c>
      <c r="R9" s="18">
        <v>0.0074214562546384</v>
      </c>
    </row>
    <row r="10" spans="1:18">
      <c r="A10" s="10">
        <v>3</v>
      </c>
      <c r="B10" s="8" t="s">
        <v>52</v>
      </c>
      <c r="C10" s="8" t="s">
        <v>71</v>
      </c>
      <c r="D10" s="8" t="s">
        <v>71</v>
      </c>
      <c r="E10" s="10">
        <v>110</v>
      </c>
      <c r="F10" s="10" t="s">
        <v>40</v>
      </c>
      <c r="G10" s="12">
        <v>1</v>
      </c>
      <c r="H10" s="12">
        <v>1</v>
      </c>
      <c r="I10" s="12"/>
      <c r="J10" s="12"/>
      <c r="K10" s="15">
        <v>16000.0</v>
      </c>
      <c r="L10" s="15"/>
      <c r="M10" s="15">
        <f>K10-L10</f>
        <v>16000</v>
      </c>
      <c r="N10" s="15"/>
      <c r="O10" s="15">
        <f>M10-N10</f>
        <v>16000</v>
      </c>
      <c r="P10" s="15">
        <f>IF(G10&gt;0, M10/G10, 0)</f>
        <v>16000</v>
      </c>
      <c r="Q10" s="17">
        <f>IF(M10&gt;0, O10/M10, 0)</f>
        <v>1</v>
      </c>
      <c r="R10" s="17">
        <v>0.0040701076034698</v>
      </c>
    </row>
    <row r="11" spans="1:18">
      <c r="A11" s="11">
        <v>4</v>
      </c>
      <c r="B11" s="9" t="s">
        <v>52</v>
      </c>
      <c r="C11" s="9" t="s">
        <v>71</v>
      </c>
      <c r="D11" s="9" t="s">
        <v>71</v>
      </c>
      <c r="E11" s="11">
        <v>116</v>
      </c>
      <c r="F11" s="11" t="s">
        <v>40</v>
      </c>
      <c r="G11" s="13">
        <v>8</v>
      </c>
      <c r="H11" s="13">
        <v>8</v>
      </c>
      <c r="I11" s="13"/>
      <c r="J11" s="13"/>
      <c r="K11" s="16">
        <v>129000.0</v>
      </c>
      <c r="L11" s="16"/>
      <c r="M11" s="16">
        <f>K11-L11</f>
        <v>129000</v>
      </c>
      <c r="N11" s="16"/>
      <c r="O11" s="16">
        <f>M11-N11</f>
        <v>129000</v>
      </c>
      <c r="P11" s="16">
        <f>IF(G11&gt;0, M11/G11, 0)</f>
        <v>16125</v>
      </c>
      <c r="Q11" s="18">
        <f>IF(M11&gt;0, O11/M11, 0)</f>
        <v>1</v>
      </c>
      <c r="R11" s="18">
        <v>0.032815242552975</v>
      </c>
    </row>
    <row r="12" spans="1:18">
      <c r="A12" s="10">
        <v>5</v>
      </c>
      <c r="B12" s="8" t="s">
        <v>52</v>
      </c>
      <c r="C12" s="8" t="s">
        <v>71</v>
      </c>
      <c r="D12" s="8" t="s">
        <v>71</v>
      </c>
      <c r="E12" s="10">
        <v>122</v>
      </c>
      <c r="F12" s="10" t="s">
        <v>40</v>
      </c>
      <c r="G12" s="12">
        <v>5</v>
      </c>
      <c r="H12" s="12">
        <v>4</v>
      </c>
      <c r="I12" s="12">
        <v>1</v>
      </c>
      <c r="J12" s="12"/>
      <c r="K12" s="15">
        <v>83000.0</v>
      </c>
      <c r="L12" s="15"/>
      <c r="M12" s="15">
        <f>K12-L12</f>
        <v>83000</v>
      </c>
      <c r="N12" s="15"/>
      <c r="O12" s="15">
        <f>M12-N12</f>
        <v>83000</v>
      </c>
      <c r="P12" s="15">
        <f>IF(G12&gt;0, M12/G12, 0)</f>
        <v>16600</v>
      </c>
      <c r="Q12" s="17">
        <f>IF(M12&gt;0, O12/M12, 0)</f>
        <v>1</v>
      </c>
      <c r="R12" s="17">
        <v>0.021113683192999</v>
      </c>
    </row>
    <row r="13" spans="1:18">
      <c r="A13" s="11">
        <v>6</v>
      </c>
      <c r="B13" s="9" t="s">
        <v>52</v>
      </c>
      <c r="C13" s="9" t="s">
        <v>71</v>
      </c>
      <c r="D13" s="9" t="s">
        <v>71</v>
      </c>
      <c r="E13" s="11">
        <v>128</v>
      </c>
      <c r="F13" s="11" t="s">
        <v>40</v>
      </c>
      <c r="G13" s="13">
        <v>20</v>
      </c>
      <c r="H13" s="13">
        <v>17</v>
      </c>
      <c r="I13" s="13">
        <v>3</v>
      </c>
      <c r="J13" s="13"/>
      <c r="K13" s="16">
        <v>329500.0</v>
      </c>
      <c r="L13" s="16"/>
      <c r="M13" s="16">
        <f>K13-L13</f>
        <v>329500</v>
      </c>
      <c r="N13" s="16"/>
      <c r="O13" s="16">
        <f>M13-N13</f>
        <v>329500</v>
      </c>
      <c r="P13" s="16">
        <f>IF(G13&gt;0, M13/G13, 0)</f>
        <v>16475</v>
      </c>
      <c r="Q13" s="18">
        <f>IF(M13&gt;0, O13/M13, 0)</f>
        <v>1</v>
      </c>
      <c r="R13" s="18">
        <v>0.083818778458956</v>
      </c>
    </row>
    <row r="14" spans="1:18">
      <c r="A14" s="10">
        <v>7</v>
      </c>
      <c r="B14" s="8" t="s">
        <v>52</v>
      </c>
      <c r="C14" s="8" t="s">
        <v>71</v>
      </c>
      <c r="D14" s="8" t="s">
        <v>71</v>
      </c>
      <c r="E14" s="10">
        <v>134</v>
      </c>
      <c r="F14" s="10" t="s">
        <v>40</v>
      </c>
      <c r="G14" s="12">
        <v>21</v>
      </c>
      <c r="H14" s="12">
        <v>21</v>
      </c>
      <c r="I14" s="12"/>
      <c r="J14" s="12"/>
      <c r="K14" s="15">
        <v>347000.0</v>
      </c>
      <c r="L14" s="15"/>
      <c r="M14" s="15">
        <f>K14-L14</f>
        <v>347000</v>
      </c>
      <c r="N14" s="15"/>
      <c r="O14" s="15">
        <f>M14-N14</f>
        <v>347000</v>
      </c>
      <c r="P14" s="15">
        <f>IF(G14&gt;0, M14/G14, 0)</f>
        <v>16523.80952380952294</v>
      </c>
      <c r="Q14" s="17">
        <f>IF(M14&gt;0, O14/M14, 0)</f>
        <v>1</v>
      </c>
      <c r="R14" s="17">
        <v>0.088270458650251</v>
      </c>
    </row>
    <row r="15" spans="1:18">
      <c r="A15" s="11">
        <v>8</v>
      </c>
      <c r="B15" s="9" t="s">
        <v>52</v>
      </c>
      <c r="C15" s="9" t="s">
        <v>71</v>
      </c>
      <c r="D15" s="9" t="s">
        <v>71</v>
      </c>
      <c r="E15" s="11">
        <v>140</v>
      </c>
      <c r="F15" s="11" t="s">
        <v>40</v>
      </c>
      <c r="G15" s="13">
        <v>26</v>
      </c>
      <c r="H15" s="13">
        <v>26</v>
      </c>
      <c r="I15" s="13"/>
      <c r="J15" s="13"/>
      <c r="K15" s="16">
        <v>420000.0</v>
      </c>
      <c r="L15" s="16"/>
      <c r="M15" s="16">
        <f>K15-L15</f>
        <v>420000</v>
      </c>
      <c r="N15" s="16"/>
      <c r="O15" s="16">
        <f>M15-N15</f>
        <v>420000</v>
      </c>
      <c r="P15" s="16">
        <f>IF(G15&gt;0, M15/G15, 0)</f>
        <v>16153.84615384615427</v>
      </c>
      <c r="Q15" s="18">
        <f>IF(M15&gt;0, O15/M15, 0)</f>
        <v>1</v>
      </c>
      <c r="R15" s="18">
        <v>0.10684032459108</v>
      </c>
    </row>
    <row r="16" spans="1:18">
      <c r="A16" s="10">
        <v>9</v>
      </c>
      <c r="B16" s="8" t="s">
        <v>52</v>
      </c>
      <c r="C16" s="8" t="s">
        <v>71</v>
      </c>
      <c r="D16" s="8" t="s">
        <v>71</v>
      </c>
      <c r="E16" s="10">
        <v>146</v>
      </c>
      <c r="F16" s="10" t="s">
        <v>40</v>
      </c>
      <c r="G16" s="12">
        <v>23</v>
      </c>
      <c r="H16" s="12">
        <v>22</v>
      </c>
      <c r="I16" s="12">
        <v>1</v>
      </c>
      <c r="J16" s="12"/>
      <c r="K16" s="15">
        <v>381500.0</v>
      </c>
      <c r="L16" s="15"/>
      <c r="M16" s="15">
        <f>K16-L16</f>
        <v>381500</v>
      </c>
      <c r="N16" s="15"/>
      <c r="O16" s="15">
        <f>M16-N16</f>
        <v>381500</v>
      </c>
      <c r="P16" s="15">
        <f>IF(G16&gt;0, M16/G16, 0)</f>
        <v>16586.95652173913186</v>
      </c>
      <c r="Q16" s="17">
        <f>IF(M16&gt;0, O16/M16, 0)</f>
        <v>1</v>
      </c>
      <c r="R16" s="17">
        <v>0.097046628170232</v>
      </c>
    </row>
    <row r="17" spans="1:18">
      <c r="A17" s="11">
        <v>10</v>
      </c>
      <c r="B17" s="9" t="s">
        <v>52</v>
      </c>
      <c r="C17" s="9" t="s">
        <v>71</v>
      </c>
      <c r="D17" s="9" t="s">
        <v>71</v>
      </c>
      <c r="E17" s="11">
        <v>152</v>
      </c>
      <c r="F17" s="11" t="s">
        <v>40</v>
      </c>
      <c r="G17" s="13">
        <v>23</v>
      </c>
      <c r="H17" s="13">
        <v>23</v>
      </c>
      <c r="I17" s="13"/>
      <c r="J17" s="13"/>
      <c r="K17" s="16">
        <v>372500.0</v>
      </c>
      <c r="L17" s="16"/>
      <c r="M17" s="16">
        <f>K17-L17</f>
        <v>372500</v>
      </c>
      <c r="N17" s="16"/>
      <c r="O17" s="16">
        <f>M17-N17</f>
        <v>372500</v>
      </c>
      <c r="P17" s="16">
        <f>IF(G17&gt;0, M17/G17, 0)</f>
        <v>16195.65217391304395</v>
      </c>
      <c r="Q17" s="18">
        <f>IF(M17&gt;0, O17/M17, 0)</f>
        <v>1</v>
      </c>
      <c r="R17" s="18">
        <v>0.094757192643281</v>
      </c>
    </row>
    <row r="18" spans="1:18">
      <c r="A18" s="10">
        <v>11</v>
      </c>
      <c r="B18" s="8" t="s">
        <v>52</v>
      </c>
      <c r="C18" s="8" t="s">
        <v>71</v>
      </c>
      <c r="D18" s="8" t="s">
        <v>71</v>
      </c>
      <c r="E18" s="10">
        <v>158</v>
      </c>
      <c r="F18" s="10" t="s">
        <v>40</v>
      </c>
      <c r="G18" s="12">
        <v>4</v>
      </c>
      <c r="H18" s="12">
        <v>1</v>
      </c>
      <c r="I18" s="12">
        <v>3</v>
      </c>
      <c r="J18" s="12"/>
      <c r="K18" s="15">
        <v>68500.0</v>
      </c>
      <c r="L18" s="15"/>
      <c r="M18" s="15">
        <f>K18-L18</f>
        <v>68500</v>
      </c>
      <c r="N18" s="15"/>
      <c r="O18" s="15">
        <f>M18-N18</f>
        <v>68500</v>
      </c>
      <c r="P18" s="15">
        <f>IF(G18&gt;0, M18/G18, 0)</f>
        <v>17125</v>
      </c>
      <c r="Q18" s="17">
        <f>IF(M18&gt;0, O18/M18, 0)</f>
        <v>1</v>
      </c>
      <c r="R18" s="17">
        <v>0.017425148177355</v>
      </c>
    </row>
    <row r="19" spans="1:18">
      <c r="A19" s="11">
        <v>12</v>
      </c>
      <c r="B19" s="9" t="s">
        <v>52</v>
      </c>
      <c r="C19" s="9" t="s">
        <v>71</v>
      </c>
      <c r="D19" s="9" t="s">
        <v>71</v>
      </c>
      <c r="E19" s="11">
        <v>164</v>
      </c>
      <c r="F19" s="11" t="s">
        <v>40</v>
      </c>
      <c r="G19" s="13">
        <v>1</v>
      </c>
      <c r="H19" s="13">
        <v>1</v>
      </c>
      <c r="I19" s="13"/>
      <c r="J19" s="13"/>
      <c r="K19" s="16">
        <v>17000.0</v>
      </c>
      <c r="L19" s="16"/>
      <c r="M19" s="16">
        <f>K19-L19</f>
        <v>17000</v>
      </c>
      <c r="N19" s="16"/>
      <c r="O19" s="16">
        <f>M19-N19</f>
        <v>17000</v>
      </c>
      <c r="P19" s="16">
        <f>IF(G19&gt;0, M19/G19, 0)</f>
        <v>17000</v>
      </c>
      <c r="Q19" s="18">
        <f>IF(M19&gt;0, O19/M19, 0)</f>
        <v>1</v>
      </c>
      <c r="R19" s="18">
        <v>0.0043244893286866</v>
      </c>
    </row>
    <row r="20" spans="1:18">
      <c r="A20" s="10">
        <v>13</v>
      </c>
      <c r="B20" s="8" t="s">
        <v>52</v>
      </c>
      <c r="C20" s="8" t="s">
        <v>71</v>
      </c>
      <c r="D20" s="8" t="s">
        <v>71</v>
      </c>
      <c r="E20" s="10">
        <v>170</v>
      </c>
      <c r="F20" s="10" t="s">
        <v>40</v>
      </c>
      <c r="G20" s="12">
        <v>2</v>
      </c>
      <c r="H20" s="12">
        <v>1</v>
      </c>
      <c r="I20" s="12">
        <v>1</v>
      </c>
      <c r="J20" s="12"/>
      <c r="K20" s="15">
        <v>34000.0</v>
      </c>
      <c r="L20" s="15">
        <v>2400.0</v>
      </c>
      <c r="M20" s="15">
        <f>K20-L20</f>
        <v>31600</v>
      </c>
      <c r="N20" s="15"/>
      <c r="O20" s="15">
        <f>M20-N20</f>
        <v>31600</v>
      </c>
      <c r="P20" s="15">
        <f>IF(G20&gt;0, M20/G20, 0)</f>
        <v>15800</v>
      </c>
      <c r="Q20" s="17">
        <f>IF(M20&gt;0, O20/M20, 0)</f>
        <v>1</v>
      </c>
      <c r="R20" s="17">
        <v>0.0080384625168528</v>
      </c>
    </row>
    <row r="21" spans="1:18">
      <c r="A21" s="11">
        <v>14</v>
      </c>
      <c r="B21" s="9" t="s">
        <v>52</v>
      </c>
      <c r="C21" s="9" t="s">
        <v>71</v>
      </c>
      <c r="D21" s="9" t="s">
        <v>1436</v>
      </c>
      <c r="E21" s="11">
        <v>110</v>
      </c>
      <c r="F21" s="11" t="s">
        <v>40</v>
      </c>
      <c r="G21" s="13">
        <v>1</v>
      </c>
      <c r="H21" s="13">
        <v>1</v>
      </c>
      <c r="I21" s="13"/>
      <c r="J21" s="13"/>
      <c r="K21" s="16">
        <v>7000.0</v>
      </c>
      <c r="L21" s="16"/>
      <c r="M21" s="16">
        <f>K21-L21</f>
        <v>7000</v>
      </c>
      <c r="N21" s="16"/>
      <c r="O21" s="16">
        <f>M21-N21</f>
        <v>7000</v>
      </c>
      <c r="P21" s="16">
        <f>IF(G21&gt;0, M21/G21, 0)</f>
        <v>7000</v>
      </c>
      <c r="Q21" s="18">
        <f>IF(M21&gt;0, O21/M21, 0)</f>
        <v>1</v>
      </c>
      <c r="R21" s="18">
        <v>0.001780672076518</v>
      </c>
    </row>
    <row r="22" spans="1:18">
      <c r="A22" s="10">
        <v>15</v>
      </c>
      <c r="B22" s="8" t="s">
        <v>52</v>
      </c>
      <c r="C22" s="8" t="s">
        <v>71</v>
      </c>
      <c r="D22" s="8" t="s">
        <v>1436</v>
      </c>
      <c r="E22" s="10">
        <v>134</v>
      </c>
      <c r="F22" s="10" t="s">
        <v>40</v>
      </c>
      <c r="G22" s="12">
        <v>1</v>
      </c>
      <c r="H22" s="12"/>
      <c r="I22" s="12">
        <v>1</v>
      </c>
      <c r="J22" s="12"/>
      <c r="K22" s="15">
        <v>8000.0</v>
      </c>
      <c r="L22" s="15"/>
      <c r="M22" s="15">
        <f>K22-L22</f>
        <v>8000</v>
      </c>
      <c r="N22" s="15"/>
      <c r="O22" s="15">
        <f>M22-N22</f>
        <v>8000</v>
      </c>
      <c r="P22" s="15">
        <f>IF(G22&gt;0, M22/G22, 0)</f>
        <v>8000</v>
      </c>
      <c r="Q22" s="17">
        <f>IF(M22&gt;0, O22/M22, 0)</f>
        <v>1</v>
      </c>
      <c r="R22" s="17">
        <v>0.0020350538017349</v>
      </c>
    </row>
    <row r="23" spans="1:18">
      <c r="A23" s="11">
        <v>16</v>
      </c>
      <c r="B23" s="9" t="s">
        <v>52</v>
      </c>
      <c r="C23" s="9" t="s">
        <v>65</v>
      </c>
      <c r="D23" s="9" t="s">
        <v>240</v>
      </c>
      <c r="E23" s="11">
        <v>146</v>
      </c>
      <c r="F23" s="11" t="s">
        <v>40</v>
      </c>
      <c r="G23" s="13">
        <v>1</v>
      </c>
      <c r="H23" s="13">
        <v>1</v>
      </c>
      <c r="I23" s="13"/>
      <c r="J23" s="13">
        <v>1</v>
      </c>
      <c r="K23" s="16">
        <v>12000.0</v>
      </c>
      <c r="L23" s="16"/>
      <c r="M23" s="16">
        <f>K23-L23</f>
        <v>12000</v>
      </c>
      <c r="N23" s="16"/>
      <c r="O23" s="16">
        <f>M23-N23</f>
        <v>12000</v>
      </c>
      <c r="P23" s="16">
        <f>IF(G23&gt;0, M23/G23, 0)</f>
        <v>12000</v>
      </c>
      <c r="Q23" s="18">
        <f>IF(M23&gt;0, O23/M23, 0)</f>
        <v>1</v>
      </c>
      <c r="R23" s="18">
        <v>0.0059294396679514</v>
      </c>
    </row>
    <row r="24" spans="1:18">
      <c r="A24" s="10">
        <v>17</v>
      </c>
      <c r="B24" s="8" t="s">
        <v>52</v>
      </c>
      <c r="C24" s="8" t="s">
        <v>65</v>
      </c>
      <c r="D24" s="8" t="s">
        <v>66</v>
      </c>
      <c r="E24" s="10">
        <v>116</v>
      </c>
      <c r="F24" s="10" t="s">
        <v>40</v>
      </c>
      <c r="G24" s="12">
        <v>1</v>
      </c>
      <c r="H24" s="12">
        <v>1</v>
      </c>
      <c r="I24" s="12"/>
      <c r="J24" s="12"/>
      <c r="K24" s="15">
        <v>9000.0</v>
      </c>
      <c r="L24" s="15"/>
      <c r="M24" s="15">
        <f>K24-L24</f>
        <v>9000</v>
      </c>
      <c r="N24" s="15"/>
      <c r="O24" s="15">
        <f>M24-N24</f>
        <v>9000</v>
      </c>
      <c r="P24" s="15">
        <f>IF(G24&gt;0, M24/G24, 0)</f>
        <v>9000</v>
      </c>
      <c r="Q24" s="17">
        <f>IF(M24&gt;0, O24/M24, 0)</f>
        <v>1</v>
      </c>
      <c r="R24" s="17">
        <v>0.0044470797509635</v>
      </c>
    </row>
    <row r="25" spans="1:18">
      <c r="A25" s="11">
        <v>18</v>
      </c>
      <c r="B25" s="9" t="s">
        <v>52</v>
      </c>
      <c r="C25" s="9" t="s">
        <v>65</v>
      </c>
      <c r="D25" s="9" t="s">
        <v>66</v>
      </c>
      <c r="E25" s="11">
        <v>128</v>
      </c>
      <c r="F25" s="11" t="s">
        <v>40</v>
      </c>
      <c r="G25" s="13">
        <v>2</v>
      </c>
      <c r="H25" s="13"/>
      <c r="I25" s="13">
        <v>2</v>
      </c>
      <c r="J25" s="13"/>
      <c r="K25" s="16">
        <v>16000.0</v>
      </c>
      <c r="L25" s="16"/>
      <c r="M25" s="16">
        <f>K25-L25</f>
        <v>16000</v>
      </c>
      <c r="N25" s="16"/>
      <c r="O25" s="16">
        <f>M25-N25</f>
        <v>16000</v>
      </c>
      <c r="P25" s="16">
        <f>IF(G25&gt;0, M25/G25, 0)</f>
        <v>8000</v>
      </c>
      <c r="Q25" s="18">
        <f>IF(M25&gt;0, O25/M25, 0)</f>
        <v>1</v>
      </c>
      <c r="R25" s="18">
        <v>0.0079059195572685</v>
      </c>
    </row>
    <row r="26" spans="1:18">
      <c r="A26" s="10">
        <v>19</v>
      </c>
      <c r="B26" s="8" t="s">
        <v>52</v>
      </c>
      <c r="C26" s="8" t="s">
        <v>65</v>
      </c>
      <c r="D26" s="8" t="s">
        <v>151</v>
      </c>
      <c r="E26" s="10">
        <v>110</v>
      </c>
      <c r="F26" s="10" t="s">
        <v>40</v>
      </c>
      <c r="G26" s="12">
        <v>3</v>
      </c>
      <c r="H26" s="12">
        <v>3</v>
      </c>
      <c r="I26" s="12"/>
      <c r="J26" s="12"/>
      <c r="K26" s="15">
        <v>27000.0</v>
      </c>
      <c r="L26" s="15"/>
      <c r="M26" s="15">
        <f>K26-L26</f>
        <v>27000</v>
      </c>
      <c r="N26" s="15"/>
      <c r="O26" s="15">
        <f>M26-N26</f>
        <v>27000</v>
      </c>
      <c r="P26" s="15">
        <f>IF(G26&gt;0, M26/G26, 0)</f>
        <v>9000</v>
      </c>
      <c r="Q26" s="17">
        <f>IF(M26&gt;0, O26/M26, 0)</f>
        <v>1</v>
      </c>
      <c r="R26" s="17">
        <v>0.013341239252891</v>
      </c>
    </row>
    <row r="27" spans="1:18">
      <c r="A27" s="11">
        <v>20</v>
      </c>
      <c r="B27" s="9" t="s">
        <v>52</v>
      </c>
      <c r="C27" s="9" t="s">
        <v>65</v>
      </c>
      <c r="D27" s="9" t="s">
        <v>151</v>
      </c>
      <c r="E27" s="11">
        <v>116</v>
      </c>
      <c r="F27" s="11" t="s">
        <v>40</v>
      </c>
      <c r="G27" s="13">
        <v>4</v>
      </c>
      <c r="H27" s="13">
        <v>4</v>
      </c>
      <c r="I27" s="13"/>
      <c r="J27" s="13"/>
      <c r="K27" s="16">
        <v>36000.0</v>
      </c>
      <c r="L27" s="16"/>
      <c r="M27" s="16">
        <f>K27-L27</f>
        <v>36000</v>
      </c>
      <c r="N27" s="16"/>
      <c r="O27" s="16">
        <f>M27-N27</f>
        <v>36000</v>
      </c>
      <c r="P27" s="16">
        <f>IF(G27&gt;0, M27/G27, 0)</f>
        <v>9000</v>
      </c>
      <c r="Q27" s="18">
        <f>IF(M27&gt;0, O27/M27, 0)</f>
        <v>1</v>
      </c>
      <c r="R27" s="18">
        <v>0.017788319003854</v>
      </c>
    </row>
    <row r="28" spans="1:18">
      <c r="A28" s="10">
        <v>21</v>
      </c>
      <c r="B28" s="8" t="s">
        <v>52</v>
      </c>
      <c r="C28" s="8" t="s">
        <v>65</v>
      </c>
      <c r="D28" s="8" t="s">
        <v>151</v>
      </c>
      <c r="E28" s="10">
        <v>122</v>
      </c>
      <c r="F28" s="10" t="s">
        <v>40</v>
      </c>
      <c r="G28" s="12">
        <v>22</v>
      </c>
      <c r="H28" s="12">
        <v>20</v>
      </c>
      <c r="I28" s="12">
        <v>2</v>
      </c>
      <c r="J28" s="12">
        <v>3</v>
      </c>
      <c r="K28" s="15">
        <v>207000.0</v>
      </c>
      <c r="L28" s="15"/>
      <c r="M28" s="15">
        <f>K28-L28</f>
        <v>207000</v>
      </c>
      <c r="N28" s="15"/>
      <c r="O28" s="15">
        <f>M28-N28</f>
        <v>207000</v>
      </c>
      <c r="P28" s="15">
        <f>IF(G28&gt;0, M28/G28, 0)</f>
        <v>9409.090909090909918</v>
      </c>
      <c r="Q28" s="17">
        <f>IF(M28&gt;0, O28/M28, 0)</f>
        <v>1</v>
      </c>
      <c r="R28" s="17">
        <v>0.10228283427216</v>
      </c>
    </row>
    <row r="29" spans="1:18">
      <c r="A29" s="11">
        <v>22</v>
      </c>
      <c r="B29" s="9" t="s">
        <v>52</v>
      </c>
      <c r="C29" s="9" t="s">
        <v>65</v>
      </c>
      <c r="D29" s="9" t="s">
        <v>151</v>
      </c>
      <c r="E29" s="11">
        <v>128</v>
      </c>
      <c r="F29" s="11" t="s">
        <v>40</v>
      </c>
      <c r="G29" s="13">
        <v>10</v>
      </c>
      <c r="H29" s="13">
        <v>2</v>
      </c>
      <c r="I29" s="13">
        <v>8</v>
      </c>
      <c r="J29" s="13">
        <v>2</v>
      </c>
      <c r="K29" s="16">
        <v>102000.0</v>
      </c>
      <c r="L29" s="16"/>
      <c r="M29" s="16">
        <f>K29-L29</f>
        <v>102000</v>
      </c>
      <c r="N29" s="16"/>
      <c r="O29" s="16">
        <f>M29-N29</f>
        <v>102000</v>
      </c>
      <c r="P29" s="16">
        <f>IF(G29&gt;0, M29/G29, 0)</f>
        <v>10200</v>
      </c>
      <c r="Q29" s="18">
        <f>IF(M29&gt;0, O29/M29, 0)</f>
        <v>1</v>
      </c>
      <c r="R29" s="18">
        <v>0.050400237177587</v>
      </c>
    </row>
    <row r="30" spans="1:18">
      <c r="A30" s="10">
        <v>23</v>
      </c>
      <c r="B30" s="8" t="s">
        <v>52</v>
      </c>
      <c r="C30" s="8" t="s">
        <v>65</v>
      </c>
      <c r="D30" s="8" t="s">
        <v>151</v>
      </c>
      <c r="E30" s="10">
        <v>134</v>
      </c>
      <c r="F30" s="10" t="s">
        <v>40</v>
      </c>
      <c r="G30" s="12">
        <v>19</v>
      </c>
      <c r="H30" s="12">
        <v>6</v>
      </c>
      <c r="I30" s="12">
        <v>13</v>
      </c>
      <c r="J30" s="12">
        <v>4</v>
      </c>
      <c r="K30" s="15">
        <v>196000.0</v>
      </c>
      <c r="L30" s="15">
        <v>1200.0</v>
      </c>
      <c r="M30" s="15">
        <f>K30-L30</f>
        <v>194800</v>
      </c>
      <c r="N30" s="15"/>
      <c r="O30" s="15">
        <f>M30-N30</f>
        <v>194800</v>
      </c>
      <c r="P30" s="15">
        <f>IF(G30&gt;0, M30/G30, 0)</f>
        <v>10252.63157894736833</v>
      </c>
      <c r="Q30" s="17">
        <f>IF(M30&gt;0, O30/M30, 0)</f>
        <v>1</v>
      </c>
      <c r="R30" s="17">
        <v>0.096254570609744</v>
      </c>
    </row>
    <row r="31" spans="1:18">
      <c r="A31" s="11">
        <v>24</v>
      </c>
      <c r="B31" s="9" t="s">
        <v>52</v>
      </c>
      <c r="C31" s="9" t="s">
        <v>65</v>
      </c>
      <c r="D31" s="9" t="s">
        <v>151</v>
      </c>
      <c r="E31" s="11">
        <v>140</v>
      </c>
      <c r="F31" s="11" t="s">
        <v>40</v>
      </c>
      <c r="G31" s="13">
        <v>13</v>
      </c>
      <c r="H31" s="13">
        <v>5</v>
      </c>
      <c r="I31" s="13">
        <v>8</v>
      </c>
      <c r="J31" s="13">
        <v>4</v>
      </c>
      <c r="K31" s="16">
        <v>134000.0</v>
      </c>
      <c r="L31" s="16"/>
      <c r="M31" s="16">
        <f>K31-L31</f>
        <v>134000</v>
      </c>
      <c r="N31" s="16"/>
      <c r="O31" s="16">
        <f>M31-N31</f>
        <v>134000</v>
      </c>
      <c r="P31" s="16">
        <f>IF(G31&gt;0, M31/G31, 0)</f>
        <v>10307.69230769230853</v>
      </c>
      <c r="Q31" s="18">
        <f>IF(M31&gt;0, O31/M31, 0)</f>
        <v>1</v>
      </c>
      <c r="R31" s="18">
        <v>0.066212076292124</v>
      </c>
    </row>
    <row r="32" spans="1:18">
      <c r="A32" s="10">
        <v>25</v>
      </c>
      <c r="B32" s="8" t="s">
        <v>52</v>
      </c>
      <c r="C32" s="8" t="s">
        <v>65</v>
      </c>
      <c r="D32" s="8" t="s">
        <v>151</v>
      </c>
      <c r="E32" s="10">
        <v>146</v>
      </c>
      <c r="F32" s="10" t="s">
        <v>40</v>
      </c>
      <c r="G32" s="12">
        <v>17</v>
      </c>
      <c r="H32" s="12">
        <v>3</v>
      </c>
      <c r="I32" s="12">
        <v>14</v>
      </c>
      <c r="J32" s="12">
        <v>3</v>
      </c>
      <c r="K32" s="15">
        <v>178000.0</v>
      </c>
      <c r="L32" s="15"/>
      <c r="M32" s="15">
        <f>K32-L32</f>
        <v>178000</v>
      </c>
      <c r="N32" s="15"/>
      <c r="O32" s="15">
        <f>M32-N32</f>
        <v>178000</v>
      </c>
      <c r="P32" s="15">
        <f>IF(G32&gt;0, M32/G32, 0)</f>
        <v>10470.58823529411711</v>
      </c>
      <c r="Q32" s="17">
        <f>IF(M32&gt;0, O32/M32, 0)</f>
        <v>1</v>
      </c>
      <c r="R32" s="17">
        <v>0.087953355074612</v>
      </c>
    </row>
    <row r="33" spans="1:18">
      <c r="A33" s="11">
        <v>26</v>
      </c>
      <c r="B33" s="9" t="s">
        <v>52</v>
      </c>
      <c r="C33" s="9" t="s">
        <v>65</v>
      </c>
      <c r="D33" s="9" t="s">
        <v>151</v>
      </c>
      <c r="E33" s="11">
        <v>152</v>
      </c>
      <c r="F33" s="11" t="s">
        <v>40</v>
      </c>
      <c r="G33" s="13">
        <v>18</v>
      </c>
      <c r="H33" s="13">
        <v>14</v>
      </c>
      <c r="I33" s="13">
        <v>4</v>
      </c>
      <c r="J33" s="13">
        <v>2</v>
      </c>
      <c r="K33" s="16">
        <v>170500.0</v>
      </c>
      <c r="L33" s="16"/>
      <c r="M33" s="16">
        <f>K33-L33</f>
        <v>170500</v>
      </c>
      <c r="N33" s="16"/>
      <c r="O33" s="16">
        <f>M33-N33</f>
        <v>170500</v>
      </c>
      <c r="P33" s="16">
        <f>IF(G33&gt;0, M33/G33, 0)</f>
        <v>9472.22222222222263</v>
      </c>
      <c r="Q33" s="18">
        <f>IF(M33&gt;0, O33/M33, 0)</f>
        <v>1</v>
      </c>
      <c r="R33" s="18">
        <v>0.084247455282143</v>
      </c>
    </row>
    <row r="34" spans="1:18">
      <c r="A34" s="10">
        <v>27</v>
      </c>
      <c r="B34" s="8" t="s">
        <v>52</v>
      </c>
      <c r="C34" s="8" t="s">
        <v>65</v>
      </c>
      <c r="D34" s="8" t="s">
        <v>151</v>
      </c>
      <c r="E34" s="10">
        <v>158</v>
      </c>
      <c r="F34" s="10" t="s">
        <v>40</v>
      </c>
      <c r="G34" s="12">
        <v>6</v>
      </c>
      <c r="H34" s="12">
        <v>2</v>
      </c>
      <c r="I34" s="12">
        <v>4</v>
      </c>
      <c r="J34" s="12">
        <v>1</v>
      </c>
      <c r="K34" s="15">
        <v>62000.0</v>
      </c>
      <c r="L34" s="15"/>
      <c r="M34" s="15">
        <f>K34-L34</f>
        <v>62000</v>
      </c>
      <c r="N34" s="15"/>
      <c r="O34" s="15">
        <f>M34-N34</f>
        <v>62000</v>
      </c>
      <c r="P34" s="15">
        <f>IF(G34&gt;0, M34/G34, 0)</f>
        <v>10333.33333333333394</v>
      </c>
      <c r="Q34" s="17">
        <f>IF(M34&gt;0, O34/M34, 0)</f>
        <v>1</v>
      </c>
      <c r="R34" s="17">
        <v>0.030635438284415</v>
      </c>
    </row>
    <row r="35" spans="1:18">
      <c r="A35" s="11">
        <v>28</v>
      </c>
      <c r="B35" s="9" t="s">
        <v>52</v>
      </c>
      <c r="C35" s="9" t="s">
        <v>65</v>
      </c>
      <c r="D35" s="9" t="s">
        <v>151</v>
      </c>
      <c r="E35" s="11">
        <v>164</v>
      </c>
      <c r="F35" s="11" t="s">
        <v>40</v>
      </c>
      <c r="G35" s="13">
        <v>2</v>
      </c>
      <c r="H35" s="13">
        <v>2</v>
      </c>
      <c r="I35" s="13"/>
      <c r="J35" s="13"/>
      <c r="K35" s="16">
        <v>18000.0</v>
      </c>
      <c r="L35" s="16"/>
      <c r="M35" s="16">
        <f>K35-L35</f>
        <v>18000</v>
      </c>
      <c r="N35" s="16"/>
      <c r="O35" s="16">
        <f>M35-N35</f>
        <v>18000</v>
      </c>
      <c r="P35" s="16">
        <f>IF(G35&gt;0, M35/G35, 0)</f>
        <v>9000</v>
      </c>
      <c r="Q35" s="18">
        <f>IF(M35&gt;0, O35/M35, 0)</f>
        <v>1</v>
      </c>
      <c r="R35" s="18">
        <v>0.0088941595019271</v>
      </c>
    </row>
    <row r="36" spans="1:18">
      <c r="A36" s="10">
        <v>29</v>
      </c>
      <c r="B36" s="8" t="s">
        <v>52</v>
      </c>
      <c r="C36" s="8" t="s">
        <v>65</v>
      </c>
      <c r="D36" s="8" t="s">
        <v>151</v>
      </c>
      <c r="E36" s="10">
        <v>176</v>
      </c>
      <c r="F36" s="10" t="s">
        <v>40</v>
      </c>
      <c r="G36" s="12">
        <v>1</v>
      </c>
      <c r="H36" s="12">
        <v>1</v>
      </c>
      <c r="I36" s="12"/>
      <c r="J36" s="12"/>
      <c r="K36" s="15">
        <v>9000.0</v>
      </c>
      <c r="L36" s="15"/>
      <c r="M36" s="15">
        <f>K36-L36</f>
        <v>9000</v>
      </c>
      <c r="N36" s="15"/>
      <c r="O36" s="15">
        <f>M36-N36</f>
        <v>9000</v>
      </c>
      <c r="P36" s="15">
        <f>IF(G36&gt;0, M36/G36, 0)</f>
        <v>9000</v>
      </c>
      <c r="Q36" s="17">
        <f>IF(M36&gt;0, O36/M36, 0)</f>
        <v>1</v>
      </c>
      <c r="R36" s="17">
        <v>0.0044470797509635</v>
      </c>
    </row>
    <row r="37" spans="1:18">
      <c r="A37" s="11">
        <v>30</v>
      </c>
      <c r="B37" s="9" t="s">
        <v>52</v>
      </c>
      <c r="C37" s="9" t="s">
        <v>37</v>
      </c>
      <c r="D37" s="9" t="s">
        <v>75</v>
      </c>
      <c r="E37" s="11">
        <v>110</v>
      </c>
      <c r="F37" s="11" t="s">
        <v>55</v>
      </c>
      <c r="G37" s="13">
        <v>1</v>
      </c>
      <c r="H37" s="13">
        <v>1</v>
      </c>
      <c r="I37" s="13"/>
      <c r="J37" s="13"/>
      <c r="K37" s="16">
        <v>8000.0</v>
      </c>
      <c r="L37" s="16"/>
      <c r="M37" s="16">
        <f>K37-L37</f>
        <v>8000</v>
      </c>
      <c r="N37" s="16"/>
      <c r="O37" s="16">
        <f>M37-N37</f>
        <v>8000</v>
      </c>
      <c r="P37" s="16">
        <f>IF(G37&gt;0, M37/G37, 0)</f>
        <v>8000</v>
      </c>
      <c r="Q37" s="18">
        <f>IF(M37&gt;0, O37/M37, 0)</f>
        <v>1</v>
      </c>
      <c r="R37" s="18">
        <v>0.001225058573113</v>
      </c>
    </row>
    <row r="38" spans="1:18">
      <c r="A38" s="10">
        <v>31</v>
      </c>
      <c r="B38" s="8" t="s">
        <v>52</v>
      </c>
      <c r="C38" s="8" t="s">
        <v>37</v>
      </c>
      <c r="D38" s="8" t="s">
        <v>75</v>
      </c>
      <c r="E38" s="10">
        <v>116</v>
      </c>
      <c r="F38" s="10" t="s">
        <v>55</v>
      </c>
      <c r="G38" s="12">
        <v>6</v>
      </c>
      <c r="H38" s="12">
        <v>6</v>
      </c>
      <c r="I38" s="12"/>
      <c r="J38" s="12"/>
      <c r="K38" s="15">
        <v>48000.0</v>
      </c>
      <c r="L38" s="15"/>
      <c r="M38" s="15">
        <f>K38-L38</f>
        <v>48000</v>
      </c>
      <c r="N38" s="15"/>
      <c r="O38" s="15">
        <f>M38-N38</f>
        <v>48000</v>
      </c>
      <c r="P38" s="15">
        <f>IF(G38&gt;0, M38/G38, 0)</f>
        <v>8000</v>
      </c>
      <c r="Q38" s="17">
        <f>IF(M38&gt;0, O38/M38, 0)</f>
        <v>1</v>
      </c>
      <c r="R38" s="17">
        <v>0.0073503514386782</v>
      </c>
    </row>
    <row r="39" spans="1:18">
      <c r="A39" s="11">
        <v>32</v>
      </c>
      <c r="B39" s="9" t="s">
        <v>52</v>
      </c>
      <c r="C39" s="9" t="s">
        <v>37</v>
      </c>
      <c r="D39" s="9" t="s">
        <v>75</v>
      </c>
      <c r="E39" s="11">
        <v>122</v>
      </c>
      <c r="F39" s="11" t="s">
        <v>55</v>
      </c>
      <c r="G39" s="13">
        <v>14</v>
      </c>
      <c r="H39" s="13">
        <v>12</v>
      </c>
      <c r="I39" s="13">
        <v>2</v>
      </c>
      <c r="J39" s="13"/>
      <c r="K39" s="16">
        <v>114000.0</v>
      </c>
      <c r="L39" s="16"/>
      <c r="M39" s="16">
        <f>K39-L39</f>
        <v>114000</v>
      </c>
      <c r="N39" s="16"/>
      <c r="O39" s="16">
        <f>M39-N39</f>
        <v>114000</v>
      </c>
      <c r="P39" s="16">
        <f>IF(G39&gt;0, M39/G39, 0)</f>
        <v>8142.85714285714312</v>
      </c>
      <c r="Q39" s="18">
        <f>IF(M39&gt;0, O39/M39, 0)</f>
        <v>1</v>
      </c>
      <c r="R39" s="18">
        <v>0.017457084666861</v>
      </c>
    </row>
    <row r="40" spans="1:18">
      <c r="A40" s="10">
        <v>33</v>
      </c>
      <c r="B40" s="8" t="s">
        <v>52</v>
      </c>
      <c r="C40" s="8" t="s">
        <v>37</v>
      </c>
      <c r="D40" s="8" t="s">
        <v>75</v>
      </c>
      <c r="E40" s="10">
        <v>128</v>
      </c>
      <c r="F40" s="10" t="s">
        <v>55</v>
      </c>
      <c r="G40" s="12">
        <v>23</v>
      </c>
      <c r="H40" s="12">
        <v>22</v>
      </c>
      <c r="I40" s="12">
        <v>1</v>
      </c>
      <c r="J40" s="12"/>
      <c r="K40" s="15">
        <v>189000.0</v>
      </c>
      <c r="L40" s="15"/>
      <c r="M40" s="15">
        <f>K40-L40</f>
        <v>189000</v>
      </c>
      <c r="N40" s="15"/>
      <c r="O40" s="15">
        <f>M40-N40</f>
        <v>189000</v>
      </c>
      <c r="P40" s="15">
        <f>IF(G40&gt;0, M40/G40, 0)</f>
        <v>8217.39130434782601</v>
      </c>
      <c r="Q40" s="17">
        <f>IF(M40&gt;0, O40/M40, 0)</f>
        <v>1</v>
      </c>
      <c r="R40" s="17">
        <v>0.028942008789795</v>
      </c>
    </row>
    <row r="41" spans="1:18">
      <c r="A41" s="11">
        <v>34</v>
      </c>
      <c r="B41" s="9" t="s">
        <v>52</v>
      </c>
      <c r="C41" s="9" t="s">
        <v>37</v>
      </c>
      <c r="D41" s="9" t="s">
        <v>75</v>
      </c>
      <c r="E41" s="11">
        <v>134</v>
      </c>
      <c r="F41" s="11" t="s">
        <v>55</v>
      </c>
      <c r="G41" s="13">
        <v>20</v>
      </c>
      <c r="H41" s="13">
        <v>18</v>
      </c>
      <c r="I41" s="13">
        <v>2</v>
      </c>
      <c r="J41" s="13"/>
      <c r="K41" s="16">
        <v>164000.0</v>
      </c>
      <c r="L41" s="16"/>
      <c r="M41" s="16">
        <f>K41-L41</f>
        <v>164000</v>
      </c>
      <c r="N41" s="16"/>
      <c r="O41" s="16">
        <f>M41-N41</f>
        <v>164000</v>
      </c>
      <c r="P41" s="16">
        <f>IF(G41&gt;0, M41/G41, 0)</f>
        <v>8200</v>
      </c>
      <c r="Q41" s="18">
        <f>IF(M41&gt;0, O41/M41, 0)</f>
        <v>1</v>
      </c>
      <c r="R41" s="18">
        <v>0.025113700748817</v>
      </c>
    </row>
    <row r="42" spans="1:18">
      <c r="A42" s="10">
        <v>35</v>
      </c>
      <c r="B42" s="8" t="s">
        <v>52</v>
      </c>
      <c r="C42" s="8" t="s">
        <v>37</v>
      </c>
      <c r="D42" s="8" t="s">
        <v>75</v>
      </c>
      <c r="E42" s="10">
        <v>140</v>
      </c>
      <c r="F42" s="10" t="s">
        <v>55</v>
      </c>
      <c r="G42" s="12">
        <v>21</v>
      </c>
      <c r="H42" s="12">
        <v>20</v>
      </c>
      <c r="I42" s="12">
        <v>1</v>
      </c>
      <c r="J42" s="12"/>
      <c r="K42" s="15">
        <v>173000.0</v>
      </c>
      <c r="L42" s="15"/>
      <c r="M42" s="15">
        <f>K42-L42</f>
        <v>173000</v>
      </c>
      <c r="N42" s="15"/>
      <c r="O42" s="15">
        <f>M42-N42</f>
        <v>173000</v>
      </c>
      <c r="P42" s="15">
        <f>IF(G42&gt;0, M42/G42, 0)</f>
        <v>8238.095238095238528</v>
      </c>
      <c r="Q42" s="17">
        <f>IF(M42&gt;0, O42/M42, 0)</f>
        <v>1</v>
      </c>
      <c r="R42" s="17">
        <v>0.026491891643569</v>
      </c>
    </row>
    <row r="43" spans="1:18">
      <c r="A43" s="11">
        <v>36</v>
      </c>
      <c r="B43" s="9" t="s">
        <v>52</v>
      </c>
      <c r="C43" s="9" t="s">
        <v>37</v>
      </c>
      <c r="D43" s="9" t="s">
        <v>75</v>
      </c>
      <c r="E43" s="11">
        <v>146</v>
      </c>
      <c r="F43" s="11" t="s">
        <v>55</v>
      </c>
      <c r="G43" s="13">
        <v>11</v>
      </c>
      <c r="H43" s="13">
        <v>11</v>
      </c>
      <c r="I43" s="13"/>
      <c r="J43" s="13"/>
      <c r="K43" s="16">
        <v>89000.0</v>
      </c>
      <c r="L43" s="16"/>
      <c r="M43" s="16">
        <f>K43-L43</f>
        <v>89000</v>
      </c>
      <c r="N43" s="16"/>
      <c r="O43" s="16">
        <f>M43-N43</f>
        <v>89000</v>
      </c>
      <c r="P43" s="16">
        <f>IF(G43&gt;0, M43/G43, 0)</f>
        <v>8090.90909090909099</v>
      </c>
      <c r="Q43" s="18">
        <f>IF(M43&gt;0, O43/M43, 0)</f>
        <v>1</v>
      </c>
      <c r="R43" s="18">
        <v>0.013628776625882</v>
      </c>
    </row>
    <row r="44" spans="1:18">
      <c r="A44" s="10">
        <v>37</v>
      </c>
      <c r="B44" s="8" t="s">
        <v>52</v>
      </c>
      <c r="C44" s="8" t="s">
        <v>37</v>
      </c>
      <c r="D44" s="8" t="s">
        <v>75</v>
      </c>
      <c r="E44" s="10">
        <v>152</v>
      </c>
      <c r="F44" s="10" t="s">
        <v>55</v>
      </c>
      <c r="G44" s="12">
        <v>12</v>
      </c>
      <c r="H44" s="12">
        <v>12</v>
      </c>
      <c r="I44" s="12"/>
      <c r="J44" s="12"/>
      <c r="K44" s="15">
        <v>98000.0</v>
      </c>
      <c r="L44" s="15"/>
      <c r="M44" s="15">
        <f>K44-L44</f>
        <v>98000</v>
      </c>
      <c r="N44" s="15"/>
      <c r="O44" s="15">
        <f>M44-N44</f>
        <v>98000</v>
      </c>
      <c r="P44" s="15">
        <f>IF(G44&gt;0, M44/G44, 0)</f>
        <v>8166.66666666666697</v>
      </c>
      <c r="Q44" s="17">
        <f>IF(M44&gt;0, O44/M44, 0)</f>
        <v>1</v>
      </c>
      <c r="R44" s="17">
        <v>0.015006967520635</v>
      </c>
    </row>
    <row r="45" spans="1:18">
      <c r="A45" s="11">
        <v>38</v>
      </c>
      <c r="B45" s="9" t="s">
        <v>52</v>
      </c>
      <c r="C45" s="9" t="s">
        <v>37</v>
      </c>
      <c r="D45" s="9" t="s">
        <v>75</v>
      </c>
      <c r="E45" s="11">
        <v>158</v>
      </c>
      <c r="F45" s="11" t="s">
        <v>55</v>
      </c>
      <c r="G45" s="13">
        <v>2</v>
      </c>
      <c r="H45" s="13">
        <v>2</v>
      </c>
      <c r="I45" s="13"/>
      <c r="J45" s="13"/>
      <c r="K45" s="16">
        <v>16000.0</v>
      </c>
      <c r="L45" s="16"/>
      <c r="M45" s="16">
        <f>K45-L45</f>
        <v>16000</v>
      </c>
      <c r="N45" s="16"/>
      <c r="O45" s="16">
        <f>M45-N45</f>
        <v>16000</v>
      </c>
      <c r="P45" s="16">
        <f>IF(G45&gt;0, M45/G45, 0)</f>
        <v>8000</v>
      </c>
      <c r="Q45" s="18">
        <f>IF(M45&gt;0, O45/M45, 0)</f>
        <v>1</v>
      </c>
      <c r="R45" s="18">
        <v>0.0024501171462261</v>
      </c>
    </row>
    <row r="46" spans="1:18">
      <c r="A46" s="10">
        <v>39</v>
      </c>
      <c r="B46" s="8" t="s">
        <v>52</v>
      </c>
      <c r="C46" s="8" t="s">
        <v>37</v>
      </c>
      <c r="D46" s="8" t="s">
        <v>75</v>
      </c>
      <c r="E46" s="10">
        <v>164</v>
      </c>
      <c r="F46" s="10" t="s">
        <v>55</v>
      </c>
      <c r="G46" s="12">
        <v>7</v>
      </c>
      <c r="H46" s="12">
        <v>7</v>
      </c>
      <c r="I46" s="12"/>
      <c r="J46" s="12"/>
      <c r="K46" s="15">
        <v>59000.0</v>
      </c>
      <c r="L46" s="15"/>
      <c r="M46" s="15">
        <f>K46-L46</f>
        <v>59000</v>
      </c>
      <c r="N46" s="15"/>
      <c r="O46" s="15">
        <f>M46-N46</f>
        <v>59000</v>
      </c>
      <c r="P46" s="15">
        <f>IF(G46&gt;0, M46/G46, 0)</f>
        <v>8428.57142857142935</v>
      </c>
      <c r="Q46" s="17">
        <f>IF(M46&gt;0, O46/M46, 0)</f>
        <v>1</v>
      </c>
      <c r="R46" s="17">
        <v>0.0090348069767086</v>
      </c>
    </row>
    <row r="47" spans="1:18">
      <c r="A47" s="11">
        <v>40</v>
      </c>
      <c r="B47" s="9" t="s">
        <v>52</v>
      </c>
      <c r="C47" s="9" t="s">
        <v>37</v>
      </c>
      <c r="D47" s="9" t="s">
        <v>75</v>
      </c>
      <c r="E47" s="11">
        <v>170</v>
      </c>
      <c r="F47" s="11" t="s">
        <v>55</v>
      </c>
      <c r="G47" s="13">
        <v>3</v>
      </c>
      <c r="H47" s="13">
        <v>3</v>
      </c>
      <c r="I47" s="13"/>
      <c r="J47" s="13"/>
      <c r="K47" s="16">
        <v>26500.0</v>
      </c>
      <c r="L47" s="16"/>
      <c r="M47" s="16">
        <f>K47-L47</f>
        <v>26500</v>
      </c>
      <c r="N47" s="16"/>
      <c r="O47" s="16">
        <f>M47-N47</f>
        <v>26500</v>
      </c>
      <c r="P47" s="16">
        <f>IF(G47&gt;0, M47/G47, 0)</f>
        <v>8833.33333333333394</v>
      </c>
      <c r="Q47" s="18">
        <f>IF(M47&gt;0, O47/M47, 0)</f>
        <v>1</v>
      </c>
      <c r="R47" s="18">
        <v>0.0040580065234369</v>
      </c>
    </row>
    <row r="48" spans="1:18">
      <c r="A48" s="10">
        <v>41</v>
      </c>
      <c r="B48" s="8" t="s">
        <v>52</v>
      </c>
      <c r="C48" s="8" t="s">
        <v>37</v>
      </c>
      <c r="D48" s="8" t="s">
        <v>38</v>
      </c>
      <c r="E48" s="10">
        <v>110</v>
      </c>
      <c r="F48" s="10" t="s">
        <v>55</v>
      </c>
      <c r="G48" s="12">
        <v>1</v>
      </c>
      <c r="H48" s="12">
        <v>1</v>
      </c>
      <c r="I48" s="12"/>
      <c r="J48" s="12"/>
      <c r="K48" s="15">
        <v>7000.0</v>
      </c>
      <c r="L48" s="15"/>
      <c r="M48" s="15">
        <f>K48-L48</f>
        <v>7000</v>
      </c>
      <c r="N48" s="15"/>
      <c r="O48" s="15">
        <f>M48-N48</f>
        <v>7000</v>
      </c>
      <c r="P48" s="15">
        <f>IF(G48&gt;0, M48/G48, 0)</f>
        <v>7000</v>
      </c>
      <c r="Q48" s="17">
        <f>IF(M48&gt;0, O48/M48, 0)</f>
        <v>1</v>
      </c>
      <c r="R48" s="17">
        <v>0.0010719262514739</v>
      </c>
    </row>
    <row r="49" spans="1:18">
      <c r="A49" s="11">
        <v>42</v>
      </c>
      <c r="B49" s="9" t="s">
        <v>52</v>
      </c>
      <c r="C49" s="9" t="s">
        <v>37</v>
      </c>
      <c r="D49" s="9" t="s">
        <v>38</v>
      </c>
      <c r="E49" s="11">
        <v>116</v>
      </c>
      <c r="F49" s="11" t="s">
        <v>55</v>
      </c>
      <c r="G49" s="13">
        <v>10</v>
      </c>
      <c r="H49" s="13">
        <v>10</v>
      </c>
      <c r="I49" s="13"/>
      <c r="J49" s="13"/>
      <c r="K49" s="16">
        <v>70000.0</v>
      </c>
      <c r="L49" s="16"/>
      <c r="M49" s="16">
        <f>K49-L49</f>
        <v>70000</v>
      </c>
      <c r="N49" s="16"/>
      <c r="O49" s="16">
        <f>M49-N49</f>
        <v>70000</v>
      </c>
      <c r="P49" s="16">
        <f>IF(G49&gt;0, M49/G49, 0)</f>
        <v>7000</v>
      </c>
      <c r="Q49" s="18">
        <f>IF(M49&gt;0, O49/M49, 0)</f>
        <v>1</v>
      </c>
      <c r="R49" s="18">
        <v>0.010719262514739</v>
      </c>
    </row>
    <row r="50" spans="1:18">
      <c r="A50" s="10">
        <v>43</v>
      </c>
      <c r="B50" s="8" t="s">
        <v>52</v>
      </c>
      <c r="C50" s="8" t="s">
        <v>37</v>
      </c>
      <c r="D50" s="8" t="s">
        <v>38</v>
      </c>
      <c r="E50" s="10">
        <v>122</v>
      </c>
      <c r="F50" s="10" t="s">
        <v>55</v>
      </c>
      <c r="G50" s="12">
        <v>26</v>
      </c>
      <c r="H50" s="12">
        <v>25</v>
      </c>
      <c r="I50" s="12">
        <v>1</v>
      </c>
      <c r="J50" s="12"/>
      <c r="K50" s="15">
        <v>184000.0</v>
      </c>
      <c r="L50" s="15"/>
      <c r="M50" s="15">
        <f>K50-L50</f>
        <v>184000</v>
      </c>
      <c r="N50" s="15"/>
      <c r="O50" s="15">
        <f>M50-N50</f>
        <v>184000</v>
      </c>
      <c r="P50" s="15">
        <f>IF(G50&gt;0, M50/G50, 0)</f>
        <v>7076.92307692307713</v>
      </c>
      <c r="Q50" s="17">
        <f>IF(M50&gt;0, O50/M50, 0)</f>
        <v>1</v>
      </c>
      <c r="R50" s="17">
        <v>0.0281763471816</v>
      </c>
    </row>
    <row r="51" spans="1:18">
      <c r="A51" s="11">
        <v>44</v>
      </c>
      <c r="B51" s="9" t="s">
        <v>52</v>
      </c>
      <c r="C51" s="9" t="s">
        <v>37</v>
      </c>
      <c r="D51" s="9" t="s">
        <v>38</v>
      </c>
      <c r="E51" s="11">
        <v>128</v>
      </c>
      <c r="F51" s="11" t="s">
        <v>55</v>
      </c>
      <c r="G51" s="13">
        <v>30</v>
      </c>
      <c r="H51" s="13">
        <v>30</v>
      </c>
      <c r="I51" s="13"/>
      <c r="J51" s="13"/>
      <c r="K51" s="16">
        <v>212000.0</v>
      </c>
      <c r="L51" s="16"/>
      <c r="M51" s="16">
        <f>K51-L51</f>
        <v>212000</v>
      </c>
      <c r="N51" s="16"/>
      <c r="O51" s="16">
        <f>M51-N51</f>
        <v>212000</v>
      </c>
      <c r="P51" s="16">
        <f>IF(G51&gt;0, M51/G51, 0)</f>
        <v>7066.66666666666697</v>
      </c>
      <c r="Q51" s="18">
        <f>IF(M51&gt;0, O51/M51, 0)</f>
        <v>1</v>
      </c>
      <c r="R51" s="18">
        <v>0.032464052187495</v>
      </c>
    </row>
    <row r="52" spans="1:18">
      <c r="A52" s="10">
        <v>45</v>
      </c>
      <c r="B52" s="8" t="s">
        <v>52</v>
      </c>
      <c r="C52" s="8" t="s">
        <v>37</v>
      </c>
      <c r="D52" s="8" t="s">
        <v>38</v>
      </c>
      <c r="E52" s="10">
        <v>134</v>
      </c>
      <c r="F52" s="10" t="s">
        <v>55</v>
      </c>
      <c r="G52" s="12">
        <v>75</v>
      </c>
      <c r="H52" s="12">
        <v>74</v>
      </c>
      <c r="I52" s="12">
        <v>1</v>
      </c>
      <c r="J52" s="12"/>
      <c r="K52" s="15">
        <v>528000.0</v>
      </c>
      <c r="L52" s="15"/>
      <c r="M52" s="15">
        <f>K52-L52</f>
        <v>528000</v>
      </c>
      <c r="N52" s="15"/>
      <c r="O52" s="15">
        <f>M52-N52</f>
        <v>528000</v>
      </c>
      <c r="P52" s="15">
        <f>IF(G52&gt;0, M52/G52, 0)</f>
        <v>7040</v>
      </c>
      <c r="Q52" s="17">
        <f>IF(M52&gt;0, O52/M52, 0)</f>
        <v>1</v>
      </c>
      <c r="R52" s="17">
        <v>0.08085386582546</v>
      </c>
    </row>
    <row r="53" spans="1:18">
      <c r="A53" s="11">
        <v>46</v>
      </c>
      <c r="B53" s="9" t="s">
        <v>52</v>
      </c>
      <c r="C53" s="9" t="s">
        <v>37</v>
      </c>
      <c r="D53" s="9" t="s">
        <v>38</v>
      </c>
      <c r="E53" s="11">
        <v>140</v>
      </c>
      <c r="F53" s="11" t="s">
        <v>55</v>
      </c>
      <c r="G53" s="13">
        <v>73</v>
      </c>
      <c r="H53" s="13">
        <v>72</v>
      </c>
      <c r="I53" s="13">
        <v>1</v>
      </c>
      <c r="J53" s="13"/>
      <c r="K53" s="16">
        <v>522400.0</v>
      </c>
      <c r="L53" s="16"/>
      <c r="M53" s="16">
        <f>K53-L53</f>
        <v>522400</v>
      </c>
      <c r="N53" s="16"/>
      <c r="O53" s="16">
        <f>M53-N53</f>
        <v>522400</v>
      </c>
      <c r="P53" s="16">
        <f>IF(G53&gt;0, M53/G53, 0)</f>
        <v>7156.16438356164417</v>
      </c>
      <c r="Q53" s="18">
        <f>IF(M53&gt;0, O53/M53, 0)</f>
        <v>1</v>
      </c>
      <c r="R53" s="18">
        <v>0.079996324824281</v>
      </c>
    </row>
    <row r="54" spans="1:18">
      <c r="A54" s="10">
        <v>47</v>
      </c>
      <c r="B54" s="8" t="s">
        <v>52</v>
      </c>
      <c r="C54" s="8" t="s">
        <v>37</v>
      </c>
      <c r="D54" s="8" t="s">
        <v>38</v>
      </c>
      <c r="E54" s="10">
        <v>146</v>
      </c>
      <c r="F54" s="10" t="s">
        <v>55</v>
      </c>
      <c r="G54" s="12">
        <v>43</v>
      </c>
      <c r="H54" s="12">
        <v>42</v>
      </c>
      <c r="I54" s="12">
        <v>1</v>
      </c>
      <c r="J54" s="12"/>
      <c r="K54" s="15">
        <v>303000.0</v>
      </c>
      <c r="L54" s="15"/>
      <c r="M54" s="15">
        <f>K54-L54</f>
        <v>303000</v>
      </c>
      <c r="N54" s="15"/>
      <c r="O54" s="15">
        <f>M54-N54</f>
        <v>303000</v>
      </c>
      <c r="P54" s="15">
        <f>IF(G54&gt;0, M54/G54, 0)</f>
        <v>7046.51162790697708</v>
      </c>
      <c r="Q54" s="17">
        <f>IF(M54&gt;0, O54/M54, 0)</f>
        <v>1</v>
      </c>
      <c r="R54" s="17">
        <v>0.046399093456656</v>
      </c>
    </row>
    <row r="55" spans="1:18">
      <c r="A55" s="11">
        <v>48</v>
      </c>
      <c r="B55" s="9" t="s">
        <v>52</v>
      </c>
      <c r="C55" s="9" t="s">
        <v>37</v>
      </c>
      <c r="D55" s="9" t="s">
        <v>38</v>
      </c>
      <c r="E55" s="11">
        <v>152</v>
      </c>
      <c r="F55" s="11" t="s">
        <v>55</v>
      </c>
      <c r="G55" s="13">
        <v>53</v>
      </c>
      <c r="H55" s="13">
        <v>53</v>
      </c>
      <c r="I55" s="13"/>
      <c r="J55" s="13"/>
      <c r="K55" s="16">
        <v>375000.0</v>
      </c>
      <c r="L55" s="16"/>
      <c r="M55" s="16">
        <f>K55-L55</f>
        <v>375000</v>
      </c>
      <c r="N55" s="16"/>
      <c r="O55" s="16">
        <f>M55-N55</f>
        <v>375000</v>
      </c>
      <c r="P55" s="16">
        <f>IF(G55&gt;0, M55/G55, 0)</f>
        <v>7075.47169811320782</v>
      </c>
      <c r="Q55" s="18">
        <f>IF(M55&gt;0, O55/M55, 0)</f>
        <v>1</v>
      </c>
      <c r="R55" s="18">
        <v>0.057424620614673</v>
      </c>
    </row>
    <row r="56" spans="1:18">
      <c r="A56" s="10">
        <v>49</v>
      </c>
      <c r="B56" s="8" t="s">
        <v>52</v>
      </c>
      <c r="C56" s="8" t="s">
        <v>37</v>
      </c>
      <c r="D56" s="8" t="s">
        <v>38</v>
      </c>
      <c r="E56" s="10">
        <v>158</v>
      </c>
      <c r="F56" s="10" t="s">
        <v>55</v>
      </c>
      <c r="G56" s="12">
        <v>28</v>
      </c>
      <c r="H56" s="12">
        <v>25</v>
      </c>
      <c r="I56" s="12">
        <v>3</v>
      </c>
      <c r="J56" s="12"/>
      <c r="K56" s="15">
        <v>207000.0</v>
      </c>
      <c r="L56" s="15">
        <v>2100.0</v>
      </c>
      <c r="M56" s="15">
        <f>K56-L56</f>
        <v>204900</v>
      </c>
      <c r="N56" s="15"/>
      <c r="O56" s="15">
        <f>M56-N56</f>
        <v>204900</v>
      </c>
      <c r="P56" s="15">
        <f>IF(G56&gt;0, M56/G56, 0)</f>
        <v>7317.85714285714312</v>
      </c>
      <c r="Q56" s="17">
        <f>IF(M56&gt;0, O56/M56, 0)</f>
        <v>1</v>
      </c>
      <c r="R56" s="17">
        <v>0.031376812703857</v>
      </c>
    </row>
    <row r="57" spans="1:18">
      <c r="A57" s="11">
        <v>50</v>
      </c>
      <c r="B57" s="9" t="s">
        <v>52</v>
      </c>
      <c r="C57" s="9" t="s">
        <v>37</v>
      </c>
      <c r="D57" s="9" t="s">
        <v>38</v>
      </c>
      <c r="E57" s="11">
        <v>164</v>
      </c>
      <c r="F57" s="11" t="s">
        <v>55</v>
      </c>
      <c r="G57" s="13">
        <v>16</v>
      </c>
      <c r="H57" s="13">
        <v>16</v>
      </c>
      <c r="I57" s="13"/>
      <c r="J57" s="13"/>
      <c r="K57" s="16">
        <v>114000.0</v>
      </c>
      <c r="L57" s="16"/>
      <c r="M57" s="16">
        <f>K57-L57</f>
        <v>114000</v>
      </c>
      <c r="N57" s="16"/>
      <c r="O57" s="16">
        <f>M57-N57</f>
        <v>114000</v>
      </c>
      <c r="P57" s="16">
        <f>IF(G57&gt;0, M57/G57, 0)</f>
        <v>7125</v>
      </c>
      <c r="Q57" s="18">
        <f>IF(M57&gt;0, O57/M57, 0)</f>
        <v>1</v>
      </c>
      <c r="R57" s="18">
        <v>0.017457084666861</v>
      </c>
    </row>
    <row r="58" spans="1:18">
      <c r="A58" s="10">
        <v>51</v>
      </c>
      <c r="B58" s="8" t="s">
        <v>52</v>
      </c>
      <c r="C58" s="8" t="s">
        <v>37</v>
      </c>
      <c r="D58" s="8" t="s">
        <v>38</v>
      </c>
      <c r="E58" s="10">
        <v>170</v>
      </c>
      <c r="F58" s="10" t="s">
        <v>55</v>
      </c>
      <c r="G58" s="12">
        <v>19</v>
      </c>
      <c r="H58" s="12">
        <v>19</v>
      </c>
      <c r="I58" s="12"/>
      <c r="J58" s="12"/>
      <c r="K58" s="15">
        <v>140000.0</v>
      </c>
      <c r="L58" s="15"/>
      <c r="M58" s="15">
        <f>K58-L58</f>
        <v>140000</v>
      </c>
      <c r="N58" s="15"/>
      <c r="O58" s="15">
        <f>M58-N58</f>
        <v>140000</v>
      </c>
      <c r="P58" s="15">
        <f>IF(G58&gt;0, M58/G58, 0)</f>
        <v>7368.42105263157919</v>
      </c>
      <c r="Q58" s="17">
        <f>IF(M58&gt;0, O58/M58, 0)</f>
        <v>1</v>
      </c>
      <c r="R58" s="17">
        <v>0.021438525029478</v>
      </c>
    </row>
    <row r="59" spans="1:18">
      <c r="A59" s="11">
        <v>52</v>
      </c>
      <c r="B59" s="9" t="s">
        <v>52</v>
      </c>
      <c r="C59" s="9" t="s">
        <v>37</v>
      </c>
      <c r="D59" s="9" t="s">
        <v>38</v>
      </c>
      <c r="E59" s="11">
        <v>176</v>
      </c>
      <c r="F59" s="11" t="s">
        <v>55</v>
      </c>
      <c r="G59" s="13">
        <v>5</v>
      </c>
      <c r="H59" s="13">
        <v>5</v>
      </c>
      <c r="I59" s="13"/>
      <c r="J59" s="13"/>
      <c r="K59" s="16">
        <v>37000.0</v>
      </c>
      <c r="L59" s="16">
        <v>2100.0</v>
      </c>
      <c r="M59" s="16">
        <f>K59-L59</f>
        <v>34900</v>
      </c>
      <c r="N59" s="16"/>
      <c r="O59" s="16">
        <f>M59-N59</f>
        <v>34900</v>
      </c>
      <c r="P59" s="16">
        <f>IF(G59&gt;0, M59/G59, 0)</f>
        <v>6980</v>
      </c>
      <c r="Q59" s="18">
        <f>IF(M59&gt;0, O59/M59, 0)</f>
        <v>1</v>
      </c>
      <c r="R59" s="18">
        <v>0.0053443180252056</v>
      </c>
    </row>
    <row r="60" spans="1:18">
      <c r="A60" s="10">
        <v>53</v>
      </c>
      <c r="B60" s="8" t="s">
        <v>52</v>
      </c>
      <c r="C60" s="8" t="s">
        <v>37</v>
      </c>
      <c r="D60" s="8" t="s">
        <v>38</v>
      </c>
      <c r="E60" s="10">
        <v>182</v>
      </c>
      <c r="F60" s="10" t="s">
        <v>55</v>
      </c>
      <c r="G60" s="12">
        <v>2</v>
      </c>
      <c r="H60" s="12">
        <v>2</v>
      </c>
      <c r="I60" s="12"/>
      <c r="J60" s="12"/>
      <c r="K60" s="15">
        <v>16000.0</v>
      </c>
      <c r="L60" s="15"/>
      <c r="M60" s="15">
        <f>K60-L60</f>
        <v>16000</v>
      </c>
      <c r="N60" s="15"/>
      <c r="O60" s="15">
        <f>M60-N60</f>
        <v>16000</v>
      </c>
      <c r="P60" s="15">
        <f>IF(G60&gt;0, M60/G60, 0)</f>
        <v>8000</v>
      </c>
      <c r="Q60" s="17">
        <f>IF(M60&gt;0, O60/M60, 0)</f>
        <v>1</v>
      </c>
      <c r="R60" s="17">
        <v>0.0024501171462261</v>
      </c>
    </row>
    <row r="61" spans="1:18">
      <c r="A61" s="11">
        <v>54</v>
      </c>
      <c r="B61" s="9" t="s">
        <v>52</v>
      </c>
      <c r="C61" s="9" t="s">
        <v>37</v>
      </c>
      <c r="D61" s="9" t="s">
        <v>1493</v>
      </c>
      <c r="E61" s="11">
        <v>146</v>
      </c>
      <c r="F61" s="11" t="s">
        <v>55</v>
      </c>
      <c r="G61" s="13">
        <v>1</v>
      </c>
      <c r="H61" s="13">
        <v>1</v>
      </c>
      <c r="I61" s="13"/>
      <c r="J61" s="13"/>
      <c r="K61" s="16">
        <v>8500.0</v>
      </c>
      <c r="L61" s="16"/>
      <c r="M61" s="16">
        <f>K61-L61</f>
        <v>8500</v>
      </c>
      <c r="N61" s="16"/>
      <c r="O61" s="16">
        <f>M61-N61</f>
        <v>8500</v>
      </c>
      <c r="P61" s="16">
        <f>IF(G61&gt;0, M61/G61, 0)</f>
        <v>8500</v>
      </c>
      <c r="Q61" s="18">
        <f>IF(M61&gt;0, O61/M61, 0)</f>
        <v>1</v>
      </c>
      <c r="R61" s="18">
        <v>0.0013016247339326</v>
      </c>
    </row>
    <row r="62" spans="1:18">
      <c r="A62" s="10">
        <v>55</v>
      </c>
      <c r="B62" s="8" t="s">
        <v>52</v>
      </c>
      <c r="C62" s="8" t="s">
        <v>434</v>
      </c>
      <c r="D62" s="8" t="s">
        <v>434</v>
      </c>
      <c r="E62" s="10">
        <v>152</v>
      </c>
      <c r="F62" s="10" t="s">
        <v>40</v>
      </c>
      <c r="G62" s="12">
        <v>1</v>
      </c>
      <c r="H62" s="12"/>
      <c r="I62" s="12">
        <v>1</v>
      </c>
      <c r="J62" s="12"/>
      <c r="K62" s="15">
        <v>15000.0</v>
      </c>
      <c r="L62" s="15"/>
      <c r="M62" s="15">
        <f>K62-L62</f>
        <v>15000</v>
      </c>
      <c r="N62" s="15"/>
      <c r="O62" s="15">
        <f>M62-N62</f>
        <v>15000</v>
      </c>
      <c r="P62" s="15">
        <f>IF(G62&gt;0, M62/G62, 0)</f>
        <v>15000</v>
      </c>
      <c r="Q62" s="17">
        <f>IF(M62&gt;0, O62/M62, 0)</f>
        <v>1</v>
      </c>
      <c r="R62" s="17">
        <v>0.5</v>
      </c>
    </row>
    <row r="63" spans="1:18">
      <c r="A63" s="11">
        <v>56</v>
      </c>
      <c r="B63" s="9" t="s">
        <v>52</v>
      </c>
      <c r="C63" s="9" t="s">
        <v>434</v>
      </c>
      <c r="D63" s="9" t="s">
        <v>447</v>
      </c>
      <c r="E63" s="11">
        <v>140</v>
      </c>
      <c r="F63" s="11" t="s">
        <v>40</v>
      </c>
      <c r="G63" s="13">
        <v>1</v>
      </c>
      <c r="H63" s="13">
        <v>1</v>
      </c>
      <c r="I63" s="13"/>
      <c r="J63" s="13">
        <v>1</v>
      </c>
      <c r="K63" s="16">
        <v>15000.0</v>
      </c>
      <c r="L63" s="16"/>
      <c r="M63" s="16">
        <f>K63-L63</f>
        <v>15000</v>
      </c>
      <c r="N63" s="16"/>
      <c r="O63" s="16">
        <f>M63-N63</f>
        <v>15000</v>
      </c>
      <c r="P63" s="16">
        <f>IF(G63&gt;0, M63/G63, 0)</f>
        <v>15000</v>
      </c>
      <c r="Q63" s="18">
        <f>IF(M63&gt;0, O63/M63, 0)</f>
        <v>1</v>
      </c>
      <c r="R63" s="18">
        <v>0.5</v>
      </c>
    </row>
    <row r="64" spans="1:18">
      <c r="A64" s="10">
        <v>57</v>
      </c>
      <c r="B64" s="8" t="s">
        <v>52</v>
      </c>
      <c r="C64" s="8" t="s">
        <v>53</v>
      </c>
      <c r="D64" s="8" t="s">
        <v>175</v>
      </c>
      <c r="E64" s="10">
        <v>134</v>
      </c>
      <c r="F64" s="10" t="s">
        <v>40</v>
      </c>
      <c r="G64" s="12">
        <v>1</v>
      </c>
      <c r="H64" s="12">
        <v>1</v>
      </c>
      <c r="I64" s="12"/>
      <c r="J64" s="12">
        <v>1</v>
      </c>
      <c r="K64" s="15">
        <v>15000.0</v>
      </c>
      <c r="L64" s="15"/>
      <c r="M64" s="15">
        <f>K64-L64</f>
        <v>15000</v>
      </c>
      <c r="N64" s="15"/>
      <c r="O64" s="15">
        <f>M64-N64</f>
        <v>15000</v>
      </c>
      <c r="P64" s="15">
        <f>IF(G64&gt;0, M64/G64, 0)</f>
        <v>15000</v>
      </c>
      <c r="Q64" s="17">
        <f>IF(M64&gt;0, O64/M64, 0)</f>
        <v>1</v>
      </c>
      <c r="R64" s="17">
        <v>0.0055675154034593</v>
      </c>
    </row>
    <row r="65" spans="1:18">
      <c r="A65" s="11">
        <v>58</v>
      </c>
      <c r="B65" s="9" t="s">
        <v>52</v>
      </c>
      <c r="C65" s="9" t="s">
        <v>53</v>
      </c>
      <c r="D65" s="9" t="s">
        <v>156</v>
      </c>
      <c r="E65" s="11">
        <v>134</v>
      </c>
      <c r="F65" s="11" t="s">
        <v>40</v>
      </c>
      <c r="G65" s="13">
        <v>1</v>
      </c>
      <c r="H65" s="13">
        <v>1</v>
      </c>
      <c r="I65" s="13"/>
      <c r="J65" s="13">
        <v>1</v>
      </c>
      <c r="K65" s="16">
        <v>15000.0</v>
      </c>
      <c r="L65" s="16"/>
      <c r="M65" s="16">
        <f>K65-L65</f>
        <v>15000</v>
      </c>
      <c r="N65" s="16"/>
      <c r="O65" s="16">
        <f>M65-N65</f>
        <v>15000</v>
      </c>
      <c r="P65" s="16">
        <f>IF(G65&gt;0, M65/G65, 0)</f>
        <v>15000</v>
      </c>
      <c r="Q65" s="18">
        <f>IF(M65&gt;0, O65/M65, 0)</f>
        <v>1</v>
      </c>
      <c r="R65" s="18">
        <v>0.0055675154034593</v>
      </c>
    </row>
    <row r="66" spans="1:18">
      <c r="A66" s="10">
        <v>59</v>
      </c>
      <c r="B66" s="8" t="s">
        <v>52</v>
      </c>
      <c r="C66" s="8" t="s">
        <v>53</v>
      </c>
      <c r="D66" s="8" t="s">
        <v>165</v>
      </c>
      <c r="E66" s="10">
        <v>122</v>
      </c>
      <c r="F66" s="10" t="s">
        <v>40</v>
      </c>
      <c r="G66" s="12">
        <v>1</v>
      </c>
      <c r="H66" s="12">
        <v>1</v>
      </c>
      <c r="I66" s="12"/>
      <c r="J66" s="12">
        <v>1</v>
      </c>
      <c r="K66" s="15">
        <v>15000.0</v>
      </c>
      <c r="L66" s="15"/>
      <c r="M66" s="15">
        <f>K66-L66</f>
        <v>15000</v>
      </c>
      <c r="N66" s="15"/>
      <c r="O66" s="15">
        <f>M66-N66</f>
        <v>15000</v>
      </c>
      <c r="P66" s="15">
        <f>IF(G66&gt;0, M66/G66, 0)</f>
        <v>15000</v>
      </c>
      <c r="Q66" s="17">
        <f>IF(M66&gt;0, O66/M66, 0)</f>
        <v>1</v>
      </c>
      <c r="R66" s="17">
        <v>0.0055675154034593</v>
      </c>
    </row>
    <row r="67" spans="1:18">
      <c r="A67" s="11">
        <v>60</v>
      </c>
      <c r="B67" s="9" t="s">
        <v>52</v>
      </c>
      <c r="C67" s="9" t="s">
        <v>53</v>
      </c>
      <c r="D67" s="9" t="s">
        <v>53</v>
      </c>
      <c r="E67" s="11">
        <v>110</v>
      </c>
      <c r="F67" s="11" t="s">
        <v>55</v>
      </c>
      <c r="G67" s="13">
        <v>4</v>
      </c>
      <c r="H67" s="13">
        <v>4</v>
      </c>
      <c r="I67" s="13"/>
      <c r="J67" s="13"/>
      <c r="K67" s="16">
        <v>32000.0</v>
      </c>
      <c r="L67" s="16"/>
      <c r="M67" s="16">
        <f>K67-L67</f>
        <v>32000</v>
      </c>
      <c r="N67" s="16"/>
      <c r="O67" s="16">
        <f>M67-N67</f>
        <v>32000</v>
      </c>
      <c r="P67" s="16">
        <f>IF(G67&gt;0, M67/G67, 0)</f>
        <v>8000</v>
      </c>
      <c r="Q67" s="18">
        <f>IF(M67&gt;0, O67/M67, 0)</f>
        <v>1</v>
      </c>
      <c r="R67" s="18">
        <v>0.011877366194046</v>
      </c>
    </row>
    <row r="68" spans="1:18">
      <c r="A68" s="10">
        <v>61</v>
      </c>
      <c r="B68" s="8" t="s">
        <v>52</v>
      </c>
      <c r="C68" s="8" t="s">
        <v>53</v>
      </c>
      <c r="D68" s="8" t="s">
        <v>53</v>
      </c>
      <c r="E68" s="10">
        <v>116</v>
      </c>
      <c r="F68" s="10" t="s">
        <v>55</v>
      </c>
      <c r="G68" s="12">
        <v>3</v>
      </c>
      <c r="H68" s="12">
        <v>1</v>
      </c>
      <c r="I68" s="12">
        <v>2</v>
      </c>
      <c r="J68" s="12"/>
      <c r="K68" s="15">
        <v>26000.0</v>
      </c>
      <c r="L68" s="15"/>
      <c r="M68" s="15">
        <f>K68-L68</f>
        <v>26000</v>
      </c>
      <c r="N68" s="15"/>
      <c r="O68" s="15">
        <f>M68-N68</f>
        <v>26000</v>
      </c>
      <c r="P68" s="15">
        <f>IF(G68&gt;0, M68/G68, 0)</f>
        <v>8666.66666666666606</v>
      </c>
      <c r="Q68" s="17">
        <f>IF(M68&gt;0, O68/M68, 0)</f>
        <v>1</v>
      </c>
      <c r="R68" s="17">
        <v>0.0096503600326628</v>
      </c>
    </row>
    <row r="69" spans="1:18">
      <c r="A69" s="11">
        <v>62</v>
      </c>
      <c r="B69" s="9" t="s">
        <v>52</v>
      </c>
      <c r="C69" s="9" t="s">
        <v>53</v>
      </c>
      <c r="D69" s="9" t="s">
        <v>53</v>
      </c>
      <c r="E69" s="11">
        <v>122</v>
      </c>
      <c r="F69" s="11" t="s">
        <v>55</v>
      </c>
      <c r="G69" s="13">
        <v>21</v>
      </c>
      <c r="H69" s="13">
        <v>20</v>
      </c>
      <c r="I69" s="13">
        <v>1</v>
      </c>
      <c r="J69" s="13"/>
      <c r="K69" s="16">
        <v>170000.0</v>
      </c>
      <c r="L69" s="16"/>
      <c r="M69" s="16">
        <f>K69-L69</f>
        <v>170000</v>
      </c>
      <c r="N69" s="16"/>
      <c r="O69" s="16">
        <f>M69-N69</f>
        <v>170000</v>
      </c>
      <c r="P69" s="16">
        <f>IF(G69&gt;0, M69/G69, 0)</f>
        <v>8095.23809523809541</v>
      </c>
      <c r="Q69" s="18">
        <f>IF(M69&gt;0, O69/M69, 0)</f>
        <v>1</v>
      </c>
      <c r="R69" s="18">
        <v>0.063098507905872</v>
      </c>
    </row>
    <row r="70" spans="1:18">
      <c r="A70" s="10">
        <v>63</v>
      </c>
      <c r="B70" s="8" t="s">
        <v>52</v>
      </c>
      <c r="C70" s="8" t="s">
        <v>53</v>
      </c>
      <c r="D70" s="8" t="s">
        <v>53</v>
      </c>
      <c r="E70" s="10">
        <v>128</v>
      </c>
      <c r="F70" s="10" t="s">
        <v>55</v>
      </c>
      <c r="G70" s="12">
        <v>18</v>
      </c>
      <c r="H70" s="12">
        <v>18</v>
      </c>
      <c r="I70" s="12"/>
      <c r="J70" s="12"/>
      <c r="K70" s="15">
        <v>144000.0</v>
      </c>
      <c r="L70" s="15"/>
      <c r="M70" s="15">
        <f>K70-L70</f>
        <v>144000</v>
      </c>
      <c r="N70" s="15"/>
      <c r="O70" s="15">
        <f>M70-N70</f>
        <v>144000</v>
      </c>
      <c r="P70" s="15">
        <f>IF(G70&gt;0, M70/G70, 0)</f>
        <v>8000</v>
      </c>
      <c r="Q70" s="17">
        <f>IF(M70&gt;0, O70/M70, 0)</f>
        <v>1</v>
      </c>
      <c r="R70" s="17">
        <v>0.053448147873209</v>
      </c>
    </row>
    <row r="71" spans="1:18">
      <c r="A71" s="11">
        <v>64</v>
      </c>
      <c r="B71" s="9" t="s">
        <v>52</v>
      </c>
      <c r="C71" s="9" t="s">
        <v>53</v>
      </c>
      <c r="D71" s="9" t="s">
        <v>53</v>
      </c>
      <c r="E71" s="11">
        <v>134</v>
      </c>
      <c r="F71" s="11" t="s">
        <v>55</v>
      </c>
      <c r="G71" s="13">
        <v>42</v>
      </c>
      <c r="H71" s="13">
        <v>42</v>
      </c>
      <c r="I71" s="13"/>
      <c r="J71" s="13"/>
      <c r="K71" s="16">
        <v>339800.0</v>
      </c>
      <c r="L71" s="16"/>
      <c r="M71" s="16">
        <f>K71-L71</f>
        <v>339800</v>
      </c>
      <c r="N71" s="16"/>
      <c r="O71" s="16">
        <f>M71-N71</f>
        <v>339800</v>
      </c>
      <c r="P71" s="16">
        <f>IF(G71&gt;0, M71/G71, 0)</f>
        <v>8090.47619047619082</v>
      </c>
      <c r="Q71" s="18">
        <f>IF(M71&gt;0, O71/M71, 0)</f>
        <v>1</v>
      </c>
      <c r="R71" s="18">
        <v>0.12612278227303</v>
      </c>
    </row>
    <row r="72" spans="1:18">
      <c r="A72" s="10">
        <v>65</v>
      </c>
      <c r="B72" s="8" t="s">
        <v>52</v>
      </c>
      <c r="C72" s="8" t="s">
        <v>53</v>
      </c>
      <c r="D72" s="8" t="s">
        <v>53</v>
      </c>
      <c r="E72" s="10">
        <v>140</v>
      </c>
      <c r="F72" s="10" t="s">
        <v>55</v>
      </c>
      <c r="G72" s="12">
        <v>36</v>
      </c>
      <c r="H72" s="12">
        <v>35</v>
      </c>
      <c r="I72" s="12">
        <v>1</v>
      </c>
      <c r="J72" s="12"/>
      <c r="K72" s="15">
        <v>286600.0</v>
      </c>
      <c r="L72" s="15">
        <v>800.0</v>
      </c>
      <c r="M72" s="15">
        <f>K72-L72</f>
        <v>285800</v>
      </c>
      <c r="N72" s="15"/>
      <c r="O72" s="15">
        <f>M72-N72</f>
        <v>285800</v>
      </c>
      <c r="P72" s="15">
        <f>IF(G72&gt;0, M72/G72, 0)</f>
        <v>7938.88888888888869</v>
      </c>
      <c r="Q72" s="17">
        <f>IF(M72&gt;0, O72/M72, 0)</f>
        <v>1</v>
      </c>
      <c r="R72" s="17">
        <v>0.10607972682058</v>
      </c>
    </row>
    <row r="73" spans="1:18">
      <c r="A73" s="11">
        <v>66</v>
      </c>
      <c r="B73" s="9" t="s">
        <v>52</v>
      </c>
      <c r="C73" s="9" t="s">
        <v>53</v>
      </c>
      <c r="D73" s="9" t="s">
        <v>53</v>
      </c>
      <c r="E73" s="11">
        <v>146</v>
      </c>
      <c r="F73" s="11" t="s">
        <v>55</v>
      </c>
      <c r="G73" s="13">
        <v>25</v>
      </c>
      <c r="H73" s="13">
        <v>25</v>
      </c>
      <c r="I73" s="13"/>
      <c r="J73" s="13"/>
      <c r="K73" s="16">
        <v>200000.0</v>
      </c>
      <c r="L73" s="16">
        <v>800.0</v>
      </c>
      <c r="M73" s="16">
        <f>K73-L73</f>
        <v>199200</v>
      </c>
      <c r="N73" s="16"/>
      <c r="O73" s="16">
        <f>M73-N73</f>
        <v>199200</v>
      </c>
      <c r="P73" s="16">
        <f>IF(G73&gt;0, M73/G73, 0)</f>
        <v>7968</v>
      </c>
      <c r="Q73" s="18">
        <f>IF(M73&gt;0, O73/M73, 0)</f>
        <v>1</v>
      </c>
      <c r="R73" s="18">
        <v>0.073936604557939</v>
      </c>
    </row>
    <row r="74" spans="1:18">
      <c r="A74" s="10">
        <v>67</v>
      </c>
      <c r="B74" s="8" t="s">
        <v>52</v>
      </c>
      <c r="C74" s="8" t="s">
        <v>53</v>
      </c>
      <c r="D74" s="8" t="s">
        <v>53</v>
      </c>
      <c r="E74" s="10">
        <v>152</v>
      </c>
      <c r="F74" s="10" t="s">
        <v>55</v>
      </c>
      <c r="G74" s="12">
        <v>17</v>
      </c>
      <c r="H74" s="12">
        <v>17</v>
      </c>
      <c r="I74" s="12"/>
      <c r="J74" s="12"/>
      <c r="K74" s="15">
        <v>136000.0</v>
      </c>
      <c r="L74" s="15"/>
      <c r="M74" s="15">
        <f>K74-L74</f>
        <v>136000</v>
      </c>
      <c r="N74" s="15"/>
      <c r="O74" s="15">
        <f>M74-N74</f>
        <v>136000</v>
      </c>
      <c r="P74" s="15">
        <f>IF(G74&gt;0, M74/G74, 0)</f>
        <v>8000</v>
      </c>
      <c r="Q74" s="17">
        <f>IF(M74&gt;0, O74/M74, 0)</f>
        <v>1</v>
      </c>
      <c r="R74" s="17">
        <v>0.050478806324697</v>
      </c>
    </row>
    <row r="75" spans="1:18">
      <c r="A75" s="11">
        <v>68</v>
      </c>
      <c r="B75" s="9" t="s">
        <v>52</v>
      </c>
      <c r="C75" s="9" t="s">
        <v>53</v>
      </c>
      <c r="D75" s="9" t="s">
        <v>53</v>
      </c>
      <c r="E75" s="11">
        <v>158</v>
      </c>
      <c r="F75" s="11" t="s">
        <v>55</v>
      </c>
      <c r="G75" s="13">
        <v>11</v>
      </c>
      <c r="H75" s="13">
        <v>11</v>
      </c>
      <c r="I75" s="13"/>
      <c r="J75" s="13"/>
      <c r="K75" s="16">
        <v>89000.0</v>
      </c>
      <c r="L75" s="16"/>
      <c r="M75" s="16">
        <f>K75-L75</f>
        <v>89000</v>
      </c>
      <c r="N75" s="16"/>
      <c r="O75" s="16">
        <f>M75-N75</f>
        <v>89000</v>
      </c>
      <c r="P75" s="16">
        <f>IF(G75&gt;0, M75/G75, 0)</f>
        <v>8090.90909090909099</v>
      </c>
      <c r="Q75" s="18">
        <f>IF(M75&gt;0, O75/M75, 0)</f>
        <v>1</v>
      </c>
      <c r="R75" s="18">
        <v>0.033033924727192</v>
      </c>
    </row>
    <row r="76" spans="1:18">
      <c r="A76" s="10">
        <v>69</v>
      </c>
      <c r="B76" s="8" t="s">
        <v>52</v>
      </c>
      <c r="C76" s="8" t="s">
        <v>53</v>
      </c>
      <c r="D76" s="8" t="s">
        <v>53</v>
      </c>
      <c r="E76" s="10">
        <v>164</v>
      </c>
      <c r="F76" s="10" t="s">
        <v>55</v>
      </c>
      <c r="G76" s="12">
        <v>13</v>
      </c>
      <c r="H76" s="12">
        <v>12</v>
      </c>
      <c r="I76" s="12">
        <v>1</v>
      </c>
      <c r="J76" s="12"/>
      <c r="K76" s="15">
        <v>106500.0</v>
      </c>
      <c r="L76" s="15"/>
      <c r="M76" s="15">
        <f>K76-L76</f>
        <v>106500</v>
      </c>
      <c r="N76" s="15"/>
      <c r="O76" s="15">
        <f>M76-N76</f>
        <v>106500</v>
      </c>
      <c r="P76" s="15">
        <f>IF(G76&gt;0, M76/G76, 0)</f>
        <v>8192.30769230769147</v>
      </c>
      <c r="Q76" s="17">
        <f>IF(M76&gt;0, O76/M76, 0)</f>
        <v>1</v>
      </c>
      <c r="R76" s="17">
        <v>0.039529359364561</v>
      </c>
    </row>
    <row r="77" spans="1:18">
      <c r="A77" s="11">
        <v>70</v>
      </c>
      <c r="B77" s="9" t="s">
        <v>52</v>
      </c>
      <c r="C77" s="9" t="s">
        <v>53</v>
      </c>
      <c r="D77" s="9" t="s">
        <v>53</v>
      </c>
      <c r="E77" s="11">
        <v>170</v>
      </c>
      <c r="F77" s="11" t="s">
        <v>55</v>
      </c>
      <c r="G77" s="13">
        <v>6</v>
      </c>
      <c r="H77" s="13">
        <v>5</v>
      </c>
      <c r="I77" s="13">
        <v>1</v>
      </c>
      <c r="J77" s="13"/>
      <c r="K77" s="16">
        <v>49000.0</v>
      </c>
      <c r="L77" s="16">
        <v>2400.0</v>
      </c>
      <c r="M77" s="16">
        <f>K77-L77</f>
        <v>46600</v>
      </c>
      <c r="N77" s="16"/>
      <c r="O77" s="16">
        <f>M77-N77</f>
        <v>46600</v>
      </c>
      <c r="P77" s="16">
        <f>IF(G77&gt;0, M77/G77, 0)</f>
        <v>7766.66666666666697</v>
      </c>
      <c r="Q77" s="18">
        <f>IF(M77&gt;0, O77/M77, 0)</f>
        <v>1</v>
      </c>
      <c r="R77" s="18">
        <v>0.01729641452008</v>
      </c>
    </row>
    <row r="78" spans="1:18">
      <c r="A78" s="10">
        <v>71</v>
      </c>
      <c r="B78" s="8" t="s">
        <v>52</v>
      </c>
      <c r="C78" s="8" t="s">
        <v>53</v>
      </c>
      <c r="D78" s="8" t="s">
        <v>53</v>
      </c>
      <c r="E78" s="10">
        <v>176</v>
      </c>
      <c r="F78" s="10" t="s">
        <v>55</v>
      </c>
      <c r="G78" s="12">
        <v>2</v>
      </c>
      <c r="H78" s="12"/>
      <c r="I78" s="12">
        <v>2</v>
      </c>
      <c r="J78" s="12"/>
      <c r="K78" s="15">
        <v>18000.0</v>
      </c>
      <c r="L78" s="15">
        <v>2700.0</v>
      </c>
      <c r="M78" s="15">
        <f>K78-L78</f>
        <v>15300</v>
      </c>
      <c r="N78" s="15"/>
      <c r="O78" s="15">
        <f>M78-N78</f>
        <v>15300</v>
      </c>
      <c r="P78" s="15">
        <f>IF(G78&gt;0, M78/G78, 0)</f>
        <v>7650</v>
      </c>
      <c r="Q78" s="17">
        <f>IF(M78&gt;0, O78/M78, 0)</f>
        <v>1</v>
      </c>
      <c r="R78" s="17">
        <v>0.0056788657115285</v>
      </c>
    </row>
    <row r="79" spans="1:18">
      <c r="A79" s="11">
        <v>72</v>
      </c>
      <c r="B79" s="9" t="s">
        <v>52</v>
      </c>
      <c r="C79" s="9" t="s">
        <v>53</v>
      </c>
      <c r="D79" s="9" t="s">
        <v>53</v>
      </c>
      <c r="E79" s="11">
        <v>182</v>
      </c>
      <c r="F79" s="11" t="s">
        <v>55</v>
      </c>
      <c r="G79" s="13">
        <v>1</v>
      </c>
      <c r="H79" s="13">
        <v>1</v>
      </c>
      <c r="I79" s="13"/>
      <c r="J79" s="13"/>
      <c r="K79" s="16">
        <v>8500.0</v>
      </c>
      <c r="L79" s="16"/>
      <c r="M79" s="16">
        <f>K79-L79</f>
        <v>8500</v>
      </c>
      <c r="N79" s="16"/>
      <c r="O79" s="16">
        <f>M79-N79</f>
        <v>8500</v>
      </c>
      <c r="P79" s="16">
        <f>IF(G79&gt;0, M79/G79, 0)</f>
        <v>8500</v>
      </c>
      <c r="Q79" s="18">
        <f>IF(M79&gt;0, O79/M79, 0)</f>
        <v>1</v>
      </c>
      <c r="R79" s="18">
        <v>0.0031549253952936</v>
      </c>
    </row>
    <row r="80" spans="1:18">
      <c r="A80" s="10">
        <v>73</v>
      </c>
      <c r="B80" s="8" t="s">
        <v>52</v>
      </c>
      <c r="C80" s="8" t="s">
        <v>53</v>
      </c>
      <c r="D80" s="8" t="s">
        <v>96</v>
      </c>
      <c r="E80" s="10">
        <v>122</v>
      </c>
      <c r="F80" s="10" t="s">
        <v>98</v>
      </c>
      <c r="G80" s="12">
        <v>1</v>
      </c>
      <c r="H80" s="12">
        <v>1</v>
      </c>
      <c r="I80" s="12"/>
      <c r="J80" s="12"/>
      <c r="K80" s="15">
        <v>8000.0</v>
      </c>
      <c r="L80" s="15"/>
      <c r="M80" s="15">
        <f>K80-L80</f>
        <v>8000</v>
      </c>
      <c r="N80" s="15"/>
      <c r="O80" s="15">
        <f>M80-N80</f>
        <v>8000</v>
      </c>
      <c r="P80" s="15">
        <f>IF(G80&gt;0, M80/G80, 0)</f>
        <v>8000</v>
      </c>
      <c r="Q80" s="17">
        <f>IF(M80&gt;0, O80/M80, 0)</f>
        <v>1</v>
      </c>
      <c r="R80" s="17">
        <v>0.0029693415485116</v>
      </c>
    </row>
    <row r="81" spans="1:18">
      <c r="A81" s="11">
        <v>74</v>
      </c>
      <c r="B81" s="9" t="s">
        <v>52</v>
      </c>
      <c r="C81" s="9" t="s">
        <v>47</v>
      </c>
      <c r="D81" s="9" t="s">
        <v>602</v>
      </c>
      <c r="E81" s="11">
        <v>140</v>
      </c>
      <c r="F81" s="11" t="s">
        <v>40</v>
      </c>
      <c r="G81" s="13">
        <v>1</v>
      </c>
      <c r="H81" s="13">
        <v>1</v>
      </c>
      <c r="I81" s="13"/>
      <c r="J81" s="13"/>
      <c r="K81" s="16">
        <v>15000.0</v>
      </c>
      <c r="L81" s="16"/>
      <c r="M81" s="16">
        <f>K81-L81</f>
        <v>15000</v>
      </c>
      <c r="N81" s="16"/>
      <c r="O81" s="16">
        <f>M81-N81</f>
        <v>15000</v>
      </c>
      <c r="P81" s="16">
        <f>IF(G81&gt;0, M81/G81, 0)</f>
        <v>15000</v>
      </c>
      <c r="Q81" s="18">
        <f>IF(M81&gt;0, O81/M81, 0)</f>
        <v>1</v>
      </c>
      <c r="R81" s="18">
        <v>0.0057447052966183</v>
      </c>
    </row>
    <row r="82" spans="1:18">
      <c r="A82" s="10">
        <v>75</v>
      </c>
      <c r="B82" s="8" t="s">
        <v>52</v>
      </c>
      <c r="C82" s="8" t="s">
        <v>47</v>
      </c>
      <c r="D82" s="8" t="s">
        <v>48</v>
      </c>
      <c r="E82" s="10">
        <v>110</v>
      </c>
      <c r="F82" s="10" t="s">
        <v>40</v>
      </c>
      <c r="G82" s="12">
        <v>1</v>
      </c>
      <c r="H82" s="12">
        <v>1</v>
      </c>
      <c r="I82" s="12"/>
      <c r="J82" s="12"/>
      <c r="K82" s="15">
        <v>18000.0</v>
      </c>
      <c r="L82" s="15"/>
      <c r="M82" s="15">
        <f>K82-L82</f>
        <v>18000</v>
      </c>
      <c r="N82" s="15"/>
      <c r="O82" s="15">
        <f>M82-N82</f>
        <v>18000</v>
      </c>
      <c r="P82" s="15">
        <f>IF(G82&gt;0, M82/G82, 0)</f>
        <v>18000</v>
      </c>
      <c r="Q82" s="17">
        <f>IF(M82&gt;0, O82/M82, 0)</f>
        <v>1</v>
      </c>
      <c r="R82" s="17">
        <v>0.0068936463559419</v>
      </c>
    </row>
    <row r="83" spans="1:18">
      <c r="A83" s="11">
        <v>76</v>
      </c>
      <c r="B83" s="9" t="s">
        <v>52</v>
      </c>
      <c r="C83" s="9" t="s">
        <v>47</v>
      </c>
      <c r="D83" s="9" t="s">
        <v>48</v>
      </c>
      <c r="E83" s="11">
        <v>116</v>
      </c>
      <c r="F83" s="11" t="s">
        <v>40</v>
      </c>
      <c r="G83" s="13">
        <v>4</v>
      </c>
      <c r="H83" s="13">
        <v>4</v>
      </c>
      <c r="I83" s="13"/>
      <c r="J83" s="13"/>
      <c r="K83" s="16">
        <v>72000.0</v>
      </c>
      <c r="L83" s="16"/>
      <c r="M83" s="16">
        <f>K83-L83</f>
        <v>72000</v>
      </c>
      <c r="N83" s="16"/>
      <c r="O83" s="16">
        <f>M83-N83</f>
        <v>72000</v>
      </c>
      <c r="P83" s="16">
        <f>IF(G83&gt;0, M83/G83, 0)</f>
        <v>18000</v>
      </c>
      <c r="Q83" s="18">
        <f>IF(M83&gt;0, O83/M83, 0)</f>
        <v>1</v>
      </c>
      <c r="R83" s="18">
        <v>0.027574585423768</v>
      </c>
    </row>
    <row r="84" spans="1:18">
      <c r="A84" s="10">
        <v>77</v>
      </c>
      <c r="B84" s="8" t="s">
        <v>52</v>
      </c>
      <c r="C84" s="8" t="s">
        <v>47</v>
      </c>
      <c r="D84" s="8" t="s">
        <v>48</v>
      </c>
      <c r="E84" s="10">
        <v>122</v>
      </c>
      <c r="F84" s="10" t="s">
        <v>40</v>
      </c>
      <c r="G84" s="12">
        <v>6</v>
      </c>
      <c r="H84" s="12">
        <v>6</v>
      </c>
      <c r="I84" s="12"/>
      <c r="J84" s="12"/>
      <c r="K84" s="15">
        <v>108000.0</v>
      </c>
      <c r="L84" s="15"/>
      <c r="M84" s="15">
        <f>K84-L84</f>
        <v>108000</v>
      </c>
      <c r="N84" s="15"/>
      <c r="O84" s="15">
        <f>M84-N84</f>
        <v>108000</v>
      </c>
      <c r="P84" s="15">
        <f>IF(G84&gt;0, M84/G84, 0)</f>
        <v>18000</v>
      </c>
      <c r="Q84" s="17">
        <f>IF(M84&gt;0, O84/M84, 0)</f>
        <v>1</v>
      </c>
      <c r="R84" s="17">
        <v>0.041361878135652</v>
      </c>
    </row>
    <row r="85" spans="1:18">
      <c r="A85" s="11">
        <v>78</v>
      </c>
      <c r="B85" s="9" t="s">
        <v>52</v>
      </c>
      <c r="C85" s="9" t="s">
        <v>47</v>
      </c>
      <c r="D85" s="9" t="s">
        <v>48</v>
      </c>
      <c r="E85" s="11">
        <v>128</v>
      </c>
      <c r="F85" s="11" t="s">
        <v>40</v>
      </c>
      <c r="G85" s="13">
        <v>11</v>
      </c>
      <c r="H85" s="13">
        <v>11</v>
      </c>
      <c r="I85" s="13"/>
      <c r="J85" s="13"/>
      <c r="K85" s="16">
        <v>198000.0</v>
      </c>
      <c r="L85" s="16"/>
      <c r="M85" s="16">
        <f>K85-L85</f>
        <v>198000</v>
      </c>
      <c r="N85" s="16"/>
      <c r="O85" s="16">
        <f>M85-N85</f>
        <v>198000</v>
      </c>
      <c r="P85" s="16">
        <f>IF(G85&gt;0, M85/G85, 0)</f>
        <v>18000</v>
      </c>
      <c r="Q85" s="18">
        <f>IF(M85&gt;0, O85/M85, 0)</f>
        <v>1</v>
      </c>
      <c r="R85" s="18">
        <v>0.075830109915361</v>
      </c>
    </row>
    <row r="86" spans="1:18">
      <c r="A86" s="10">
        <v>79</v>
      </c>
      <c r="B86" s="8" t="s">
        <v>52</v>
      </c>
      <c r="C86" s="8" t="s">
        <v>47</v>
      </c>
      <c r="D86" s="8" t="s">
        <v>48</v>
      </c>
      <c r="E86" s="10">
        <v>134</v>
      </c>
      <c r="F86" s="10" t="s">
        <v>40</v>
      </c>
      <c r="G86" s="12">
        <v>9</v>
      </c>
      <c r="H86" s="12">
        <v>9</v>
      </c>
      <c r="I86" s="12"/>
      <c r="J86" s="12"/>
      <c r="K86" s="15">
        <v>162000.0</v>
      </c>
      <c r="L86" s="15"/>
      <c r="M86" s="15">
        <f>K86-L86</f>
        <v>162000</v>
      </c>
      <c r="N86" s="15"/>
      <c r="O86" s="15">
        <f>M86-N86</f>
        <v>162000</v>
      </c>
      <c r="P86" s="15">
        <f>IF(G86&gt;0, M86/G86, 0)</f>
        <v>18000</v>
      </c>
      <c r="Q86" s="17">
        <f>IF(M86&gt;0, O86/M86, 0)</f>
        <v>1</v>
      </c>
      <c r="R86" s="17">
        <v>0.062042817203477</v>
      </c>
    </row>
    <row r="87" spans="1:18">
      <c r="A87" s="11">
        <v>80</v>
      </c>
      <c r="B87" s="9" t="s">
        <v>52</v>
      </c>
      <c r="C87" s="9" t="s">
        <v>47</v>
      </c>
      <c r="D87" s="9" t="s">
        <v>48</v>
      </c>
      <c r="E87" s="11">
        <v>140</v>
      </c>
      <c r="F87" s="11" t="s">
        <v>40</v>
      </c>
      <c r="G87" s="13">
        <v>12</v>
      </c>
      <c r="H87" s="13">
        <v>12</v>
      </c>
      <c r="I87" s="13"/>
      <c r="J87" s="13"/>
      <c r="K87" s="16">
        <v>216000.0</v>
      </c>
      <c r="L87" s="16"/>
      <c r="M87" s="16">
        <f>K87-L87</f>
        <v>216000</v>
      </c>
      <c r="N87" s="16"/>
      <c r="O87" s="16">
        <f>M87-N87</f>
        <v>216000</v>
      </c>
      <c r="P87" s="16">
        <f>IF(G87&gt;0, M87/G87, 0)</f>
        <v>18000</v>
      </c>
      <c r="Q87" s="18">
        <f>IF(M87&gt;0, O87/M87, 0)</f>
        <v>1</v>
      </c>
      <c r="R87" s="18">
        <v>0.082723756271303</v>
      </c>
    </row>
    <row r="88" spans="1:18">
      <c r="A88" s="10">
        <v>81</v>
      </c>
      <c r="B88" s="8" t="s">
        <v>52</v>
      </c>
      <c r="C88" s="8" t="s">
        <v>47</v>
      </c>
      <c r="D88" s="8" t="s">
        <v>48</v>
      </c>
      <c r="E88" s="10">
        <v>146</v>
      </c>
      <c r="F88" s="10" t="s">
        <v>40</v>
      </c>
      <c r="G88" s="12">
        <v>11</v>
      </c>
      <c r="H88" s="12">
        <v>11</v>
      </c>
      <c r="I88" s="12"/>
      <c r="J88" s="12"/>
      <c r="K88" s="15">
        <v>198000.0</v>
      </c>
      <c r="L88" s="15"/>
      <c r="M88" s="15">
        <f>K88-L88</f>
        <v>198000</v>
      </c>
      <c r="N88" s="15"/>
      <c r="O88" s="15">
        <f>M88-N88</f>
        <v>198000</v>
      </c>
      <c r="P88" s="15">
        <f>IF(G88&gt;0, M88/G88, 0)</f>
        <v>18000</v>
      </c>
      <c r="Q88" s="17">
        <f>IF(M88&gt;0, O88/M88, 0)</f>
        <v>1</v>
      </c>
      <c r="R88" s="17">
        <v>0.075830109915361</v>
      </c>
    </row>
    <row r="89" spans="1:18">
      <c r="A89" s="11">
        <v>82</v>
      </c>
      <c r="B89" s="9" t="s">
        <v>52</v>
      </c>
      <c r="C89" s="9" t="s">
        <v>47</v>
      </c>
      <c r="D89" s="9" t="s">
        <v>48</v>
      </c>
      <c r="E89" s="11">
        <v>152</v>
      </c>
      <c r="F89" s="11" t="s">
        <v>40</v>
      </c>
      <c r="G89" s="13">
        <v>8</v>
      </c>
      <c r="H89" s="13">
        <v>8</v>
      </c>
      <c r="I89" s="13"/>
      <c r="J89" s="13"/>
      <c r="K89" s="16">
        <v>144000.0</v>
      </c>
      <c r="L89" s="16"/>
      <c r="M89" s="16">
        <f>K89-L89</f>
        <v>144000</v>
      </c>
      <c r="N89" s="16"/>
      <c r="O89" s="16">
        <f>M89-N89</f>
        <v>144000</v>
      </c>
      <c r="P89" s="16">
        <f>IF(G89&gt;0, M89/G89, 0)</f>
        <v>18000</v>
      </c>
      <c r="Q89" s="18">
        <f>IF(M89&gt;0, O89/M89, 0)</f>
        <v>1</v>
      </c>
      <c r="R89" s="18">
        <v>0.055149170847536</v>
      </c>
    </row>
    <row r="90" spans="1:18">
      <c r="A90" s="10">
        <v>83</v>
      </c>
      <c r="B90" s="8" t="s">
        <v>52</v>
      </c>
      <c r="C90" s="8" t="s">
        <v>47</v>
      </c>
      <c r="D90" s="8" t="s">
        <v>48</v>
      </c>
      <c r="E90" s="10">
        <v>158</v>
      </c>
      <c r="F90" s="10" t="s">
        <v>40</v>
      </c>
      <c r="G90" s="12">
        <v>9</v>
      </c>
      <c r="H90" s="12">
        <v>9</v>
      </c>
      <c r="I90" s="12"/>
      <c r="J90" s="12"/>
      <c r="K90" s="15">
        <v>160000.0</v>
      </c>
      <c r="L90" s="15">
        <v>2400.0</v>
      </c>
      <c r="M90" s="15">
        <f>K90-L90</f>
        <v>157600</v>
      </c>
      <c r="N90" s="15"/>
      <c r="O90" s="15">
        <f>M90-N90</f>
        <v>157600</v>
      </c>
      <c r="P90" s="15">
        <f>IF(G90&gt;0, M90/G90, 0)</f>
        <v>17511.11111111110949</v>
      </c>
      <c r="Q90" s="17">
        <f>IF(M90&gt;0, O90/M90, 0)</f>
        <v>1</v>
      </c>
      <c r="R90" s="17">
        <v>0.060357703649803</v>
      </c>
    </row>
    <row r="91" spans="1:18">
      <c r="A91" s="11">
        <v>84</v>
      </c>
      <c r="B91" s="9" t="s">
        <v>52</v>
      </c>
      <c r="C91" s="9" t="s">
        <v>47</v>
      </c>
      <c r="D91" s="9" t="s">
        <v>48</v>
      </c>
      <c r="E91" s="11">
        <v>170</v>
      </c>
      <c r="F91" s="11" t="s">
        <v>40</v>
      </c>
      <c r="G91" s="13">
        <v>2</v>
      </c>
      <c r="H91" s="13">
        <v>2</v>
      </c>
      <c r="I91" s="13"/>
      <c r="J91" s="13"/>
      <c r="K91" s="16">
        <v>36000.0</v>
      </c>
      <c r="L91" s="16"/>
      <c r="M91" s="16">
        <f>K91-L91</f>
        <v>36000</v>
      </c>
      <c r="N91" s="16"/>
      <c r="O91" s="16">
        <f>M91-N91</f>
        <v>36000</v>
      </c>
      <c r="P91" s="16">
        <f>IF(G91&gt;0, M91/G91, 0)</f>
        <v>18000</v>
      </c>
      <c r="Q91" s="18">
        <f>IF(M91&gt;0, O91/M91, 0)</f>
        <v>1</v>
      </c>
      <c r="R91" s="18">
        <v>0.013787292711884</v>
      </c>
    </row>
    <row r="92" spans="1:18">
      <c r="A92" s="10">
        <v>85</v>
      </c>
      <c r="B92" s="8" t="s">
        <v>52</v>
      </c>
      <c r="C92" s="8" t="s">
        <v>58</v>
      </c>
      <c r="D92" s="8" t="s">
        <v>58</v>
      </c>
      <c r="E92" s="10">
        <v>110</v>
      </c>
      <c r="F92" s="10" t="s">
        <v>40</v>
      </c>
      <c r="G92" s="12">
        <v>9</v>
      </c>
      <c r="H92" s="12">
        <v>9</v>
      </c>
      <c r="I92" s="12"/>
      <c r="J92" s="12"/>
      <c r="K92" s="15">
        <v>64000.0</v>
      </c>
      <c r="L92" s="15"/>
      <c r="M92" s="15">
        <f>K92-L92</f>
        <v>64000</v>
      </c>
      <c r="N92" s="15"/>
      <c r="O92" s="15">
        <f>M92-N92</f>
        <v>64000</v>
      </c>
      <c r="P92" s="15">
        <f>IF(G92&gt;0, M92/G92, 0)</f>
        <v>7111.11111111111131</v>
      </c>
      <c r="Q92" s="17">
        <f>IF(M92&gt;0, O92/M92, 0)</f>
        <v>1</v>
      </c>
      <c r="R92" s="17">
        <v>0.052774800032984</v>
      </c>
    </row>
    <row r="93" spans="1:18">
      <c r="A93" s="11">
        <v>86</v>
      </c>
      <c r="B93" s="9" t="s">
        <v>52</v>
      </c>
      <c r="C93" s="9" t="s">
        <v>58</v>
      </c>
      <c r="D93" s="9" t="s">
        <v>58</v>
      </c>
      <c r="E93" s="11">
        <v>116</v>
      </c>
      <c r="F93" s="11" t="s">
        <v>40</v>
      </c>
      <c r="G93" s="13">
        <v>4</v>
      </c>
      <c r="H93" s="13">
        <v>3</v>
      </c>
      <c r="I93" s="13">
        <v>1</v>
      </c>
      <c r="J93" s="13"/>
      <c r="K93" s="16">
        <v>29000.0</v>
      </c>
      <c r="L93" s="16"/>
      <c r="M93" s="16">
        <f>K93-L93</f>
        <v>29000</v>
      </c>
      <c r="N93" s="16"/>
      <c r="O93" s="16">
        <f>M93-N93</f>
        <v>29000</v>
      </c>
      <c r="P93" s="16">
        <f>IF(G93&gt;0, M93/G93, 0)</f>
        <v>7250</v>
      </c>
      <c r="Q93" s="18">
        <f>IF(M93&gt;0, O93/M93, 0)</f>
        <v>1</v>
      </c>
      <c r="R93" s="18">
        <v>0.023913581264946</v>
      </c>
    </row>
    <row r="94" spans="1:18">
      <c r="A94" s="10">
        <v>87</v>
      </c>
      <c r="B94" s="8" t="s">
        <v>52</v>
      </c>
      <c r="C94" s="8" t="s">
        <v>58</v>
      </c>
      <c r="D94" s="8" t="s">
        <v>58</v>
      </c>
      <c r="E94" s="10">
        <v>122</v>
      </c>
      <c r="F94" s="10" t="s">
        <v>40</v>
      </c>
      <c r="G94" s="12">
        <v>6</v>
      </c>
      <c r="H94" s="12">
        <v>2</v>
      </c>
      <c r="I94" s="12">
        <v>4</v>
      </c>
      <c r="J94" s="12"/>
      <c r="K94" s="15">
        <v>48000.0</v>
      </c>
      <c r="L94" s="15"/>
      <c r="M94" s="15">
        <f>K94-L94</f>
        <v>48000</v>
      </c>
      <c r="N94" s="15"/>
      <c r="O94" s="15">
        <f>M94-N94</f>
        <v>48000</v>
      </c>
      <c r="P94" s="15">
        <f>IF(G94&gt;0, M94/G94, 0)</f>
        <v>8000</v>
      </c>
      <c r="Q94" s="17">
        <f>IF(M94&gt;0, O94/M94, 0)</f>
        <v>1</v>
      </c>
      <c r="R94" s="17">
        <v>0.039581100024738</v>
      </c>
    </row>
    <row r="95" spans="1:18">
      <c r="A95" s="11">
        <v>88</v>
      </c>
      <c r="B95" s="9" t="s">
        <v>52</v>
      </c>
      <c r="C95" s="9" t="s">
        <v>58</v>
      </c>
      <c r="D95" s="9" t="s">
        <v>58</v>
      </c>
      <c r="E95" s="11">
        <v>128</v>
      </c>
      <c r="F95" s="11" t="s">
        <v>40</v>
      </c>
      <c r="G95" s="13">
        <v>8</v>
      </c>
      <c r="H95" s="13">
        <v>1</v>
      </c>
      <c r="I95" s="13">
        <v>7</v>
      </c>
      <c r="J95" s="13"/>
      <c r="K95" s="16">
        <v>64000.0</v>
      </c>
      <c r="L95" s="16"/>
      <c r="M95" s="16">
        <f>K95-L95</f>
        <v>64000</v>
      </c>
      <c r="N95" s="16"/>
      <c r="O95" s="16">
        <f>M95-N95</f>
        <v>64000</v>
      </c>
      <c r="P95" s="16">
        <f>IF(G95&gt;0, M95/G95, 0)</f>
        <v>8000</v>
      </c>
      <c r="Q95" s="18">
        <f>IF(M95&gt;0, O95/M95, 0)</f>
        <v>1</v>
      </c>
      <c r="R95" s="18">
        <v>0.052774800032984</v>
      </c>
    </row>
    <row r="96" spans="1:18">
      <c r="A96" s="10">
        <v>89</v>
      </c>
      <c r="B96" s="8" t="s">
        <v>52</v>
      </c>
      <c r="C96" s="8" t="s">
        <v>58</v>
      </c>
      <c r="D96" s="8" t="s">
        <v>58</v>
      </c>
      <c r="E96" s="10">
        <v>134</v>
      </c>
      <c r="F96" s="10" t="s">
        <v>40</v>
      </c>
      <c r="G96" s="12">
        <v>15</v>
      </c>
      <c r="H96" s="12">
        <v>4</v>
      </c>
      <c r="I96" s="12">
        <v>11</v>
      </c>
      <c r="J96" s="12"/>
      <c r="K96" s="15">
        <v>121000.0</v>
      </c>
      <c r="L96" s="15"/>
      <c r="M96" s="15">
        <f>K96-L96</f>
        <v>121000</v>
      </c>
      <c r="N96" s="15"/>
      <c r="O96" s="15">
        <f>M96-N96</f>
        <v>121000</v>
      </c>
      <c r="P96" s="15">
        <f>IF(G96&gt;0, M96/G96, 0)</f>
        <v>8066.66666666666697</v>
      </c>
      <c r="Q96" s="17">
        <f>IF(M96&gt;0, O96/M96, 0)</f>
        <v>1</v>
      </c>
      <c r="R96" s="17">
        <v>0.099777356312361</v>
      </c>
    </row>
    <row r="97" spans="1:18">
      <c r="A97" s="11">
        <v>90</v>
      </c>
      <c r="B97" s="9" t="s">
        <v>52</v>
      </c>
      <c r="C97" s="9" t="s">
        <v>58</v>
      </c>
      <c r="D97" s="9" t="s">
        <v>58</v>
      </c>
      <c r="E97" s="11">
        <v>140</v>
      </c>
      <c r="F97" s="11" t="s">
        <v>40</v>
      </c>
      <c r="G97" s="13">
        <v>15</v>
      </c>
      <c r="H97" s="13">
        <v>9</v>
      </c>
      <c r="I97" s="13">
        <v>6</v>
      </c>
      <c r="J97" s="13"/>
      <c r="K97" s="16">
        <v>114000.0</v>
      </c>
      <c r="L97" s="16">
        <v>800.0</v>
      </c>
      <c r="M97" s="16">
        <f>K97-L97</f>
        <v>113200</v>
      </c>
      <c r="N97" s="16"/>
      <c r="O97" s="16">
        <f>M97-N97</f>
        <v>113200</v>
      </c>
      <c r="P97" s="16">
        <f>IF(G97&gt;0, M97/G97, 0)</f>
        <v>7546.66666666666697</v>
      </c>
      <c r="Q97" s="18">
        <f>IF(M97&gt;0, O97/M97, 0)</f>
        <v>1</v>
      </c>
      <c r="R97" s="18">
        <v>0.093345427558341</v>
      </c>
    </row>
    <row r="98" spans="1:18">
      <c r="A98" s="10">
        <v>91</v>
      </c>
      <c r="B98" s="8" t="s">
        <v>52</v>
      </c>
      <c r="C98" s="8" t="s">
        <v>58</v>
      </c>
      <c r="D98" s="8" t="s">
        <v>58</v>
      </c>
      <c r="E98" s="10">
        <v>146</v>
      </c>
      <c r="F98" s="10" t="s">
        <v>40</v>
      </c>
      <c r="G98" s="12">
        <v>6</v>
      </c>
      <c r="H98" s="12"/>
      <c r="I98" s="12">
        <v>6</v>
      </c>
      <c r="J98" s="12"/>
      <c r="K98" s="15">
        <v>48000.0</v>
      </c>
      <c r="L98" s="15"/>
      <c r="M98" s="15">
        <f>K98-L98</f>
        <v>48000</v>
      </c>
      <c r="N98" s="15"/>
      <c r="O98" s="15">
        <f>M98-N98</f>
        <v>48000</v>
      </c>
      <c r="P98" s="15">
        <f>IF(G98&gt;0, M98/G98, 0)</f>
        <v>8000</v>
      </c>
      <c r="Q98" s="17">
        <f>IF(M98&gt;0, O98/M98, 0)</f>
        <v>1</v>
      </c>
      <c r="R98" s="17">
        <v>0.039581100024738</v>
      </c>
    </row>
    <row r="99" spans="1:18">
      <c r="A99" s="11">
        <v>92</v>
      </c>
      <c r="B99" s="9" t="s">
        <v>52</v>
      </c>
      <c r="C99" s="9" t="s">
        <v>58</v>
      </c>
      <c r="D99" s="9" t="s">
        <v>58</v>
      </c>
      <c r="E99" s="11">
        <v>152</v>
      </c>
      <c r="F99" s="11" t="s">
        <v>40</v>
      </c>
      <c r="G99" s="13">
        <v>17</v>
      </c>
      <c r="H99" s="13">
        <v>16</v>
      </c>
      <c r="I99" s="13">
        <v>1</v>
      </c>
      <c r="J99" s="13"/>
      <c r="K99" s="16">
        <v>120000.0</v>
      </c>
      <c r="L99" s="16"/>
      <c r="M99" s="16">
        <f>K99-L99</f>
        <v>120000</v>
      </c>
      <c r="N99" s="16"/>
      <c r="O99" s="16">
        <f>M99-N99</f>
        <v>120000</v>
      </c>
      <c r="P99" s="16">
        <f>IF(G99&gt;0, M99/G99, 0)</f>
        <v>7058.82352941176487</v>
      </c>
      <c r="Q99" s="18">
        <f>IF(M99&gt;0, O99/M99, 0)</f>
        <v>1</v>
      </c>
      <c r="R99" s="18">
        <v>0.098952750061845</v>
      </c>
    </row>
    <row r="100" spans="1:18">
      <c r="A100" s="10">
        <v>93</v>
      </c>
      <c r="B100" s="8" t="s">
        <v>52</v>
      </c>
      <c r="C100" s="8" t="s">
        <v>58</v>
      </c>
      <c r="D100" s="8" t="s">
        <v>58</v>
      </c>
      <c r="E100" s="10">
        <v>158</v>
      </c>
      <c r="F100" s="10" t="s">
        <v>40</v>
      </c>
      <c r="G100" s="12">
        <v>8</v>
      </c>
      <c r="H100" s="12">
        <v>8</v>
      </c>
      <c r="I100" s="12"/>
      <c r="J100" s="12"/>
      <c r="K100" s="15">
        <v>58500.0</v>
      </c>
      <c r="L100" s="15"/>
      <c r="M100" s="15">
        <f>K100-L100</f>
        <v>58500</v>
      </c>
      <c r="N100" s="15"/>
      <c r="O100" s="15">
        <f>M100-N100</f>
        <v>58500</v>
      </c>
      <c r="P100" s="15">
        <f>IF(G100&gt;0, M100/G100, 0)</f>
        <v>7312.5</v>
      </c>
      <c r="Q100" s="17">
        <f>IF(M100&gt;0, O100/M100, 0)</f>
        <v>1</v>
      </c>
      <c r="R100" s="17">
        <v>0.04823946565515</v>
      </c>
    </row>
    <row r="101" spans="1:18">
      <c r="A101" s="11">
        <v>94</v>
      </c>
      <c r="B101" s="9" t="s">
        <v>52</v>
      </c>
      <c r="C101" s="9" t="s">
        <v>58</v>
      </c>
      <c r="D101" s="9" t="s">
        <v>58</v>
      </c>
      <c r="E101" s="11">
        <v>164</v>
      </c>
      <c r="F101" s="11" t="s">
        <v>40</v>
      </c>
      <c r="G101" s="13">
        <v>4</v>
      </c>
      <c r="H101" s="13">
        <v>4</v>
      </c>
      <c r="I101" s="13"/>
      <c r="J101" s="13"/>
      <c r="K101" s="16">
        <v>31000.0</v>
      </c>
      <c r="L101" s="16"/>
      <c r="M101" s="16">
        <f>K101-L101</f>
        <v>31000</v>
      </c>
      <c r="N101" s="16"/>
      <c r="O101" s="16">
        <f>M101-N101</f>
        <v>31000</v>
      </c>
      <c r="P101" s="16">
        <f>IF(G101&gt;0, M101/G101, 0)</f>
        <v>7750</v>
      </c>
      <c r="Q101" s="18">
        <f>IF(M101&gt;0, O101/M101, 0)</f>
        <v>1</v>
      </c>
      <c r="R101" s="18">
        <v>0.025562793765977</v>
      </c>
    </row>
    <row r="102" spans="1:18">
      <c r="A102" s="10">
        <v>95</v>
      </c>
      <c r="B102" s="8" t="s">
        <v>52</v>
      </c>
      <c r="C102" s="8" t="s">
        <v>58</v>
      </c>
      <c r="D102" s="8" t="s">
        <v>58</v>
      </c>
      <c r="E102" s="10">
        <v>170</v>
      </c>
      <c r="F102" s="10" t="s">
        <v>40</v>
      </c>
      <c r="G102" s="12">
        <v>1</v>
      </c>
      <c r="H102" s="12">
        <v>1</v>
      </c>
      <c r="I102" s="12"/>
      <c r="J102" s="12"/>
      <c r="K102" s="15">
        <v>7500.0</v>
      </c>
      <c r="L102" s="15"/>
      <c r="M102" s="15">
        <f>K102-L102</f>
        <v>7500</v>
      </c>
      <c r="N102" s="15"/>
      <c r="O102" s="15">
        <f>M102-N102</f>
        <v>7500</v>
      </c>
      <c r="P102" s="15">
        <f>IF(G102&gt;0, M102/G102, 0)</f>
        <v>7500</v>
      </c>
      <c r="Q102" s="17">
        <f>IF(M102&gt;0, O102/M102, 0)</f>
        <v>1</v>
      </c>
      <c r="R102" s="17">
        <v>0.0061845468788653</v>
      </c>
    </row>
    <row r="103" spans="1:18">
      <c r="A103" s="11">
        <v>96</v>
      </c>
      <c r="B103" s="9" t="s">
        <v>52</v>
      </c>
      <c r="C103" s="9" t="s">
        <v>1857</v>
      </c>
      <c r="D103" s="9" t="s">
        <v>1858</v>
      </c>
      <c r="E103" s="11">
        <v>128</v>
      </c>
      <c r="F103" s="11" t="s">
        <v>44</v>
      </c>
      <c r="G103" s="13">
        <v>1</v>
      </c>
      <c r="H103" s="13"/>
      <c r="I103" s="13">
        <v>1</v>
      </c>
      <c r="J103" s="13"/>
      <c r="K103" s="16">
        <v>10000.0</v>
      </c>
      <c r="L103" s="16"/>
      <c r="M103" s="16">
        <f>K103-L103</f>
        <v>10000</v>
      </c>
      <c r="N103" s="16"/>
      <c r="O103" s="16">
        <f>M103-N103</f>
        <v>10000</v>
      </c>
      <c r="P103" s="16">
        <f>IF(G103&gt;0, M103/G103, 0)</f>
        <v>10000</v>
      </c>
      <c r="Q103" s="18">
        <f>IF(M103&gt;0, O103/M103, 0)</f>
        <v>1</v>
      </c>
      <c r="R103" s="18">
        <v>0.3448275862069</v>
      </c>
    </row>
    <row r="104" spans="1:18">
      <c r="A104" s="10">
        <v>97</v>
      </c>
      <c r="B104" s="8" t="s">
        <v>36</v>
      </c>
      <c r="C104" s="8" t="s">
        <v>71</v>
      </c>
      <c r="D104" s="8" t="s">
        <v>71</v>
      </c>
      <c r="E104" s="10">
        <v>134</v>
      </c>
      <c r="F104" s="10" t="s">
        <v>40</v>
      </c>
      <c r="G104" s="12">
        <v>1</v>
      </c>
      <c r="H104" s="12">
        <v>1</v>
      </c>
      <c r="I104" s="12"/>
      <c r="J104" s="12"/>
      <c r="K104" s="15">
        <v>18000.0</v>
      </c>
      <c r="L104" s="15"/>
      <c r="M104" s="15">
        <f>K104-L104</f>
        <v>18000</v>
      </c>
      <c r="N104" s="15"/>
      <c r="O104" s="15">
        <f>M104-N104</f>
        <v>18000</v>
      </c>
      <c r="P104" s="15">
        <f>IF(G104&gt;0, M104/G104, 0)</f>
        <v>18000</v>
      </c>
      <c r="Q104" s="17">
        <f>IF(M104&gt;0, O104/M104, 0)</f>
        <v>1</v>
      </c>
      <c r="R104" s="17">
        <v>0.0045788710539035</v>
      </c>
    </row>
    <row r="105" spans="1:18">
      <c r="A105" s="11">
        <v>98</v>
      </c>
      <c r="B105" s="9" t="s">
        <v>36</v>
      </c>
      <c r="C105" s="9" t="s">
        <v>71</v>
      </c>
      <c r="D105" s="9" t="s">
        <v>71</v>
      </c>
      <c r="E105" s="11">
        <v>140</v>
      </c>
      <c r="F105" s="11" t="s">
        <v>40</v>
      </c>
      <c r="G105" s="13">
        <v>3</v>
      </c>
      <c r="H105" s="13"/>
      <c r="I105" s="13">
        <v>3</v>
      </c>
      <c r="J105" s="13"/>
      <c r="K105" s="16">
        <v>51000.0</v>
      </c>
      <c r="L105" s="16"/>
      <c r="M105" s="16">
        <f>K105-L105</f>
        <v>51000</v>
      </c>
      <c r="N105" s="16"/>
      <c r="O105" s="16">
        <f>M105-N105</f>
        <v>51000</v>
      </c>
      <c r="P105" s="16">
        <f>IF(G105&gt;0, M105/G105, 0)</f>
        <v>17000</v>
      </c>
      <c r="Q105" s="18">
        <f>IF(M105&gt;0, O105/M105, 0)</f>
        <v>1</v>
      </c>
      <c r="R105" s="18">
        <v>0.01297346798606</v>
      </c>
    </row>
    <row r="106" spans="1:18">
      <c r="A106" s="10">
        <v>99</v>
      </c>
      <c r="B106" s="8" t="s">
        <v>36</v>
      </c>
      <c r="C106" s="8" t="s">
        <v>71</v>
      </c>
      <c r="D106" s="8" t="s">
        <v>71</v>
      </c>
      <c r="E106" s="10">
        <v>146</v>
      </c>
      <c r="F106" s="10" t="s">
        <v>40</v>
      </c>
      <c r="G106" s="12">
        <v>5</v>
      </c>
      <c r="H106" s="12">
        <v>4</v>
      </c>
      <c r="I106" s="12">
        <v>1</v>
      </c>
      <c r="J106" s="12"/>
      <c r="K106" s="15">
        <v>81500.0</v>
      </c>
      <c r="L106" s="15"/>
      <c r="M106" s="15">
        <f>K106-L106</f>
        <v>81500</v>
      </c>
      <c r="N106" s="15"/>
      <c r="O106" s="15">
        <f>M106-N106</f>
        <v>81500</v>
      </c>
      <c r="P106" s="15">
        <f>IF(G106&gt;0, M106/G106, 0)</f>
        <v>16300</v>
      </c>
      <c r="Q106" s="17">
        <f>IF(M106&gt;0, O106/M106, 0)</f>
        <v>1</v>
      </c>
      <c r="R106" s="17">
        <v>0.020732110605174</v>
      </c>
    </row>
    <row r="107" spans="1:18">
      <c r="A107" s="11">
        <v>100</v>
      </c>
      <c r="B107" s="9" t="s">
        <v>36</v>
      </c>
      <c r="C107" s="9" t="s">
        <v>71</v>
      </c>
      <c r="D107" s="9" t="s">
        <v>71</v>
      </c>
      <c r="E107" s="11">
        <v>152</v>
      </c>
      <c r="F107" s="11" t="s">
        <v>40</v>
      </c>
      <c r="G107" s="13">
        <v>11</v>
      </c>
      <c r="H107" s="13">
        <v>9</v>
      </c>
      <c r="I107" s="13">
        <v>2</v>
      </c>
      <c r="J107" s="13"/>
      <c r="K107" s="16">
        <v>184000.0</v>
      </c>
      <c r="L107" s="16"/>
      <c r="M107" s="16">
        <f>K107-L107</f>
        <v>184000</v>
      </c>
      <c r="N107" s="16"/>
      <c r="O107" s="16">
        <f>M107-N107</f>
        <v>184000</v>
      </c>
      <c r="P107" s="16">
        <f>IF(G107&gt;0, M107/G107, 0)</f>
        <v>16727.27272727272793</v>
      </c>
      <c r="Q107" s="18">
        <f>IF(M107&gt;0, O107/M107, 0)</f>
        <v>1</v>
      </c>
      <c r="R107" s="18">
        <v>0.046806237439902</v>
      </c>
    </row>
    <row r="108" spans="1:18">
      <c r="A108" s="10">
        <v>101</v>
      </c>
      <c r="B108" s="8" t="s">
        <v>36</v>
      </c>
      <c r="C108" s="8" t="s">
        <v>71</v>
      </c>
      <c r="D108" s="8" t="s">
        <v>71</v>
      </c>
      <c r="E108" s="10">
        <v>158</v>
      </c>
      <c r="F108" s="10" t="s">
        <v>40</v>
      </c>
      <c r="G108" s="12">
        <v>16</v>
      </c>
      <c r="H108" s="12">
        <v>4</v>
      </c>
      <c r="I108" s="12">
        <v>12</v>
      </c>
      <c r="J108" s="12">
        <v>2</v>
      </c>
      <c r="K108" s="15">
        <v>283000.0</v>
      </c>
      <c r="L108" s="15"/>
      <c r="M108" s="15">
        <f>K108-L108</f>
        <v>283000</v>
      </c>
      <c r="N108" s="15"/>
      <c r="O108" s="15">
        <f>M108-N108</f>
        <v>283000</v>
      </c>
      <c r="P108" s="15">
        <f>IF(G108&gt;0, M108/G108, 0)</f>
        <v>17687.5</v>
      </c>
      <c r="Q108" s="17">
        <f>IF(M108&gt;0, O108/M108, 0)</f>
        <v>1</v>
      </c>
      <c r="R108" s="17">
        <v>0.071990028236372</v>
      </c>
    </row>
    <row r="109" spans="1:18">
      <c r="A109" s="11">
        <v>102</v>
      </c>
      <c r="B109" s="9" t="s">
        <v>36</v>
      </c>
      <c r="C109" s="9" t="s">
        <v>71</v>
      </c>
      <c r="D109" s="9" t="s">
        <v>71</v>
      </c>
      <c r="E109" s="11">
        <v>164</v>
      </c>
      <c r="F109" s="11" t="s">
        <v>40</v>
      </c>
      <c r="G109" s="13">
        <v>15</v>
      </c>
      <c r="H109" s="13">
        <v>4</v>
      </c>
      <c r="I109" s="13">
        <v>11</v>
      </c>
      <c r="J109" s="13">
        <v>2</v>
      </c>
      <c r="K109" s="16">
        <v>270000.0</v>
      </c>
      <c r="L109" s="16"/>
      <c r="M109" s="16">
        <f>K109-L109</f>
        <v>270000</v>
      </c>
      <c r="N109" s="16"/>
      <c r="O109" s="16">
        <f>M109-N109</f>
        <v>270000</v>
      </c>
      <c r="P109" s="16">
        <f>IF(G109&gt;0, M109/G109, 0)</f>
        <v>18000</v>
      </c>
      <c r="Q109" s="18">
        <f>IF(M109&gt;0, O109/M109, 0)</f>
        <v>1</v>
      </c>
      <c r="R109" s="18">
        <v>0.068683065808552</v>
      </c>
    </row>
    <row r="110" spans="1:18">
      <c r="A110" s="10">
        <v>103</v>
      </c>
      <c r="B110" s="8" t="s">
        <v>36</v>
      </c>
      <c r="C110" s="8" t="s">
        <v>71</v>
      </c>
      <c r="D110" s="8" t="s">
        <v>71</v>
      </c>
      <c r="E110" s="10">
        <v>170</v>
      </c>
      <c r="F110" s="10" t="s">
        <v>40</v>
      </c>
      <c r="G110" s="12">
        <v>11</v>
      </c>
      <c r="H110" s="12">
        <v>10</v>
      </c>
      <c r="I110" s="12">
        <v>1</v>
      </c>
      <c r="J110" s="12">
        <v>2</v>
      </c>
      <c r="K110" s="15">
        <v>187500.0</v>
      </c>
      <c r="L110" s="15"/>
      <c r="M110" s="15">
        <f>K110-L110</f>
        <v>187500</v>
      </c>
      <c r="N110" s="15"/>
      <c r="O110" s="15">
        <f>M110-N110</f>
        <v>187500</v>
      </c>
      <c r="P110" s="15">
        <f>IF(G110&gt;0, M110/G110, 0)</f>
        <v>17045.45454545454413</v>
      </c>
      <c r="Q110" s="17">
        <f>IF(M110&gt;0, O110/M110, 0)</f>
        <v>1</v>
      </c>
      <c r="R110" s="17">
        <v>0.047696573478161</v>
      </c>
    </row>
    <row r="111" spans="1:18">
      <c r="A111" s="11">
        <v>104</v>
      </c>
      <c r="B111" s="9" t="s">
        <v>36</v>
      </c>
      <c r="C111" s="9" t="s">
        <v>71</v>
      </c>
      <c r="D111" s="9" t="s">
        <v>71</v>
      </c>
      <c r="E111" s="11">
        <v>176</v>
      </c>
      <c r="F111" s="11" t="s">
        <v>40</v>
      </c>
      <c r="G111" s="13">
        <v>22</v>
      </c>
      <c r="H111" s="13">
        <v>19</v>
      </c>
      <c r="I111" s="13">
        <v>3</v>
      </c>
      <c r="J111" s="13">
        <v>1</v>
      </c>
      <c r="K111" s="16">
        <v>368500.0</v>
      </c>
      <c r="L111" s="16"/>
      <c r="M111" s="16">
        <f>K111-L111</f>
        <v>368500</v>
      </c>
      <c r="N111" s="16"/>
      <c r="O111" s="16">
        <f>M111-N111</f>
        <v>368500</v>
      </c>
      <c r="P111" s="16">
        <f>IF(G111&gt;0, M111/G111, 0)</f>
        <v>16750</v>
      </c>
      <c r="Q111" s="18">
        <f>IF(M111&gt;0, O111/M111, 0)</f>
        <v>1</v>
      </c>
      <c r="R111" s="18">
        <v>0.093739665742413</v>
      </c>
    </row>
    <row r="112" spans="1:18">
      <c r="A112" s="10">
        <v>105</v>
      </c>
      <c r="B112" s="8" t="s">
        <v>36</v>
      </c>
      <c r="C112" s="8" t="s">
        <v>71</v>
      </c>
      <c r="D112" s="8" t="s">
        <v>71</v>
      </c>
      <c r="E112" s="10">
        <v>182</v>
      </c>
      <c r="F112" s="10" t="s">
        <v>40</v>
      </c>
      <c r="G112" s="12">
        <v>10</v>
      </c>
      <c r="H112" s="12">
        <v>10</v>
      </c>
      <c r="I112" s="12"/>
      <c r="J112" s="12"/>
      <c r="K112" s="15">
        <v>166500.0</v>
      </c>
      <c r="L112" s="15"/>
      <c r="M112" s="15">
        <f>K112-L112</f>
        <v>166500</v>
      </c>
      <c r="N112" s="15"/>
      <c r="O112" s="15">
        <f>M112-N112</f>
        <v>166500</v>
      </c>
      <c r="P112" s="15">
        <f>IF(G112&gt;0, M112/G112, 0)</f>
        <v>16650</v>
      </c>
      <c r="Q112" s="17">
        <f>IF(M112&gt;0, O112/M112, 0)</f>
        <v>1</v>
      </c>
      <c r="R112" s="17">
        <v>0.042354557248607</v>
      </c>
    </row>
    <row r="113" spans="1:18">
      <c r="A113" s="11">
        <v>106</v>
      </c>
      <c r="B113" s="9" t="s">
        <v>36</v>
      </c>
      <c r="C113" s="9" t="s">
        <v>71</v>
      </c>
      <c r="D113" s="9" t="s">
        <v>71</v>
      </c>
      <c r="E113" s="11">
        <v>188</v>
      </c>
      <c r="F113" s="11" t="s">
        <v>40</v>
      </c>
      <c r="G113" s="13">
        <v>3</v>
      </c>
      <c r="H113" s="13">
        <v>3</v>
      </c>
      <c r="I113" s="13"/>
      <c r="J113" s="13"/>
      <c r="K113" s="16">
        <v>49500.0</v>
      </c>
      <c r="L113" s="16"/>
      <c r="M113" s="16">
        <f>K113-L113</f>
        <v>49500</v>
      </c>
      <c r="N113" s="16"/>
      <c r="O113" s="16">
        <f>M113-N113</f>
        <v>49500</v>
      </c>
      <c r="P113" s="16">
        <f>IF(G113&gt;0, M113/G113, 0)</f>
        <v>16500</v>
      </c>
      <c r="Q113" s="18">
        <f>IF(M113&gt;0, O113/M113, 0)</f>
        <v>1</v>
      </c>
      <c r="R113" s="18">
        <v>0.012591895398235</v>
      </c>
    </row>
    <row r="114" spans="1:18">
      <c r="A114" s="10">
        <v>107</v>
      </c>
      <c r="B114" s="8" t="s">
        <v>36</v>
      </c>
      <c r="C114" s="8" t="s">
        <v>71</v>
      </c>
      <c r="D114" s="8" t="s">
        <v>71</v>
      </c>
      <c r="E114" s="10">
        <v>194</v>
      </c>
      <c r="F114" s="10" t="s">
        <v>40</v>
      </c>
      <c r="G114" s="12">
        <v>2</v>
      </c>
      <c r="H114" s="12">
        <v>2</v>
      </c>
      <c r="I114" s="12"/>
      <c r="J114" s="12"/>
      <c r="K114" s="15">
        <v>33000.0</v>
      </c>
      <c r="L114" s="15"/>
      <c r="M114" s="15">
        <f>K114-L114</f>
        <v>33000</v>
      </c>
      <c r="N114" s="15"/>
      <c r="O114" s="15">
        <f>M114-N114</f>
        <v>33000</v>
      </c>
      <c r="P114" s="15">
        <f>IF(G114&gt;0, M114/G114, 0)</f>
        <v>16500</v>
      </c>
      <c r="Q114" s="17">
        <f>IF(M114&gt;0, O114/M114, 0)</f>
        <v>1</v>
      </c>
      <c r="R114" s="17">
        <v>0.0083945969321564</v>
      </c>
    </row>
    <row r="115" spans="1:18">
      <c r="A115" s="11">
        <v>108</v>
      </c>
      <c r="B115" s="9" t="s">
        <v>36</v>
      </c>
      <c r="C115" s="9" t="s">
        <v>71</v>
      </c>
      <c r="D115" s="9" t="s">
        <v>286</v>
      </c>
      <c r="E115" s="11">
        <v>140</v>
      </c>
      <c r="F115" s="11" t="s">
        <v>40</v>
      </c>
      <c r="G115" s="13">
        <v>1</v>
      </c>
      <c r="H115" s="13">
        <v>1</v>
      </c>
      <c r="I115" s="13"/>
      <c r="J115" s="13">
        <v>1</v>
      </c>
      <c r="K115" s="16">
        <v>18000.0</v>
      </c>
      <c r="L115" s="16"/>
      <c r="M115" s="16">
        <f>K115-L115</f>
        <v>18000</v>
      </c>
      <c r="N115" s="16"/>
      <c r="O115" s="16">
        <f>M115-N115</f>
        <v>18000</v>
      </c>
      <c r="P115" s="16">
        <f>IF(G115&gt;0, M115/G115, 0)</f>
        <v>18000</v>
      </c>
      <c r="Q115" s="18">
        <f>IF(M115&gt;0, O115/M115, 0)</f>
        <v>1</v>
      </c>
      <c r="R115" s="18">
        <v>0.0045788710539035</v>
      </c>
    </row>
    <row r="116" spans="1:18">
      <c r="A116" s="10">
        <v>109</v>
      </c>
      <c r="B116" s="8" t="s">
        <v>36</v>
      </c>
      <c r="C116" s="8" t="s">
        <v>71</v>
      </c>
      <c r="D116" s="8" t="s">
        <v>1493</v>
      </c>
      <c r="E116" s="10">
        <v>152</v>
      </c>
      <c r="F116" s="10" t="s">
        <v>40</v>
      </c>
      <c r="G116" s="12">
        <v>1</v>
      </c>
      <c r="H116" s="12"/>
      <c r="I116" s="12">
        <v>1</v>
      </c>
      <c r="J116" s="12"/>
      <c r="K116" s="15">
        <v>10000.0</v>
      </c>
      <c r="L116" s="15"/>
      <c r="M116" s="15">
        <f>K116-L116</f>
        <v>10000</v>
      </c>
      <c r="N116" s="15"/>
      <c r="O116" s="15">
        <f>M116-N116</f>
        <v>10000</v>
      </c>
      <c r="P116" s="15">
        <f>IF(G116&gt;0, M116/G116, 0)</f>
        <v>10000</v>
      </c>
      <c r="Q116" s="17">
        <f>IF(M116&gt;0, O116/M116, 0)</f>
        <v>1</v>
      </c>
      <c r="R116" s="17">
        <v>0.0025438172521686</v>
      </c>
    </row>
    <row r="117" spans="1:18">
      <c r="A117" s="11">
        <v>110</v>
      </c>
      <c r="B117" s="9" t="s">
        <v>36</v>
      </c>
      <c r="C117" s="9" t="s">
        <v>65</v>
      </c>
      <c r="D117" s="9" t="s">
        <v>66</v>
      </c>
      <c r="E117" s="11">
        <v>164</v>
      </c>
      <c r="F117" s="11" t="s">
        <v>40</v>
      </c>
      <c r="G117" s="13">
        <v>1</v>
      </c>
      <c r="H117" s="13">
        <v>1</v>
      </c>
      <c r="I117" s="13"/>
      <c r="J117" s="13"/>
      <c r="K117" s="16">
        <v>9500.0</v>
      </c>
      <c r="L117" s="16"/>
      <c r="M117" s="16">
        <f>K117-L117</f>
        <v>9500</v>
      </c>
      <c r="N117" s="16"/>
      <c r="O117" s="16">
        <f>M117-N117</f>
        <v>9500</v>
      </c>
      <c r="P117" s="16">
        <f>IF(G117&gt;0, M117/G117, 0)</f>
        <v>9500</v>
      </c>
      <c r="Q117" s="18">
        <f>IF(M117&gt;0, O117/M117, 0)</f>
        <v>1</v>
      </c>
      <c r="R117" s="18">
        <v>0.0046941397371282</v>
      </c>
    </row>
    <row r="118" spans="1:18">
      <c r="A118" s="10">
        <v>111</v>
      </c>
      <c r="B118" s="8" t="s">
        <v>36</v>
      </c>
      <c r="C118" s="8" t="s">
        <v>65</v>
      </c>
      <c r="D118" s="8" t="s">
        <v>151</v>
      </c>
      <c r="E118" s="10">
        <v>128</v>
      </c>
      <c r="F118" s="10" t="s">
        <v>40</v>
      </c>
      <c r="G118" s="12">
        <v>1</v>
      </c>
      <c r="H118" s="12"/>
      <c r="I118" s="12">
        <v>1</v>
      </c>
      <c r="J118" s="12"/>
      <c r="K118" s="15">
        <v>10000.0</v>
      </c>
      <c r="L118" s="15"/>
      <c r="M118" s="15">
        <f>K118-L118</f>
        <v>10000</v>
      </c>
      <c r="N118" s="15"/>
      <c r="O118" s="15">
        <f>M118-N118</f>
        <v>10000</v>
      </c>
      <c r="P118" s="15">
        <f>IF(G118&gt;0, M118/G118, 0)</f>
        <v>10000</v>
      </c>
      <c r="Q118" s="17">
        <f>IF(M118&gt;0, O118/M118, 0)</f>
        <v>1</v>
      </c>
      <c r="R118" s="17">
        <v>0.0049411997232928</v>
      </c>
    </row>
    <row r="119" spans="1:18">
      <c r="A119" s="11">
        <v>112</v>
      </c>
      <c r="B119" s="9" t="s">
        <v>36</v>
      </c>
      <c r="C119" s="9" t="s">
        <v>65</v>
      </c>
      <c r="D119" s="9" t="s">
        <v>151</v>
      </c>
      <c r="E119" s="11">
        <v>134</v>
      </c>
      <c r="F119" s="11" t="s">
        <v>40</v>
      </c>
      <c r="G119" s="13">
        <v>1</v>
      </c>
      <c r="H119" s="13"/>
      <c r="I119" s="13">
        <v>1</v>
      </c>
      <c r="J119" s="13"/>
      <c r="K119" s="16">
        <v>11000.0</v>
      </c>
      <c r="L119" s="16"/>
      <c r="M119" s="16">
        <f>K119-L119</f>
        <v>11000</v>
      </c>
      <c r="N119" s="16"/>
      <c r="O119" s="16">
        <f>M119-N119</f>
        <v>11000</v>
      </c>
      <c r="P119" s="16">
        <f>IF(G119&gt;0, M119/G119, 0)</f>
        <v>11000</v>
      </c>
      <c r="Q119" s="18">
        <f>IF(M119&gt;0, O119/M119, 0)</f>
        <v>1</v>
      </c>
      <c r="R119" s="18">
        <v>0.0054353196956221</v>
      </c>
    </row>
    <row r="120" spans="1:18">
      <c r="A120" s="10">
        <v>113</v>
      </c>
      <c r="B120" s="8" t="s">
        <v>36</v>
      </c>
      <c r="C120" s="8" t="s">
        <v>65</v>
      </c>
      <c r="D120" s="8" t="s">
        <v>151</v>
      </c>
      <c r="E120" s="10">
        <v>152</v>
      </c>
      <c r="F120" s="10" t="s">
        <v>40</v>
      </c>
      <c r="G120" s="12">
        <v>9</v>
      </c>
      <c r="H120" s="12">
        <v>7</v>
      </c>
      <c r="I120" s="12">
        <v>2</v>
      </c>
      <c r="J120" s="12">
        <v>4</v>
      </c>
      <c r="K120" s="15">
        <v>121500.0</v>
      </c>
      <c r="L120" s="15"/>
      <c r="M120" s="15">
        <f>K120-L120</f>
        <v>121500</v>
      </c>
      <c r="N120" s="15"/>
      <c r="O120" s="15">
        <f>M120-N120</f>
        <v>121500</v>
      </c>
      <c r="P120" s="15">
        <f>IF(G120&gt;0, M120/G120, 0)</f>
        <v>13500</v>
      </c>
      <c r="Q120" s="17">
        <f>IF(M120&gt;0, O120/M120, 0)</f>
        <v>1</v>
      </c>
      <c r="R120" s="17">
        <v>0.060035576638008</v>
      </c>
    </row>
    <row r="121" spans="1:18">
      <c r="A121" s="11">
        <v>114</v>
      </c>
      <c r="B121" s="9" t="s">
        <v>36</v>
      </c>
      <c r="C121" s="9" t="s">
        <v>65</v>
      </c>
      <c r="D121" s="9" t="s">
        <v>151</v>
      </c>
      <c r="E121" s="11">
        <v>158</v>
      </c>
      <c r="F121" s="11" t="s">
        <v>40</v>
      </c>
      <c r="G121" s="13">
        <v>12</v>
      </c>
      <c r="H121" s="13">
        <v>6</v>
      </c>
      <c r="I121" s="13">
        <v>6</v>
      </c>
      <c r="J121" s="13"/>
      <c r="K121" s="16">
        <v>123000.0</v>
      </c>
      <c r="L121" s="16"/>
      <c r="M121" s="16">
        <f>K121-L121</f>
        <v>123000</v>
      </c>
      <c r="N121" s="16"/>
      <c r="O121" s="16">
        <f>M121-N121</f>
        <v>123000</v>
      </c>
      <c r="P121" s="16">
        <f>IF(G121&gt;0, M121/G121, 0)</f>
        <v>10250</v>
      </c>
      <c r="Q121" s="18">
        <f>IF(M121&gt;0, O121/M121, 0)</f>
        <v>1</v>
      </c>
      <c r="R121" s="18">
        <v>0.060776756596502</v>
      </c>
    </row>
    <row r="122" spans="1:18">
      <c r="A122" s="10">
        <v>115</v>
      </c>
      <c r="B122" s="8" t="s">
        <v>36</v>
      </c>
      <c r="C122" s="8" t="s">
        <v>65</v>
      </c>
      <c r="D122" s="8" t="s">
        <v>151</v>
      </c>
      <c r="E122" s="10">
        <v>164</v>
      </c>
      <c r="F122" s="10" t="s">
        <v>40</v>
      </c>
      <c r="G122" s="12">
        <v>12</v>
      </c>
      <c r="H122" s="12">
        <v>4</v>
      </c>
      <c r="I122" s="12">
        <v>8</v>
      </c>
      <c r="J122" s="12">
        <v>1</v>
      </c>
      <c r="K122" s="15">
        <v>133500.0</v>
      </c>
      <c r="L122" s="15"/>
      <c r="M122" s="15">
        <f>K122-L122</f>
        <v>133500</v>
      </c>
      <c r="N122" s="15"/>
      <c r="O122" s="15">
        <f>M122-N122</f>
        <v>133500</v>
      </c>
      <c r="P122" s="15">
        <f>IF(G122&gt;0, M122/G122, 0)</f>
        <v>11125</v>
      </c>
      <c r="Q122" s="17">
        <f>IF(M122&gt;0, O122/M122, 0)</f>
        <v>1</v>
      </c>
      <c r="R122" s="17">
        <v>0.065965016305959</v>
      </c>
    </row>
    <row r="123" spans="1:18">
      <c r="A123" s="11">
        <v>116</v>
      </c>
      <c r="B123" s="9" t="s">
        <v>36</v>
      </c>
      <c r="C123" s="9" t="s">
        <v>65</v>
      </c>
      <c r="D123" s="9" t="s">
        <v>151</v>
      </c>
      <c r="E123" s="11">
        <v>170</v>
      </c>
      <c r="F123" s="11" t="s">
        <v>40</v>
      </c>
      <c r="G123" s="13">
        <v>16</v>
      </c>
      <c r="H123" s="13">
        <v>12</v>
      </c>
      <c r="I123" s="13">
        <v>4</v>
      </c>
      <c r="J123" s="13">
        <v>3</v>
      </c>
      <c r="K123" s="16">
        <v>172500.0</v>
      </c>
      <c r="L123" s="16"/>
      <c r="M123" s="16">
        <f>K123-L123</f>
        <v>172500</v>
      </c>
      <c r="N123" s="16"/>
      <c r="O123" s="16">
        <f>M123-N123</f>
        <v>172500</v>
      </c>
      <c r="P123" s="16">
        <f>IF(G123&gt;0, M123/G123, 0)</f>
        <v>10781.25</v>
      </c>
      <c r="Q123" s="18">
        <f>IF(M123&gt;0, O123/M123, 0)</f>
        <v>1</v>
      </c>
      <c r="R123" s="18">
        <v>0.085235695226801</v>
      </c>
    </row>
    <row r="124" spans="1:18">
      <c r="A124" s="10">
        <v>117</v>
      </c>
      <c r="B124" s="8" t="s">
        <v>36</v>
      </c>
      <c r="C124" s="8" t="s">
        <v>65</v>
      </c>
      <c r="D124" s="8" t="s">
        <v>151</v>
      </c>
      <c r="E124" s="10">
        <v>176</v>
      </c>
      <c r="F124" s="10" t="s">
        <v>40</v>
      </c>
      <c r="G124" s="12">
        <v>14</v>
      </c>
      <c r="H124" s="12">
        <v>14</v>
      </c>
      <c r="I124" s="12"/>
      <c r="J124" s="12"/>
      <c r="K124" s="15">
        <v>138500.0</v>
      </c>
      <c r="L124" s="15"/>
      <c r="M124" s="15">
        <f>K124-L124</f>
        <v>138500</v>
      </c>
      <c r="N124" s="15"/>
      <c r="O124" s="15">
        <f>M124-N124</f>
        <v>138500</v>
      </c>
      <c r="P124" s="15">
        <f>IF(G124&gt;0, M124/G124, 0)</f>
        <v>9892.85714285714312</v>
      </c>
      <c r="Q124" s="17">
        <f>IF(M124&gt;0, O124/M124, 0)</f>
        <v>1</v>
      </c>
      <c r="R124" s="17">
        <v>0.068435616167605</v>
      </c>
    </row>
    <row r="125" spans="1:18">
      <c r="A125" s="11">
        <v>118</v>
      </c>
      <c r="B125" s="9" t="s">
        <v>36</v>
      </c>
      <c r="C125" s="9" t="s">
        <v>65</v>
      </c>
      <c r="D125" s="9" t="s">
        <v>151</v>
      </c>
      <c r="E125" s="11">
        <v>182</v>
      </c>
      <c r="F125" s="11" t="s">
        <v>40</v>
      </c>
      <c r="G125" s="13">
        <v>9</v>
      </c>
      <c r="H125" s="13">
        <v>9</v>
      </c>
      <c r="I125" s="13"/>
      <c r="J125" s="13"/>
      <c r="K125" s="16">
        <v>85500.0</v>
      </c>
      <c r="L125" s="16"/>
      <c r="M125" s="16">
        <f>K125-L125</f>
        <v>85500</v>
      </c>
      <c r="N125" s="16"/>
      <c r="O125" s="16">
        <f>M125-N125</f>
        <v>85500</v>
      </c>
      <c r="P125" s="16">
        <f>IF(G125&gt;0, M125/G125, 0)</f>
        <v>9500</v>
      </c>
      <c r="Q125" s="18">
        <f>IF(M125&gt;0, O125/M125, 0)</f>
        <v>1</v>
      </c>
      <c r="R125" s="18">
        <v>0.042247257634154</v>
      </c>
    </row>
    <row r="126" spans="1:18">
      <c r="A126" s="10">
        <v>119</v>
      </c>
      <c r="B126" s="8" t="s">
        <v>36</v>
      </c>
      <c r="C126" s="8" t="s">
        <v>65</v>
      </c>
      <c r="D126" s="8" t="s">
        <v>151</v>
      </c>
      <c r="E126" s="10">
        <v>188</v>
      </c>
      <c r="F126" s="10" t="s">
        <v>40</v>
      </c>
      <c r="G126" s="12">
        <v>4</v>
      </c>
      <c r="H126" s="12">
        <v>4</v>
      </c>
      <c r="I126" s="12"/>
      <c r="J126" s="12"/>
      <c r="K126" s="15">
        <v>43500.0</v>
      </c>
      <c r="L126" s="15"/>
      <c r="M126" s="15">
        <f>K126-L126</f>
        <v>43500</v>
      </c>
      <c r="N126" s="15"/>
      <c r="O126" s="15">
        <f>M126-N126</f>
        <v>43500</v>
      </c>
      <c r="P126" s="15">
        <f>IF(G126&gt;0, M126/G126, 0)</f>
        <v>10875</v>
      </c>
      <c r="Q126" s="17">
        <f>IF(M126&gt;0, O126/M126, 0)</f>
        <v>1</v>
      </c>
      <c r="R126" s="17">
        <v>0.021494218796324</v>
      </c>
    </row>
    <row r="127" spans="1:18">
      <c r="A127" s="11">
        <v>120</v>
      </c>
      <c r="B127" s="9" t="s">
        <v>36</v>
      </c>
      <c r="C127" s="9" t="s">
        <v>37</v>
      </c>
      <c r="D127" s="9" t="s">
        <v>75</v>
      </c>
      <c r="E127" s="11">
        <v>128</v>
      </c>
      <c r="F127" s="11" t="s">
        <v>40</v>
      </c>
      <c r="G127" s="13">
        <v>3</v>
      </c>
      <c r="H127" s="13">
        <v>3</v>
      </c>
      <c r="I127" s="13"/>
      <c r="J127" s="13"/>
      <c r="K127" s="16">
        <v>24000.0</v>
      </c>
      <c r="L127" s="16"/>
      <c r="M127" s="16">
        <f>K127-L127</f>
        <v>24000</v>
      </c>
      <c r="N127" s="16"/>
      <c r="O127" s="16">
        <f>M127-N127</f>
        <v>24000</v>
      </c>
      <c r="P127" s="16">
        <f>IF(G127&gt;0, M127/G127, 0)</f>
        <v>8000</v>
      </c>
      <c r="Q127" s="18">
        <f>IF(M127&gt;0, O127/M127, 0)</f>
        <v>1</v>
      </c>
      <c r="R127" s="18">
        <v>0.0036751757193391</v>
      </c>
    </row>
    <row r="128" spans="1:18">
      <c r="A128" s="10">
        <v>121</v>
      </c>
      <c r="B128" s="8" t="s">
        <v>36</v>
      </c>
      <c r="C128" s="8" t="s">
        <v>37</v>
      </c>
      <c r="D128" s="8" t="s">
        <v>75</v>
      </c>
      <c r="E128" s="10">
        <v>134</v>
      </c>
      <c r="F128" s="10" t="s">
        <v>40</v>
      </c>
      <c r="G128" s="12">
        <v>2</v>
      </c>
      <c r="H128" s="12">
        <v>2</v>
      </c>
      <c r="I128" s="12"/>
      <c r="J128" s="12"/>
      <c r="K128" s="15">
        <v>16000.0</v>
      </c>
      <c r="L128" s="15"/>
      <c r="M128" s="15">
        <f>K128-L128</f>
        <v>16000</v>
      </c>
      <c r="N128" s="15"/>
      <c r="O128" s="15">
        <f>M128-N128</f>
        <v>16000</v>
      </c>
      <c r="P128" s="15">
        <f>IF(G128&gt;0, M128/G128, 0)</f>
        <v>8000</v>
      </c>
      <c r="Q128" s="17">
        <f>IF(M128&gt;0, O128/M128, 0)</f>
        <v>1</v>
      </c>
      <c r="R128" s="17">
        <v>0.0024501171462261</v>
      </c>
    </row>
    <row r="129" spans="1:18">
      <c r="A129" s="11">
        <v>122</v>
      </c>
      <c r="B129" s="9" t="s">
        <v>36</v>
      </c>
      <c r="C129" s="9" t="s">
        <v>37</v>
      </c>
      <c r="D129" s="9" t="s">
        <v>75</v>
      </c>
      <c r="E129" s="11">
        <v>140</v>
      </c>
      <c r="F129" s="11" t="s">
        <v>40</v>
      </c>
      <c r="G129" s="13">
        <v>2</v>
      </c>
      <c r="H129" s="13">
        <v>2</v>
      </c>
      <c r="I129" s="13"/>
      <c r="J129" s="13"/>
      <c r="K129" s="16">
        <v>16000.0</v>
      </c>
      <c r="L129" s="16"/>
      <c r="M129" s="16">
        <f>K129-L129</f>
        <v>16000</v>
      </c>
      <c r="N129" s="16"/>
      <c r="O129" s="16">
        <f>M129-N129</f>
        <v>16000</v>
      </c>
      <c r="P129" s="16">
        <f>IF(G129&gt;0, M129/G129, 0)</f>
        <v>8000</v>
      </c>
      <c r="Q129" s="18">
        <f>IF(M129&gt;0, O129/M129, 0)</f>
        <v>1</v>
      </c>
      <c r="R129" s="18">
        <v>0.0024501171462261</v>
      </c>
    </row>
    <row r="130" spans="1:18">
      <c r="A130" s="10">
        <v>123</v>
      </c>
      <c r="B130" s="8" t="s">
        <v>36</v>
      </c>
      <c r="C130" s="8" t="s">
        <v>37</v>
      </c>
      <c r="D130" s="8" t="s">
        <v>75</v>
      </c>
      <c r="E130" s="10">
        <v>146</v>
      </c>
      <c r="F130" s="10" t="s">
        <v>40</v>
      </c>
      <c r="G130" s="12">
        <v>2</v>
      </c>
      <c r="H130" s="12">
        <v>1</v>
      </c>
      <c r="I130" s="12">
        <v>1</v>
      </c>
      <c r="J130" s="12"/>
      <c r="K130" s="15">
        <v>19000.0</v>
      </c>
      <c r="L130" s="15"/>
      <c r="M130" s="15">
        <f>K130-L130</f>
        <v>19000</v>
      </c>
      <c r="N130" s="15"/>
      <c r="O130" s="15">
        <f>M130-N130</f>
        <v>19000</v>
      </c>
      <c r="P130" s="15">
        <f>IF(G130&gt;0, M130/G130, 0)</f>
        <v>9500</v>
      </c>
      <c r="Q130" s="17">
        <f>IF(M130&gt;0, O130/M130, 0)</f>
        <v>1</v>
      </c>
      <c r="R130" s="17">
        <v>0.0029095141111434</v>
      </c>
    </row>
    <row r="131" spans="1:18">
      <c r="A131" s="11">
        <v>124</v>
      </c>
      <c r="B131" s="9" t="s">
        <v>36</v>
      </c>
      <c r="C131" s="9" t="s">
        <v>37</v>
      </c>
      <c r="D131" s="9" t="s">
        <v>75</v>
      </c>
      <c r="E131" s="11">
        <v>152</v>
      </c>
      <c r="F131" s="11" t="s">
        <v>40</v>
      </c>
      <c r="G131" s="13">
        <v>3</v>
      </c>
      <c r="H131" s="13">
        <v>2</v>
      </c>
      <c r="I131" s="13">
        <v>1</v>
      </c>
      <c r="J131" s="13">
        <v>2</v>
      </c>
      <c r="K131" s="16">
        <v>31000.0</v>
      </c>
      <c r="L131" s="16"/>
      <c r="M131" s="16">
        <f>K131-L131</f>
        <v>31000</v>
      </c>
      <c r="N131" s="16"/>
      <c r="O131" s="16">
        <f>M131-N131</f>
        <v>31000</v>
      </c>
      <c r="P131" s="16">
        <f>IF(G131&gt;0, M131/G131, 0)</f>
        <v>10333.33333333333394</v>
      </c>
      <c r="Q131" s="18">
        <f>IF(M131&gt;0, O131/M131, 0)</f>
        <v>1</v>
      </c>
      <c r="R131" s="18">
        <v>0.004747101970813</v>
      </c>
    </row>
    <row r="132" spans="1:18">
      <c r="A132" s="10">
        <v>125</v>
      </c>
      <c r="B132" s="8" t="s">
        <v>36</v>
      </c>
      <c r="C132" s="8" t="s">
        <v>37</v>
      </c>
      <c r="D132" s="8" t="s">
        <v>75</v>
      </c>
      <c r="E132" s="10">
        <v>158</v>
      </c>
      <c r="F132" s="10" t="s">
        <v>40</v>
      </c>
      <c r="G132" s="12">
        <v>8</v>
      </c>
      <c r="H132" s="12">
        <v>1</v>
      </c>
      <c r="I132" s="12">
        <v>7</v>
      </c>
      <c r="J132" s="12"/>
      <c r="K132" s="15">
        <v>84000.0</v>
      </c>
      <c r="L132" s="15"/>
      <c r="M132" s="15">
        <f>K132-L132</f>
        <v>84000</v>
      </c>
      <c r="N132" s="15"/>
      <c r="O132" s="15">
        <f>M132-N132</f>
        <v>84000</v>
      </c>
      <c r="P132" s="15">
        <f>IF(G132&gt;0, M132/G132, 0)</f>
        <v>10500</v>
      </c>
      <c r="Q132" s="17">
        <f>IF(M132&gt;0, O132/M132, 0)</f>
        <v>1</v>
      </c>
      <c r="R132" s="17">
        <v>0.012863115017687</v>
      </c>
    </row>
    <row r="133" spans="1:18">
      <c r="A133" s="11">
        <v>126</v>
      </c>
      <c r="B133" s="9" t="s">
        <v>36</v>
      </c>
      <c r="C133" s="9" t="s">
        <v>37</v>
      </c>
      <c r="D133" s="9" t="s">
        <v>75</v>
      </c>
      <c r="E133" s="11">
        <v>164</v>
      </c>
      <c r="F133" s="11" t="s">
        <v>40</v>
      </c>
      <c r="G133" s="13">
        <v>15</v>
      </c>
      <c r="H133" s="13">
        <v>13</v>
      </c>
      <c r="I133" s="13">
        <v>2</v>
      </c>
      <c r="J133" s="13"/>
      <c r="K133" s="16">
        <v>139000.0</v>
      </c>
      <c r="L133" s="16"/>
      <c r="M133" s="16">
        <f>K133-L133</f>
        <v>139000</v>
      </c>
      <c r="N133" s="16"/>
      <c r="O133" s="16">
        <f>M133-N133</f>
        <v>139000</v>
      </c>
      <c r="P133" s="16">
        <f>IF(G133&gt;0, M133/G133, 0)</f>
        <v>9266.66666666666606</v>
      </c>
      <c r="Q133" s="18">
        <f>IF(M133&gt;0, O133/M133, 0)</f>
        <v>1</v>
      </c>
      <c r="R133" s="18">
        <v>0.021285392707839</v>
      </c>
    </row>
    <row r="134" spans="1:18">
      <c r="A134" s="10">
        <v>127</v>
      </c>
      <c r="B134" s="8" t="s">
        <v>36</v>
      </c>
      <c r="C134" s="8" t="s">
        <v>37</v>
      </c>
      <c r="D134" s="8" t="s">
        <v>75</v>
      </c>
      <c r="E134" s="10">
        <v>170</v>
      </c>
      <c r="F134" s="10" t="s">
        <v>40</v>
      </c>
      <c r="G134" s="12">
        <v>19</v>
      </c>
      <c r="H134" s="12">
        <v>18</v>
      </c>
      <c r="I134" s="12">
        <v>1</v>
      </c>
      <c r="J134" s="12"/>
      <c r="K134" s="15">
        <v>172600.0</v>
      </c>
      <c r="L134" s="15"/>
      <c r="M134" s="15">
        <f>K134-L134</f>
        <v>172600</v>
      </c>
      <c r="N134" s="15"/>
      <c r="O134" s="15">
        <f>M134-N134</f>
        <v>172600</v>
      </c>
      <c r="P134" s="15">
        <f>IF(G134&gt;0, M134/G134, 0)</f>
        <v>9084.21052631579005</v>
      </c>
      <c r="Q134" s="17">
        <f>IF(M134&gt;0, O134/M134, 0)</f>
        <v>1</v>
      </c>
      <c r="R134" s="17">
        <v>0.026430638714914</v>
      </c>
    </row>
    <row r="135" spans="1:18">
      <c r="A135" s="11">
        <v>128</v>
      </c>
      <c r="B135" s="9" t="s">
        <v>36</v>
      </c>
      <c r="C135" s="9" t="s">
        <v>37</v>
      </c>
      <c r="D135" s="9" t="s">
        <v>75</v>
      </c>
      <c r="E135" s="11">
        <v>176</v>
      </c>
      <c r="F135" s="11" t="s">
        <v>40</v>
      </c>
      <c r="G135" s="13">
        <v>21</v>
      </c>
      <c r="H135" s="13">
        <v>21</v>
      </c>
      <c r="I135" s="13"/>
      <c r="J135" s="13"/>
      <c r="K135" s="16">
        <v>189000.0</v>
      </c>
      <c r="L135" s="16"/>
      <c r="M135" s="16">
        <f>K135-L135</f>
        <v>189000</v>
      </c>
      <c r="N135" s="16"/>
      <c r="O135" s="16">
        <f>M135-N135</f>
        <v>189000</v>
      </c>
      <c r="P135" s="16">
        <f>IF(G135&gt;0, M135/G135, 0)</f>
        <v>9000</v>
      </c>
      <c r="Q135" s="18">
        <f>IF(M135&gt;0, O135/M135, 0)</f>
        <v>1</v>
      </c>
      <c r="R135" s="18">
        <v>0.028942008789795</v>
      </c>
    </row>
    <row r="136" spans="1:18">
      <c r="A136" s="10">
        <v>129</v>
      </c>
      <c r="B136" s="8" t="s">
        <v>36</v>
      </c>
      <c r="C136" s="8" t="s">
        <v>37</v>
      </c>
      <c r="D136" s="8" t="s">
        <v>75</v>
      </c>
      <c r="E136" s="10">
        <v>182</v>
      </c>
      <c r="F136" s="10" t="s">
        <v>40</v>
      </c>
      <c r="G136" s="12">
        <v>8</v>
      </c>
      <c r="H136" s="12">
        <v>8</v>
      </c>
      <c r="I136" s="12"/>
      <c r="J136" s="12"/>
      <c r="K136" s="15">
        <v>72000.0</v>
      </c>
      <c r="L136" s="15"/>
      <c r="M136" s="15">
        <f>K136-L136</f>
        <v>72000</v>
      </c>
      <c r="N136" s="15"/>
      <c r="O136" s="15">
        <f>M136-N136</f>
        <v>72000</v>
      </c>
      <c r="P136" s="15">
        <f>IF(G136&gt;0, M136/G136, 0)</f>
        <v>9000</v>
      </c>
      <c r="Q136" s="17">
        <f>IF(M136&gt;0, O136/M136, 0)</f>
        <v>1</v>
      </c>
      <c r="R136" s="17">
        <v>0.011025527158017</v>
      </c>
    </row>
    <row r="137" spans="1:18">
      <c r="A137" s="11">
        <v>130</v>
      </c>
      <c r="B137" s="9" t="s">
        <v>36</v>
      </c>
      <c r="C137" s="9" t="s">
        <v>37</v>
      </c>
      <c r="D137" s="9" t="s">
        <v>75</v>
      </c>
      <c r="E137" s="11">
        <v>188</v>
      </c>
      <c r="F137" s="11" t="s">
        <v>40</v>
      </c>
      <c r="G137" s="13">
        <v>2</v>
      </c>
      <c r="H137" s="13">
        <v>2</v>
      </c>
      <c r="I137" s="13"/>
      <c r="J137" s="13"/>
      <c r="K137" s="16">
        <v>18000.0</v>
      </c>
      <c r="L137" s="16"/>
      <c r="M137" s="16">
        <f>K137-L137</f>
        <v>18000</v>
      </c>
      <c r="N137" s="16"/>
      <c r="O137" s="16">
        <f>M137-N137</f>
        <v>18000</v>
      </c>
      <c r="P137" s="16">
        <f>IF(G137&gt;0, M137/G137, 0)</f>
        <v>9000</v>
      </c>
      <c r="Q137" s="18">
        <f>IF(M137&gt;0, O137/M137, 0)</f>
        <v>1</v>
      </c>
      <c r="R137" s="18">
        <v>0.0027563817895043</v>
      </c>
    </row>
    <row r="138" spans="1:18">
      <c r="A138" s="10">
        <v>131</v>
      </c>
      <c r="B138" s="8" t="s">
        <v>36</v>
      </c>
      <c r="C138" s="8" t="s">
        <v>37</v>
      </c>
      <c r="D138" s="8" t="s">
        <v>75</v>
      </c>
      <c r="E138" s="10">
        <v>194</v>
      </c>
      <c r="F138" s="10" t="s">
        <v>40</v>
      </c>
      <c r="G138" s="12">
        <v>4</v>
      </c>
      <c r="H138" s="12">
        <v>4</v>
      </c>
      <c r="I138" s="12"/>
      <c r="J138" s="12"/>
      <c r="K138" s="15">
        <v>36000.0</v>
      </c>
      <c r="L138" s="15"/>
      <c r="M138" s="15">
        <f>K138-L138</f>
        <v>36000</v>
      </c>
      <c r="N138" s="15"/>
      <c r="O138" s="15">
        <f>M138-N138</f>
        <v>36000</v>
      </c>
      <c r="P138" s="15">
        <f>IF(G138&gt;0, M138/G138, 0)</f>
        <v>9000</v>
      </c>
      <c r="Q138" s="17">
        <f>IF(M138&gt;0, O138/M138, 0)</f>
        <v>1</v>
      </c>
      <c r="R138" s="17">
        <v>0.0055127635790086</v>
      </c>
    </row>
    <row r="139" spans="1:18">
      <c r="A139" s="11">
        <v>132</v>
      </c>
      <c r="B139" s="9" t="s">
        <v>36</v>
      </c>
      <c r="C139" s="9" t="s">
        <v>37</v>
      </c>
      <c r="D139" s="9" t="s">
        <v>38</v>
      </c>
      <c r="E139" s="11">
        <v>110</v>
      </c>
      <c r="F139" s="11" t="s">
        <v>40</v>
      </c>
      <c r="G139" s="13">
        <v>1</v>
      </c>
      <c r="H139" s="13">
        <v>1</v>
      </c>
      <c r="I139" s="13"/>
      <c r="J139" s="13"/>
      <c r="K139" s="16">
        <v>7000.0</v>
      </c>
      <c r="L139" s="16"/>
      <c r="M139" s="16">
        <f>K139-L139</f>
        <v>7000</v>
      </c>
      <c r="N139" s="16"/>
      <c r="O139" s="16">
        <f>M139-N139</f>
        <v>7000</v>
      </c>
      <c r="P139" s="16">
        <f>IF(G139&gt;0, M139/G139, 0)</f>
        <v>7000</v>
      </c>
      <c r="Q139" s="18">
        <f>IF(M139&gt;0, O139/M139, 0)</f>
        <v>1</v>
      </c>
      <c r="R139" s="18">
        <v>0.0010719262514739</v>
      </c>
    </row>
    <row r="140" spans="1:18">
      <c r="A140" s="10">
        <v>133</v>
      </c>
      <c r="B140" s="8" t="s">
        <v>36</v>
      </c>
      <c r="C140" s="8" t="s">
        <v>37</v>
      </c>
      <c r="D140" s="8" t="s">
        <v>38</v>
      </c>
      <c r="E140" s="10">
        <v>116</v>
      </c>
      <c r="F140" s="10" t="s">
        <v>40</v>
      </c>
      <c r="G140" s="12">
        <v>1</v>
      </c>
      <c r="H140" s="12">
        <v>1</v>
      </c>
      <c r="I140" s="12"/>
      <c r="J140" s="12"/>
      <c r="K140" s="15">
        <v>7000.0</v>
      </c>
      <c r="L140" s="15"/>
      <c r="M140" s="15">
        <f>K140-L140</f>
        <v>7000</v>
      </c>
      <c r="N140" s="15"/>
      <c r="O140" s="15">
        <f>M140-N140</f>
        <v>7000</v>
      </c>
      <c r="P140" s="15">
        <f>IF(G140&gt;0, M140/G140, 0)</f>
        <v>7000</v>
      </c>
      <c r="Q140" s="17">
        <f>IF(M140&gt;0, O140/M140, 0)</f>
        <v>1</v>
      </c>
      <c r="R140" s="17">
        <v>0.0010719262514739</v>
      </c>
    </row>
    <row r="141" spans="1:18">
      <c r="A141" s="11">
        <v>134</v>
      </c>
      <c r="B141" s="9" t="s">
        <v>36</v>
      </c>
      <c r="C141" s="9" t="s">
        <v>37</v>
      </c>
      <c r="D141" s="9" t="s">
        <v>38</v>
      </c>
      <c r="E141" s="11">
        <v>128</v>
      </c>
      <c r="F141" s="11" t="s">
        <v>40</v>
      </c>
      <c r="G141" s="13">
        <v>1</v>
      </c>
      <c r="H141" s="13">
        <v>1</v>
      </c>
      <c r="I141" s="13"/>
      <c r="J141" s="13"/>
      <c r="K141" s="16">
        <v>7000.0</v>
      </c>
      <c r="L141" s="16"/>
      <c r="M141" s="16">
        <f>K141-L141</f>
        <v>7000</v>
      </c>
      <c r="N141" s="16"/>
      <c r="O141" s="16">
        <f>M141-N141</f>
        <v>7000</v>
      </c>
      <c r="P141" s="16">
        <f>IF(G141&gt;0, M141/G141, 0)</f>
        <v>7000</v>
      </c>
      <c r="Q141" s="18">
        <f>IF(M141&gt;0, O141/M141, 0)</f>
        <v>1</v>
      </c>
      <c r="R141" s="18">
        <v>0.0010719262514739</v>
      </c>
    </row>
    <row r="142" spans="1:18">
      <c r="A142" s="10">
        <v>135</v>
      </c>
      <c r="B142" s="8" t="s">
        <v>36</v>
      </c>
      <c r="C142" s="8" t="s">
        <v>37</v>
      </c>
      <c r="D142" s="8" t="s">
        <v>38</v>
      </c>
      <c r="E142" s="10">
        <v>134</v>
      </c>
      <c r="F142" s="10" t="s">
        <v>40</v>
      </c>
      <c r="G142" s="12">
        <v>12</v>
      </c>
      <c r="H142" s="12">
        <v>12</v>
      </c>
      <c r="I142" s="12"/>
      <c r="J142" s="12"/>
      <c r="K142" s="15">
        <v>84000.0</v>
      </c>
      <c r="L142" s="15"/>
      <c r="M142" s="15">
        <f>K142-L142</f>
        <v>84000</v>
      </c>
      <c r="N142" s="15"/>
      <c r="O142" s="15">
        <f>M142-N142</f>
        <v>84000</v>
      </c>
      <c r="P142" s="15">
        <f>IF(G142&gt;0, M142/G142, 0)</f>
        <v>7000</v>
      </c>
      <c r="Q142" s="17">
        <f>IF(M142&gt;0, O142/M142, 0)</f>
        <v>1</v>
      </c>
      <c r="R142" s="17">
        <v>0.012863115017687</v>
      </c>
    </row>
    <row r="143" spans="1:18">
      <c r="A143" s="11">
        <v>136</v>
      </c>
      <c r="B143" s="9" t="s">
        <v>36</v>
      </c>
      <c r="C143" s="9" t="s">
        <v>37</v>
      </c>
      <c r="D143" s="9" t="s">
        <v>38</v>
      </c>
      <c r="E143" s="11">
        <v>146</v>
      </c>
      <c r="F143" s="11" t="s">
        <v>40</v>
      </c>
      <c r="G143" s="13">
        <v>10</v>
      </c>
      <c r="H143" s="13">
        <v>6</v>
      </c>
      <c r="I143" s="13">
        <v>4</v>
      </c>
      <c r="J143" s="13"/>
      <c r="K143" s="16">
        <v>82000.0</v>
      </c>
      <c r="L143" s="16"/>
      <c r="M143" s="16">
        <f>K143-L143</f>
        <v>82000</v>
      </c>
      <c r="N143" s="16"/>
      <c r="O143" s="16">
        <f>M143-N143</f>
        <v>82000</v>
      </c>
      <c r="P143" s="16">
        <f>IF(G143&gt;0, M143/G143, 0)</f>
        <v>8200</v>
      </c>
      <c r="Q143" s="18">
        <f>IF(M143&gt;0, O143/M143, 0)</f>
        <v>1</v>
      </c>
      <c r="R143" s="18">
        <v>0.012556850374409</v>
      </c>
    </row>
    <row r="144" spans="1:18">
      <c r="A144" s="10">
        <v>137</v>
      </c>
      <c r="B144" s="8" t="s">
        <v>36</v>
      </c>
      <c r="C144" s="8" t="s">
        <v>37</v>
      </c>
      <c r="D144" s="8" t="s">
        <v>38</v>
      </c>
      <c r="E144" s="10">
        <v>152</v>
      </c>
      <c r="F144" s="10" t="s">
        <v>40</v>
      </c>
      <c r="G144" s="12">
        <v>15</v>
      </c>
      <c r="H144" s="12">
        <v>11</v>
      </c>
      <c r="I144" s="12">
        <v>4</v>
      </c>
      <c r="J144" s="12"/>
      <c r="K144" s="15">
        <v>141000.0</v>
      </c>
      <c r="L144" s="15"/>
      <c r="M144" s="15">
        <f>K144-L144</f>
        <v>141000</v>
      </c>
      <c r="N144" s="15"/>
      <c r="O144" s="15">
        <f>M144-N144</f>
        <v>141000</v>
      </c>
      <c r="P144" s="15">
        <f>IF(G144&gt;0, M144/G144, 0)</f>
        <v>9400</v>
      </c>
      <c r="Q144" s="17">
        <f>IF(M144&gt;0, O144/M144, 0)</f>
        <v>1</v>
      </c>
      <c r="R144" s="17">
        <v>0.021591657351117</v>
      </c>
    </row>
    <row r="145" spans="1:18">
      <c r="A145" s="11">
        <v>138</v>
      </c>
      <c r="B145" s="9" t="s">
        <v>36</v>
      </c>
      <c r="C145" s="9" t="s">
        <v>37</v>
      </c>
      <c r="D145" s="9" t="s">
        <v>38</v>
      </c>
      <c r="E145" s="11">
        <v>158</v>
      </c>
      <c r="F145" s="11" t="s">
        <v>40</v>
      </c>
      <c r="G145" s="13">
        <v>32</v>
      </c>
      <c r="H145" s="13">
        <v>22</v>
      </c>
      <c r="I145" s="13">
        <v>10</v>
      </c>
      <c r="J145" s="13"/>
      <c r="K145" s="16">
        <v>276000.0</v>
      </c>
      <c r="L145" s="16"/>
      <c r="M145" s="16">
        <f>K145-L145</f>
        <v>276000</v>
      </c>
      <c r="N145" s="16"/>
      <c r="O145" s="16">
        <f>M145-N145</f>
        <v>276000</v>
      </c>
      <c r="P145" s="16">
        <f>IF(G145&gt;0, M145/G145, 0)</f>
        <v>8625</v>
      </c>
      <c r="Q145" s="18">
        <f>IF(M145&gt;0, O145/M145, 0)</f>
        <v>1</v>
      </c>
      <c r="R145" s="18">
        <v>0.042264520772399</v>
      </c>
    </row>
    <row r="146" spans="1:18">
      <c r="A146" s="10">
        <v>139</v>
      </c>
      <c r="B146" s="8" t="s">
        <v>36</v>
      </c>
      <c r="C146" s="8" t="s">
        <v>37</v>
      </c>
      <c r="D146" s="8" t="s">
        <v>38</v>
      </c>
      <c r="E146" s="10">
        <v>164</v>
      </c>
      <c r="F146" s="10" t="s">
        <v>40</v>
      </c>
      <c r="G146" s="12">
        <v>53</v>
      </c>
      <c r="H146" s="12">
        <v>44</v>
      </c>
      <c r="I146" s="12">
        <v>9</v>
      </c>
      <c r="J146" s="12">
        <v>3</v>
      </c>
      <c r="K146" s="15">
        <v>444000.0</v>
      </c>
      <c r="L146" s="15"/>
      <c r="M146" s="15">
        <f>K146-L146</f>
        <v>444000</v>
      </c>
      <c r="N146" s="15"/>
      <c r="O146" s="15">
        <f>M146-N146</f>
        <v>444000</v>
      </c>
      <c r="P146" s="15">
        <f>IF(G146&gt;0, M146/G146, 0)</f>
        <v>8377.35849056603729</v>
      </c>
      <c r="Q146" s="17">
        <f>IF(M146&gt;0, O146/M146, 0)</f>
        <v>1</v>
      </c>
      <c r="R146" s="17">
        <v>0.067990750807773</v>
      </c>
    </row>
    <row r="147" spans="1:18">
      <c r="A147" s="11">
        <v>140</v>
      </c>
      <c r="B147" s="9" t="s">
        <v>36</v>
      </c>
      <c r="C147" s="9" t="s">
        <v>37</v>
      </c>
      <c r="D147" s="9" t="s">
        <v>38</v>
      </c>
      <c r="E147" s="11">
        <v>170</v>
      </c>
      <c r="F147" s="11" t="s">
        <v>40</v>
      </c>
      <c r="G147" s="13">
        <v>67</v>
      </c>
      <c r="H147" s="13">
        <v>63</v>
      </c>
      <c r="I147" s="13">
        <v>4</v>
      </c>
      <c r="J147" s="13">
        <v>3</v>
      </c>
      <c r="K147" s="16">
        <v>547000.0</v>
      </c>
      <c r="L147" s="16"/>
      <c r="M147" s="16">
        <f>K147-L147</f>
        <v>547000</v>
      </c>
      <c r="N147" s="16"/>
      <c r="O147" s="16">
        <f>M147-N147</f>
        <v>547000</v>
      </c>
      <c r="P147" s="16">
        <f>IF(G147&gt;0, M147/G147, 0)</f>
        <v>8164.17910447761187</v>
      </c>
      <c r="Q147" s="18">
        <f>IF(M147&gt;0, O147/M147, 0)</f>
        <v>1</v>
      </c>
      <c r="R147" s="18">
        <v>0.083763379936603</v>
      </c>
    </row>
    <row r="148" spans="1:18">
      <c r="A148" s="10">
        <v>141</v>
      </c>
      <c r="B148" s="8" t="s">
        <v>36</v>
      </c>
      <c r="C148" s="8" t="s">
        <v>37</v>
      </c>
      <c r="D148" s="8" t="s">
        <v>38</v>
      </c>
      <c r="E148" s="10">
        <v>176</v>
      </c>
      <c r="F148" s="10" t="s">
        <v>40</v>
      </c>
      <c r="G148" s="12">
        <v>26</v>
      </c>
      <c r="H148" s="12">
        <v>26</v>
      </c>
      <c r="I148" s="12"/>
      <c r="J148" s="12"/>
      <c r="K148" s="15">
        <v>207500.0</v>
      </c>
      <c r="L148" s="15"/>
      <c r="M148" s="15">
        <f>K148-L148</f>
        <v>207500</v>
      </c>
      <c r="N148" s="15"/>
      <c r="O148" s="15">
        <f>M148-N148</f>
        <v>207500</v>
      </c>
      <c r="P148" s="15">
        <f>IF(G148&gt;0, M148/G148, 0)</f>
        <v>7980.76923076923049</v>
      </c>
      <c r="Q148" s="17">
        <f>IF(M148&gt;0, O148/M148, 0)</f>
        <v>1</v>
      </c>
      <c r="R148" s="17">
        <v>0.031774956740119</v>
      </c>
    </row>
    <row r="149" spans="1:18">
      <c r="A149" s="11">
        <v>142</v>
      </c>
      <c r="B149" s="9" t="s">
        <v>36</v>
      </c>
      <c r="C149" s="9" t="s">
        <v>37</v>
      </c>
      <c r="D149" s="9" t="s">
        <v>38</v>
      </c>
      <c r="E149" s="11">
        <v>182</v>
      </c>
      <c r="F149" s="11" t="s">
        <v>40</v>
      </c>
      <c r="G149" s="13">
        <v>15</v>
      </c>
      <c r="H149" s="13">
        <v>15</v>
      </c>
      <c r="I149" s="13"/>
      <c r="J149" s="13"/>
      <c r="K149" s="16">
        <v>120000.0</v>
      </c>
      <c r="L149" s="16"/>
      <c r="M149" s="16">
        <f>K149-L149</f>
        <v>120000</v>
      </c>
      <c r="N149" s="16"/>
      <c r="O149" s="16">
        <f>M149-N149</f>
        <v>120000</v>
      </c>
      <c r="P149" s="16">
        <f>IF(G149&gt;0, M149/G149, 0)</f>
        <v>8000</v>
      </c>
      <c r="Q149" s="18">
        <f>IF(M149&gt;0, O149/M149, 0)</f>
        <v>1</v>
      </c>
      <c r="R149" s="18">
        <v>0.018375878596695</v>
      </c>
    </row>
    <row r="150" spans="1:18">
      <c r="A150" s="10">
        <v>143</v>
      </c>
      <c r="B150" s="8" t="s">
        <v>36</v>
      </c>
      <c r="C150" s="8" t="s">
        <v>37</v>
      </c>
      <c r="D150" s="8" t="s">
        <v>38</v>
      </c>
      <c r="E150" s="10">
        <v>188</v>
      </c>
      <c r="F150" s="10" t="s">
        <v>40</v>
      </c>
      <c r="G150" s="12">
        <v>4</v>
      </c>
      <c r="H150" s="12">
        <v>3</v>
      </c>
      <c r="I150" s="12">
        <v>1</v>
      </c>
      <c r="J150" s="12"/>
      <c r="K150" s="15">
        <v>37000.0</v>
      </c>
      <c r="L150" s="15"/>
      <c r="M150" s="15">
        <f>K150-L150</f>
        <v>37000</v>
      </c>
      <c r="N150" s="15"/>
      <c r="O150" s="15">
        <f>M150-N150</f>
        <v>37000</v>
      </c>
      <c r="P150" s="15">
        <f>IF(G150&gt;0, M150/G150, 0)</f>
        <v>9250</v>
      </c>
      <c r="Q150" s="17">
        <f>IF(M150&gt;0, O150/M150, 0)</f>
        <v>1</v>
      </c>
      <c r="R150" s="17">
        <v>0.0056658959006477</v>
      </c>
    </row>
    <row r="151" spans="1:18">
      <c r="A151" s="11">
        <v>144</v>
      </c>
      <c r="B151" s="9" t="s">
        <v>36</v>
      </c>
      <c r="C151" s="9" t="s">
        <v>37</v>
      </c>
      <c r="D151" s="9" t="s">
        <v>38</v>
      </c>
      <c r="E151" s="11">
        <v>194</v>
      </c>
      <c r="F151" s="11" t="s">
        <v>40</v>
      </c>
      <c r="G151" s="13">
        <v>5</v>
      </c>
      <c r="H151" s="13">
        <v>4</v>
      </c>
      <c r="I151" s="13">
        <v>1</v>
      </c>
      <c r="J151" s="13"/>
      <c r="K151" s="16">
        <v>50000.0</v>
      </c>
      <c r="L151" s="16"/>
      <c r="M151" s="16">
        <f>K151-L151</f>
        <v>50000</v>
      </c>
      <c r="N151" s="16"/>
      <c r="O151" s="16">
        <f>M151-N151</f>
        <v>50000</v>
      </c>
      <c r="P151" s="16">
        <f>IF(G151&gt;0, M151/G151, 0)</f>
        <v>10000</v>
      </c>
      <c r="Q151" s="18">
        <f>IF(M151&gt;0, O151/M151, 0)</f>
        <v>1</v>
      </c>
      <c r="R151" s="18">
        <v>0.0076566160819564</v>
      </c>
    </row>
    <row r="152" spans="1:18">
      <c r="A152" s="10">
        <v>145</v>
      </c>
      <c r="B152" s="8" t="s">
        <v>36</v>
      </c>
      <c r="C152" s="8" t="s">
        <v>53</v>
      </c>
      <c r="D152" s="8" t="s">
        <v>53</v>
      </c>
      <c r="E152" s="10">
        <v>128</v>
      </c>
      <c r="F152" s="10" t="s">
        <v>40</v>
      </c>
      <c r="G152" s="12">
        <v>2</v>
      </c>
      <c r="H152" s="12">
        <v>2</v>
      </c>
      <c r="I152" s="12"/>
      <c r="J152" s="12"/>
      <c r="K152" s="15">
        <v>16000.0</v>
      </c>
      <c r="L152" s="15"/>
      <c r="M152" s="15">
        <f>K152-L152</f>
        <v>16000</v>
      </c>
      <c r="N152" s="15"/>
      <c r="O152" s="15">
        <f>M152-N152</f>
        <v>16000</v>
      </c>
      <c r="P152" s="15">
        <f>IF(G152&gt;0, M152/G152, 0)</f>
        <v>8000</v>
      </c>
      <c r="Q152" s="17">
        <f>IF(M152&gt;0, O152/M152, 0)</f>
        <v>1</v>
      </c>
      <c r="R152" s="17">
        <v>0.0059386830970232</v>
      </c>
    </row>
    <row r="153" spans="1:18">
      <c r="A153" s="11">
        <v>146</v>
      </c>
      <c r="B153" s="9" t="s">
        <v>36</v>
      </c>
      <c r="C153" s="9" t="s">
        <v>53</v>
      </c>
      <c r="D153" s="9" t="s">
        <v>53</v>
      </c>
      <c r="E153" s="11">
        <v>140</v>
      </c>
      <c r="F153" s="11" t="s">
        <v>40</v>
      </c>
      <c r="G153" s="13">
        <v>2</v>
      </c>
      <c r="H153" s="13">
        <v>2</v>
      </c>
      <c r="I153" s="13"/>
      <c r="J153" s="13"/>
      <c r="K153" s="16">
        <v>16000.0</v>
      </c>
      <c r="L153" s="16"/>
      <c r="M153" s="16">
        <f>K153-L153</f>
        <v>16000</v>
      </c>
      <c r="N153" s="16"/>
      <c r="O153" s="16">
        <f>M153-N153</f>
        <v>16000</v>
      </c>
      <c r="P153" s="16">
        <f>IF(G153&gt;0, M153/G153, 0)</f>
        <v>8000</v>
      </c>
      <c r="Q153" s="18">
        <f>IF(M153&gt;0, O153/M153, 0)</f>
        <v>1</v>
      </c>
      <c r="R153" s="18">
        <v>0.0059386830970232</v>
      </c>
    </row>
    <row r="154" spans="1:18">
      <c r="A154" s="10">
        <v>147</v>
      </c>
      <c r="B154" s="8" t="s">
        <v>36</v>
      </c>
      <c r="C154" s="8" t="s">
        <v>53</v>
      </c>
      <c r="D154" s="8" t="s">
        <v>53</v>
      </c>
      <c r="E154" s="10">
        <v>146</v>
      </c>
      <c r="F154" s="10" t="s">
        <v>40</v>
      </c>
      <c r="G154" s="12">
        <v>4</v>
      </c>
      <c r="H154" s="12">
        <v>1</v>
      </c>
      <c r="I154" s="12">
        <v>3</v>
      </c>
      <c r="J154" s="12"/>
      <c r="K154" s="15">
        <v>38500.0</v>
      </c>
      <c r="L154" s="15"/>
      <c r="M154" s="15">
        <f>K154-L154</f>
        <v>38500</v>
      </c>
      <c r="N154" s="15"/>
      <c r="O154" s="15">
        <f>M154-N154</f>
        <v>38500</v>
      </c>
      <c r="P154" s="15">
        <f>IF(G154&gt;0, M154/G154, 0)</f>
        <v>9625</v>
      </c>
      <c r="Q154" s="17">
        <f>IF(M154&gt;0, O154/M154, 0)</f>
        <v>1</v>
      </c>
      <c r="R154" s="17">
        <v>0.014289956202212</v>
      </c>
    </row>
    <row r="155" spans="1:18">
      <c r="A155" s="11">
        <v>148</v>
      </c>
      <c r="B155" s="9" t="s">
        <v>36</v>
      </c>
      <c r="C155" s="9" t="s">
        <v>53</v>
      </c>
      <c r="D155" s="9" t="s">
        <v>53</v>
      </c>
      <c r="E155" s="11">
        <v>152</v>
      </c>
      <c r="F155" s="11" t="s">
        <v>40</v>
      </c>
      <c r="G155" s="13">
        <v>6</v>
      </c>
      <c r="H155" s="13">
        <v>4</v>
      </c>
      <c r="I155" s="13">
        <v>2</v>
      </c>
      <c r="J155" s="13"/>
      <c r="K155" s="16">
        <v>54000.0</v>
      </c>
      <c r="L155" s="16"/>
      <c r="M155" s="16">
        <f>K155-L155</f>
        <v>54000</v>
      </c>
      <c r="N155" s="16"/>
      <c r="O155" s="16">
        <f>M155-N155</f>
        <v>54000</v>
      </c>
      <c r="P155" s="16">
        <f>IF(G155&gt;0, M155/G155, 0)</f>
        <v>9000</v>
      </c>
      <c r="Q155" s="18">
        <f>IF(M155&gt;0, O155/M155, 0)</f>
        <v>1</v>
      </c>
      <c r="R155" s="18">
        <v>0.020043055452453</v>
      </c>
    </row>
    <row r="156" spans="1:18">
      <c r="A156" s="10">
        <v>149</v>
      </c>
      <c r="B156" s="8" t="s">
        <v>36</v>
      </c>
      <c r="C156" s="8" t="s">
        <v>53</v>
      </c>
      <c r="D156" s="8" t="s">
        <v>53</v>
      </c>
      <c r="E156" s="10">
        <v>158</v>
      </c>
      <c r="F156" s="10" t="s">
        <v>40</v>
      </c>
      <c r="G156" s="12">
        <v>32</v>
      </c>
      <c r="H156" s="12">
        <v>30</v>
      </c>
      <c r="I156" s="12">
        <v>2</v>
      </c>
      <c r="J156" s="12"/>
      <c r="K156" s="15">
        <v>275000.0</v>
      </c>
      <c r="L156" s="15"/>
      <c r="M156" s="15">
        <f>K156-L156</f>
        <v>275000</v>
      </c>
      <c r="N156" s="15"/>
      <c r="O156" s="15">
        <f>M156-N156</f>
        <v>275000</v>
      </c>
      <c r="P156" s="15">
        <f>IF(G156&gt;0, M156/G156, 0)</f>
        <v>8593.75</v>
      </c>
      <c r="Q156" s="17">
        <f>IF(M156&gt;0, O156/M156, 0)</f>
        <v>1</v>
      </c>
      <c r="R156" s="17">
        <v>0.10207111573009</v>
      </c>
    </row>
    <row r="157" spans="1:18">
      <c r="A157" s="11">
        <v>150</v>
      </c>
      <c r="B157" s="9" t="s">
        <v>36</v>
      </c>
      <c r="C157" s="9" t="s">
        <v>53</v>
      </c>
      <c r="D157" s="9" t="s">
        <v>53</v>
      </c>
      <c r="E157" s="11">
        <v>164</v>
      </c>
      <c r="F157" s="11" t="s">
        <v>40</v>
      </c>
      <c r="G157" s="13">
        <v>33</v>
      </c>
      <c r="H157" s="13">
        <v>33</v>
      </c>
      <c r="I157" s="13"/>
      <c r="J157" s="13"/>
      <c r="K157" s="16">
        <v>282500.0</v>
      </c>
      <c r="L157" s="16"/>
      <c r="M157" s="16">
        <f>K157-L157</f>
        <v>282500</v>
      </c>
      <c r="N157" s="16"/>
      <c r="O157" s="16">
        <f>M157-N157</f>
        <v>282500</v>
      </c>
      <c r="P157" s="16">
        <f>IF(G157&gt;0, M157/G157, 0)</f>
        <v>8560.60606060606005</v>
      </c>
      <c r="Q157" s="18">
        <f>IF(M157&gt;0, O157/M157, 0)</f>
        <v>1</v>
      </c>
      <c r="R157" s="18">
        <v>0.10485487343182</v>
      </c>
    </row>
    <row r="158" spans="1:18">
      <c r="A158" s="10">
        <v>151</v>
      </c>
      <c r="B158" s="8" t="s">
        <v>36</v>
      </c>
      <c r="C158" s="8" t="s">
        <v>53</v>
      </c>
      <c r="D158" s="8" t="s">
        <v>53</v>
      </c>
      <c r="E158" s="10">
        <v>170</v>
      </c>
      <c r="F158" s="10" t="s">
        <v>40</v>
      </c>
      <c r="G158" s="12">
        <v>11</v>
      </c>
      <c r="H158" s="12">
        <v>10</v>
      </c>
      <c r="I158" s="12">
        <v>1</v>
      </c>
      <c r="J158" s="12"/>
      <c r="K158" s="15">
        <v>94500.0</v>
      </c>
      <c r="L158" s="15"/>
      <c r="M158" s="15">
        <f>K158-L158</f>
        <v>94500</v>
      </c>
      <c r="N158" s="15"/>
      <c r="O158" s="15">
        <f>M158-N158</f>
        <v>94500</v>
      </c>
      <c r="P158" s="15">
        <f>IF(G158&gt;0, M158/G158, 0)</f>
        <v>8590.90909090909008</v>
      </c>
      <c r="Q158" s="17">
        <f>IF(M158&gt;0, O158/M158, 0)</f>
        <v>1</v>
      </c>
      <c r="R158" s="17">
        <v>0.035075347041793</v>
      </c>
    </row>
    <row r="159" spans="1:18">
      <c r="A159" s="11">
        <v>152</v>
      </c>
      <c r="B159" s="9" t="s">
        <v>36</v>
      </c>
      <c r="C159" s="9" t="s">
        <v>53</v>
      </c>
      <c r="D159" s="9" t="s">
        <v>53</v>
      </c>
      <c r="E159" s="11">
        <v>176</v>
      </c>
      <c r="F159" s="11" t="s">
        <v>40</v>
      </c>
      <c r="G159" s="13">
        <v>16</v>
      </c>
      <c r="H159" s="13">
        <v>16</v>
      </c>
      <c r="I159" s="13"/>
      <c r="J159" s="13"/>
      <c r="K159" s="16">
        <v>135500.0</v>
      </c>
      <c r="L159" s="16"/>
      <c r="M159" s="16">
        <f>K159-L159</f>
        <v>135500</v>
      </c>
      <c r="N159" s="16"/>
      <c r="O159" s="16">
        <f>M159-N159</f>
        <v>135500</v>
      </c>
      <c r="P159" s="16">
        <f>IF(G159&gt;0, M159/G159, 0)</f>
        <v>8468.75</v>
      </c>
      <c r="Q159" s="18">
        <f>IF(M159&gt;0, O159/M159, 0)</f>
        <v>1</v>
      </c>
      <c r="R159" s="18">
        <v>0.050293222477916</v>
      </c>
    </row>
    <row r="160" spans="1:18">
      <c r="A160" s="10">
        <v>153</v>
      </c>
      <c r="B160" s="8" t="s">
        <v>36</v>
      </c>
      <c r="C160" s="8" t="s">
        <v>53</v>
      </c>
      <c r="D160" s="8" t="s">
        <v>53</v>
      </c>
      <c r="E160" s="10">
        <v>182</v>
      </c>
      <c r="F160" s="10" t="s">
        <v>40</v>
      </c>
      <c r="G160" s="12">
        <v>6</v>
      </c>
      <c r="H160" s="12">
        <v>6</v>
      </c>
      <c r="I160" s="12"/>
      <c r="J160" s="12"/>
      <c r="K160" s="15">
        <v>51000.0</v>
      </c>
      <c r="L160" s="15"/>
      <c r="M160" s="15">
        <f>K160-L160</f>
        <v>51000</v>
      </c>
      <c r="N160" s="15"/>
      <c r="O160" s="15">
        <f>M160-N160</f>
        <v>51000</v>
      </c>
      <c r="P160" s="15">
        <f>IF(G160&gt;0, M160/G160, 0)</f>
        <v>8500</v>
      </c>
      <c r="Q160" s="17">
        <f>IF(M160&gt;0, O160/M160, 0)</f>
        <v>1</v>
      </c>
      <c r="R160" s="17">
        <v>0.018929552371762</v>
      </c>
    </row>
    <row r="161" spans="1:18">
      <c r="A161" s="11">
        <v>154</v>
      </c>
      <c r="B161" s="9" t="s">
        <v>36</v>
      </c>
      <c r="C161" s="9" t="s">
        <v>53</v>
      </c>
      <c r="D161" s="9" t="s">
        <v>53</v>
      </c>
      <c r="E161" s="11">
        <v>188</v>
      </c>
      <c r="F161" s="11" t="s">
        <v>40</v>
      </c>
      <c r="G161" s="13">
        <v>3</v>
      </c>
      <c r="H161" s="13">
        <v>3</v>
      </c>
      <c r="I161" s="13"/>
      <c r="J161" s="13"/>
      <c r="K161" s="16">
        <v>25500.0</v>
      </c>
      <c r="L161" s="16"/>
      <c r="M161" s="16">
        <f>K161-L161</f>
        <v>25500</v>
      </c>
      <c r="N161" s="16"/>
      <c r="O161" s="16">
        <f>M161-N161</f>
        <v>25500</v>
      </c>
      <c r="P161" s="16">
        <f>IF(G161&gt;0, M161/G161, 0)</f>
        <v>8500</v>
      </c>
      <c r="Q161" s="18">
        <f>IF(M161&gt;0, O161/M161, 0)</f>
        <v>1</v>
      </c>
      <c r="R161" s="18">
        <v>0.0094647761858808</v>
      </c>
    </row>
    <row r="162" spans="1:18">
      <c r="A162" s="10">
        <v>155</v>
      </c>
      <c r="B162" s="8" t="s">
        <v>36</v>
      </c>
      <c r="C162" s="8" t="s">
        <v>53</v>
      </c>
      <c r="D162" s="8" t="s">
        <v>53</v>
      </c>
      <c r="E162" s="10">
        <v>194</v>
      </c>
      <c r="F162" s="10" t="s">
        <v>40</v>
      </c>
      <c r="G162" s="12">
        <v>6</v>
      </c>
      <c r="H162" s="12">
        <v>4</v>
      </c>
      <c r="I162" s="12">
        <v>2</v>
      </c>
      <c r="J162" s="12"/>
      <c r="K162" s="15">
        <v>54000.0</v>
      </c>
      <c r="L162" s="15"/>
      <c r="M162" s="15">
        <f>K162-L162</f>
        <v>54000</v>
      </c>
      <c r="N162" s="15"/>
      <c r="O162" s="15">
        <f>M162-N162</f>
        <v>54000</v>
      </c>
      <c r="P162" s="15">
        <f>IF(G162&gt;0, M162/G162, 0)</f>
        <v>9000</v>
      </c>
      <c r="Q162" s="17">
        <f>IF(M162&gt;0, O162/M162, 0)</f>
        <v>1</v>
      </c>
      <c r="R162" s="17">
        <v>0.020043055452453</v>
      </c>
    </row>
    <row r="163" spans="1:18">
      <c r="A163" s="11">
        <v>156</v>
      </c>
      <c r="B163" s="9" t="s">
        <v>36</v>
      </c>
      <c r="C163" s="9" t="s">
        <v>47</v>
      </c>
      <c r="D163" s="9" t="s">
        <v>47</v>
      </c>
      <c r="E163" s="11">
        <v>164</v>
      </c>
      <c r="F163" s="11" t="s">
        <v>40</v>
      </c>
      <c r="G163" s="13">
        <v>1</v>
      </c>
      <c r="H163" s="13">
        <v>1</v>
      </c>
      <c r="I163" s="13"/>
      <c r="J163" s="13"/>
      <c r="K163" s="16">
        <v>18000.0</v>
      </c>
      <c r="L163" s="16"/>
      <c r="M163" s="16">
        <f>K163-L163</f>
        <v>18000</v>
      </c>
      <c r="N163" s="16"/>
      <c r="O163" s="16">
        <f>M163-N163</f>
        <v>18000</v>
      </c>
      <c r="P163" s="16">
        <f>IF(G163&gt;0, M163/G163, 0)</f>
        <v>18000</v>
      </c>
      <c r="Q163" s="18">
        <f>IF(M163&gt;0, O163/M163, 0)</f>
        <v>1</v>
      </c>
      <c r="R163" s="18">
        <v>0.0068936463559419</v>
      </c>
    </row>
    <row r="164" spans="1:18">
      <c r="A164" s="10">
        <v>157</v>
      </c>
      <c r="B164" s="8" t="s">
        <v>36</v>
      </c>
      <c r="C164" s="8" t="s">
        <v>47</v>
      </c>
      <c r="D164" s="8" t="s">
        <v>48</v>
      </c>
      <c r="E164" s="10">
        <v>140</v>
      </c>
      <c r="F164" s="10" t="s">
        <v>40</v>
      </c>
      <c r="G164" s="12">
        <v>1</v>
      </c>
      <c r="H164" s="12">
        <v>1</v>
      </c>
      <c r="I164" s="12"/>
      <c r="J164" s="12"/>
      <c r="K164" s="15">
        <v>18000.0</v>
      </c>
      <c r="L164" s="15"/>
      <c r="M164" s="15">
        <f>K164-L164</f>
        <v>18000</v>
      </c>
      <c r="N164" s="15"/>
      <c r="O164" s="15">
        <f>M164-N164</f>
        <v>18000</v>
      </c>
      <c r="P164" s="15">
        <f>IF(G164&gt;0, M164/G164, 0)</f>
        <v>18000</v>
      </c>
      <c r="Q164" s="17">
        <f>IF(M164&gt;0, O164/M164, 0)</f>
        <v>1</v>
      </c>
      <c r="R164" s="17">
        <v>0.0068936463559419</v>
      </c>
    </row>
    <row r="165" spans="1:18">
      <c r="A165" s="11">
        <v>158</v>
      </c>
      <c r="B165" s="9" t="s">
        <v>36</v>
      </c>
      <c r="C165" s="9" t="s">
        <v>47</v>
      </c>
      <c r="D165" s="9" t="s">
        <v>48</v>
      </c>
      <c r="E165" s="11">
        <v>146</v>
      </c>
      <c r="F165" s="11" t="s">
        <v>40</v>
      </c>
      <c r="G165" s="13">
        <v>4</v>
      </c>
      <c r="H165" s="13">
        <v>4</v>
      </c>
      <c r="I165" s="13"/>
      <c r="J165" s="13"/>
      <c r="K165" s="16">
        <v>72000.0</v>
      </c>
      <c r="L165" s="16"/>
      <c r="M165" s="16">
        <f>K165-L165</f>
        <v>72000</v>
      </c>
      <c r="N165" s="16"/>
      <c r="O165" s="16">
        <f>M165-N165</f>
        <v>72000</v>
      </c>
      <c r="P165" s="16">
        <f>IF(G165&gt;0, M165/G165, 0)</f>
        <v>18000</v>
      </c>
      <c r="Q165" s="18">
        <f>IF(M165&gt;0, O165/M165, 0)</f>
        <v>1</v>
      </c>
      <c r="R165" s="18">
        <v>0.027574585423768</v>
      </c>
    </row>
    <row r="166" spans="1:18">
      <c r="A166" s="10">
        <v>159</v>
      </c>
      <c r="B166" s="8" t="s">
        <v>36</v>
      </c>
      <c r="C166" s="8" t="s">
        <v>47</v>
      </c>
      <c r="D166" s="8" t="s">
        <v>48</v>
      </c>
      <c r="E166" s="10">
        <v>152</v>
      </c>
      <c r="F166" s="10" t="s">
        <v>40</v>
      </c>
      <c r="G166" s="12">
        <v>6</v>
      </c>
      <c r="H166" s="12">
        <v>6</v>
      </c>
      <c r="I166" s="12"/>
      <c r="J166" s="12"/>
      <c r="K166" s="15">
        <v>108000.0</v>
      </c>
      <c r="L166" s="15"/>
      <c r="M166" s="15">
        <f>K166-L166</f>
        <v>108000</v>
      </c>
      <c r="N166" s="15"/>
      <c r="O166" s="15">
        <f>M166-N166</f>
        <v>108000</v>
      </c>
      <c r="P166" s="15">
        <f>IF(G166&gt;0, M166/G166, 0)</f>
        <v>18000</v>
      </c>
      <c r="Q166" s="17">
        <f>IF(M166&gt;0, O166/M166, 0)</f>
        <v>1</v>
      </c>
      <c r="R166" s="17">
        <v>0.041361878135652</v>
      </c>
    </row>
    <row r="167" spans="1:18">
      <c r="A167" s="11">
        <v>160</v>
      </c>
      <c r="B167" s="9" t="s">
        <v>36</v>
      </c>
      <c r="C167" s="9" t="s">
        <v>47</v>
      </c>
      <c r="D167" s="9" t="s">
        <v>48</v>
      </c>
      <c r="E167" s="11">
        <v>158</v>
      </c>
      <c r="F167" s="11" t="s">
        <v>40</v>
      </c>
      <c r="G167" s="13">
        <v>9</v>
      </c>
      <c r="H167" s="13">
        <v>9</v>
      </c>
      <c r="I167" s="13"/>
      <c r="J167" s="13"/>
      <c r="K167" s="16">
        <v>162000.0</v>
      </c>
      <c r="L167" s="16"/>
      <c r="M167" s="16">
        <f>K167-L167</f>
        <v>162000</v>
      </c>
      <c r="N167" s="16"/>
      <c r="O167" s="16">
        <f>M167-N167</f>
        <v>162000</v>
      </c>
      <c r="P167" s="16">
        <f>IF(G167&gt;0, M167/G167, 0)</f>
        <v>18000</v>
      </c>
      <c r="Q167" s="18">
        <f>IF(M167&gt;0, O167/M167, 0)</f>
        <v>1</v>
      </c>
      <c r="R167" s="18">
        <v>0.062042817203477</v>
      </c>
    </row>
    <row r="168" spans="1:18">
      <c r="A168" s="10">
        <v>161</v>
      </c>
      <c r="B168" s="8" t="s">
        <v>36</v>
      </c>
      <c r="C168" s="8" t="s">
        <v>47</v>
      </c>
      <c r="D168" s="8" t="s">
        <v>48</v>
      </c>
      <c r="E168" s="10">
        <v>164</v>
      </c>
      <c r="F168" s="10" t="s">
        <v>40</v>
      </c>
      <c r="G168" s="12">
        <v>17</v>
      </c>
      <c r="H168" s="12">
        <v>17</v>
      </c>
      <c r="I168" s="12"/>
      <c r="J168" s="12"/>
      <c r="K168" s="15">
        <v>296500.0</v>
      </c>
      <c r="L168" s="15"/>
      <c r="M168" s="15">
        <f>K168-L168</f>
        <v>296500</v>
      </c>
      <c r="N168" s="15"/>
      <c r="O168" s="15">
        <f>M168-N168</f>
        <v>296500</v>
      </c>
      <c r="P168" s="15">
        <f>IF(G168&gt;0, M168/G168, 0)</f>
        <v>17441.17647058823422</v>
      </c>
      <c r="Q168" s="17">
        <f>IF(M168&gt;0, O168/M168, 0)</f>
        <v>1</v>
      </c>
      <c r="R168" s="17">
        <v>0.11355367469649</v>
      </c>
    </row>
    <row r="169" spans="1:18">
      <c r="A169" s="11">
        <v>162</v>
      </c>
      <c r="B169" s="9" t="s">
        <v>36</v>
      </c>
      <c r="C169" s="9" t="s">
        <v>47</v>
      </c>
      <c r="D169" s="9" t="s">
        <v>48</v>
      </c>
      <c r="E169" s="11">
        <v>170</v>
      </c>
      <c r="F169" s="11" t="s">
        <v>40</v>
      </c>
      <c r="G169" s="13">
        <v>13</v>
      </c>
      <c r="H169" s="13">
        <v>13</v>
      </c>
      <c r="I169" s="13"/>
      <c r="J169" s="13"/>
      <c r="K169" s="16">
        <v>234000.0</v>
      </c>
      <c r="L169" s="16"/>
      <c r="M169" s="16">
        <f>K169-L169</f>
        <v>234000</v>
      </c>
      <c r="N169" s="16"/>
      <c r="O169" s="16">
        <f>M169-N169</f>
        <v>234000</v>
      </c>
      <c r="P169" s="16">
        <f>IF(G169&gt;0, M169/G169, 0)</f>
        <v>18000</v>
      </c>
      <c r="Q169" s="18">
        <f>IF(M169&gt;0, O169/M169, 0)</f>
        <v>1</v>
      </c>
      <c r="R169" s="18">
        <v>0.089617402627245</v>
      </c>
    </row>
    <row r="170" spans="1:18">
      <c r="A170" s="10">
        <v>163</v>
      </c>
      <c r="B170" s="8" t="s">
        <v>36</v>
      </c>
      <c r="C170" s="8" t="s">
        <v>47</v>
      </c>
      <c r="D170" s="8" t="s">
        <v>48</v>
      </c>
      <c r="E170" s="10">
        <v>176</v>
      </c>
      <c r="F170" s="10" t="s">
        <v>40</v>
      </c>
      <c r="G170" s="12">
        <v>10</v>
      </c>
      <c r="H170" s="12">
        <v>10</v>
      </c>
      <c r="I170" s="12"/>
      <c r="J170" s="12"/>
      <c r="K170" s="15">
        <v>180000.0</v>
      </c>
      <c r="L170" s="15"/>
      <c r="M170" s="15">
        <f>K170-L170</f>
        <v>180000</v>
      </c>
      <c r="N170" s="15"/>
      <c r="O170" s="15">
        <f>M170-N170</f>
        <v>180000</v>
      </c>
      <c r="P170" s="15">
        <f>IF(G170&gt;0, M170/G170, 0)</f>
        <v>18000</v>
      </c>
      <c r="Q170" s="17">
        <f>IF(M170&gt;0, O170/M170, 0)</f>
        <v>1</v>
      </c>
      <c r="R170" s="17">
        <v>0.068936463559419</v>
      </c>
    </row>
    <row r="171" spans="1:18">
      <c r="A171" s="11">
        <v>164</v>
      </c>
      <c r="B171" s="9" t="s">
        <v>36</v>
      </c>
      <c r="C171" s="9" t="s">
        <v>47</v>
      </c>
      <c r="D171" s="9" t="s">
        <v>48</v>
      </c>
      <c r="E171" s="11">
        <v>182</v>
      </c>
      <c r="F171" s="11" t="s">
        <v>40</v>
      </c>
      <c r="G171" s="13">
        <v>6</v>
      </c>
      <c r="H171" s="13">
        <v>6</v>
      </c>
      <c r="I171" s="13"/>
      <c r="J171" s="13"/>
      <c r="K171" s="16">
        <v>108000.0</v>
      </c>
      <c r="L171" s="16"/>
      <c r="M171" s="16">
        <f>K171-L171</f>
        <v>108000</v>
      </c>
      <c r="N171" s="16"/>
      <c r="O171" s="16">
        <f>M171-N171</f>
        <v>108000</v>
      </c>
      <c r="P171" s="16">
        <f>IF(G171&gt;0, M171/G171, 0)</f>
        <v>18000</v>
      </c>
      <c r="Q171" s="18">
        <f>IF(M171&gt;0, O171/M171, 0)</f>
        <v>1</v>
      </c>
      <c r="R171" s="18">
        <v>0.041361878135652</v>
      </c>
    </row>
    <row r="172" spans="1:18">
      <c r="A172" s="10">
        <v>165</v>
      </c>
      <c r="B172" s="8" t="s">
        <v>36</v>
      </c>
      <c r="C172" s="8" t="s">
        <v>47</v>
      </c>
      <c r="D172" s="8" t="s">
        <v>48</v>
      </c>
      <c r="E172" s="10">
        <v>188</v>
      </c>
      <c r="F172" s="10" t="s">
        <v>40</v>
      </c>
      <c r="G172" s="12">
        <v>3</v>
      </c>
      <c r="H172" s="12">
        <v>3</v>
      </c>
      <c r="I172" s="12"/>
      <c r="J172" s="12"/>
      <c r="K172" s="15">
        <v>54000.0</v>
      </c>
      <c r="L172" s="15"/>
      <c r="M172" s="15">
        <f>K172-L172</f>
        <v>54000</v>
      </c>
      <c r="N172" s="15"/>
      <c r="O172" s="15">
        <f>M172-N172</f>
        <v>54000</v>
      </c>
      <c r="P172" s="15">
        <f>IF(G172&gt;0, M172/G172, 0)</f>
        <v>18000</v>
      </c>
      <c r="Q172" s="17">
        <f>IF(M172&gt;0, O172/M172, 0)</f>
        <v>1</v>
      </c>
      <c r="R172" s="17">
        <v>0.020680939067826</v>
      </c>
    </row>
    <row r="173" spans="1:18">
      <c r="A173" s="11">
        <v>166</v>
      </c>
      <c r="B173" s="9" t="s">
        <v>36</v>
      </c>
      <c r="C173" s="9" t="s">
        <v>47</v>
      </c>
      <c r="D173" s="9" t="s">
        <v>48</v>
      </c>
      <c r="E173" s="11">
        <v>194</v>
      </c>
      <c r="F173" s="11" t="s">
        <v>40</v>
      </c>
      <c r="G173" s="13">
        <v>1</v>
      </c>
      <c r="H173" s="13">
        <v>1</v>
      </c>
      <c r="I173" s="13"/>
      <c r="J173" s="13"/>
      <c r="K173" s="16">
        <v>18000.0</v>
      </c>
      <c r="L173" s="16"/>
      <c r="M173" s="16">
        <f>K173-L173</f>
        <v>18000</v>
      </c>
      <c r="N173" s="16"/>
      <c r="O173" s="16">
        <f>M173-N173</f>
        <v>18000</v>
      </c>
      <c r="P173" s="16">
        <f>IF(G173&gt;0, M173/G173, 0)</f>
        <v>18000</v>
      </c>
      <c r="Q173" s="18">
        <f>IF(M173&gt;0, O173/M173, 0)</f>
        <v>1</v>
      </c>
      <c r="R173" s="18">
        <v>0.0068936463559419</v>
      </c>
    </row>
    <row r="174" spans="1:18">
      <c r="A174" s="10">
        <v>167</v>
      </c>
      <c r="B174" s="8" t="s">
        <v>36</v>
      </c>
      <c r="C174" s="8" t="s">
        <v>58</v>
      </c>
      <c r="D174" s="8" t="s">
        <v>58</v>
      </c>
      <c r="E174" s="10">
        <v>140</v>
      </c>
      <c r="F174" s="10" t="s">
        <v>40</v>
      </c>
      <c r="G174" s="12">
        <v>1</v>
      </c>
      <c r="H174" s="12">
        <v>1</v>
      </c>
      <c r="I174" s="12"/>
      <c r="J174" s="12"/>
      <c r="K174" s="15">
        <v>7500.0</v>
      </c>
      <c r="L174" s="15"/>
      <c r="M174" s="15">
        <f>K174-L174</f>
        <v>7500</v>
      </c>
      <c r="N174" s="15"/>
      <c r="O174" s="15">
        <f>M174-N174</f>
        <v>7500</v>
      </c>
      <c r="P174" s="15">
        <f>IF(G174&gt;0, M174/G174, 0)</f>
        <v>7500</v>
      </c>
      <c r="Q174" s="17">
        <f>IF(M174&gt;0, O174/M174, 0)</f>
        <v>1</v>
      </c>
      <c r="R174" s="17">
        <v>0.0061845468788653</v>
      </c>
    </row>
    <row r="175" spans="1:18">
      <c r="A175" s="11">
        <v>168</v>
      </c>
      <c r="B175" s="9" t="s">
        <v>36</v>
      </c>
      <c r="C175" s="9" t="s">
        <v>58</v>
      </c>
      <c r="D175" s="9" t="s">
        <v>58</v>
      </c>
      <c r="E175" s="11">
        <v>146</v>
      </c>
      <c r="F175" s="11" t="s">
        <v>40</v>
      </c>
      <c r="G175" s="13">
        <v>2</v>
      </c>
      <c r="H175" s="13"/>
      <c r="I175" s="13">
        <v>2</v>
      </c>
      <c r="J175" s="13"/>
      <c r="K175" s="16">
        <v>18000.0</v>
      </c>
      <c r="L175" s="16"/>
      <c r="M175" s="16">
        <f>K175-L175</f>
        <v>18000</v>
      </c>
      <c r="N175" s="16"/>
      <c r="O175" s="16">
        <f>M175-N175</f>
        <v>18000</v>
      </c>
      <c r="P175" s="16">
        <f>IF(G175&gt;0, M175/G175, 0)</f>
        <v>9000</v>
      </c>
      <c r="Q175" s="18">
        <f>IF(M175&gt;0, O175/M175, 0)</f>
        <v>1</v>
      </c>
      <c r="R175" s="18">
        <v>0.014842912509277</v>
      </c>
    </row>
    <row r="176" spans="1:18">
      <c r="A176" s="10">
        <v>169</v>
      </c>
      <c r="B176" s="8" t="s">
        <v>36</v>
      </c>
      <c r="C176" s="8" t="s">
        <v>58</v>
      </c>
      <c r="D176" s="8" t="s">
        <v>58</v>
      </c>
      <c r="E176" s="10">
        <v>152</v>
      </c>
      <c r="F176" s="10" t="s">
        <v>40</v>
      </c>
      <c r="G176" s="12">
        <v>5</v>
      </c>
      <c r="H176" s="12">
        <v>3</v>
      </c>
      <c r="I176" s="12">
        <v>2</v>
      </c>
      <c r="J176" s="12"/>
      <c r="K176" s="15">
        <v>40500.0</v>
      </c>
      <c r="L176" s="15"/>
      <c r="M176" s="15">
        <f>K176-L176</f>
        <v>40500</v>
      </c>
      <c r="N176" s="15"/>
      <c r="O176" s="15">
        <f>M176-N176</f>
        <v>40500</v>
      </c>
      <c r="P176" s="15">
        <f>IF(G176&gt;0, M176/G176, 0)</f>
        <v>8100</v>
      </c>
      <c r="Q176" s="17">
        <f>IF(M176&gt;0, O176/M176, 0)</f>
        <v>1</v>
      </c>
      <c r="R176" s="17">
        <v>0.033396553145873</v>
      </c>
    </row>
    <row r="177" spans="1:18">
      <c r="A177" s="11">
        <v>170</v>
      </c>
      <c r="B177" s="9" t="s">
        <v>36</v>
      </c>
      <c r="C177" s="9" t="s">
        <v>58</v>
      </c>
      <c r="D177" s="9" t="s">
        <v>58</v>
      </c>
      <c r="E177" s="11">
        <v>158</v>
      </c>
      <c r="F177" s="11" t="s">
        <v>40</v>
      </c>
      <c r="G177" s="13">
        <v>17</v>
      </c>
      <c r="H177" s="13">
        <v>16</v>
      </c>
      <c r="I177" s="13">
        <v>1</v>
      </c>
      <c r="J177" s="13"/>
      <c r="K177" s="16">
        <v>131000.0</v>
      </c>
      <c r="L177" s="16"/>
      <c r="M177" s="16">
        <f>K177-L177</f>
        <v>131000</v>
      </c>
      <c r="N177" s="16"/>
      <c r="O177" s="16">
        <f>M177-N177</f>
        <v>131000</v>
      </c>
      <c r="P177" s="16">
        <f>IF(G177&gt;0, M177/G177, 0)</f>
        <v>7705.88235294117658</v>
      </c>
      <c r="Q177" s="18">
        <f>IF(M177&gt;0, O177/M177, 0)</f>
        <v>1</v>
      </c>
      <c r="R177" s="18">
        <v>0.10802341881751</v>
      </c>
    </row>
    <row r="178" spans="1:18">
      <c r="A178" s="10">
        <v>171</v>
      </c>
      <c r="B178" s="8" t="s">
        <v>36</v>
      </c>
      <c r="C178" s="8" t="s">
        <v>58</v>
      </c>
      <c r="D178" s="8" t="s">
        <v>58</v>
      </c>
      <c r="E178" s="10">
        <v>164</v>
      </c>
      <c r="F178" s="10" t="s">
        <v>40</v>
      </c>
      <c r="G178" s="12">
        <v>15</v>
      </c>
      <c r="H178" s="12">
        <v>15</v>
      </c>
      <c r="I178" s="12"/>
      <c r="J178" s="12"/>
      <c r="K178" s="15">
        <v>112000.0</v>
      </c>
      <c r="L178" s="15"/>
      <c r="M178" s="15">
        <f>K178-L178</f>
        <v>112000</v>
      </c>
      <c r="N178" s="15"/>
      <c r="O178" s="15">
        <f>M178-N178</f>
        <v>112000</v>
      </c>
      <c r="P178" s="15">
        <f>IF(G178&gt;0, M178/G178, 0)</f>
        <v>7466.66666666666697</v>
      </c>
      <c r="Q178" s="17">
        <f>IF(M178&gt;0, O178/M178, 0)</f>
        <v>1</v>
      </c>
      <c r="R178" s="17">
        <v>0.092355900057722</v>
      </c>
    </row>
    <row r="179" spans="1:18">
      <c r="A179" s="11">
        <v>172</v>
      </c>
      <c r="B179" s="9" t="s">
        <v>36</v>
      </c>
      <c r="C179" s="9" t="s">
        <v>58</v>
      </c>
      <c r="D179" s="9" t="s">
        <v>58</v>
      </c>
      <c r="E179" s="11">
        <v>170</v>
      </c>
      <c r="F179" s="11" t="s">
        <v>40</v>
      </c>
      <c r="G179" s="13">
        <v>14</v>
      </c>
      <c r="H179" s="13">
        <v>14</v>
      </c>
      <c r="I179" s="13"/>
      <c r="J179" s="13"/>
      <c r="K179" s="16">
        <v>108500.0</v>
      </c>
      <c r="L179" s="16"/>
      <c r="M179" s="16">
        <f>K179-L179</f>
        <v>108500</v>
      </c>
      <c r="N179" s="16"/>
      <c r="O179" s="16">
        <f>M179-N179</f>
        <v>108500</v>
      </c>
      <c r="P179" s="16">
        <f>IF(G179&gt;0, M179/G179, 0)</f>
        <v>7750</v>
      </c>
      <c r="Q179" s="18">
        <f>IF(M179&gt;0, O179/M179, 0)</f>
        <v>1</v>
      </c>
      <c r="R179" s="18">
        <v>0.089469778180919</v>
      </c>
    </row>
    <row r="180" spans="1:18">
      <c r="A180" s="10">
        <v>173</v>
      </c>
      <c r="B180" s="8" t="s">
        <v>36</v>
      </c>
      <c r="C180" s="8" t="s">
        <v>58</v>
      </c>
      <c r="D180" s="8" t="s">
        <v>58</v>
      </c>
      <c r="E180" s="10">
        <v>176</v>
      </c>
      <c r="F180" s="10" t="s">
        <v>40</v>
      </c>
      <c r="G180" s="12">
        <v>5</v>
      </c>
      <c r="H180" s="12">
        <v>5</v>
      </c>
      <c r="I180" s="12"/>
      <c r="J180" s="12"/>
      <c r="K180" s="15">
        <v>37500.0</v>
      </c>
      <c r="L180" s="15"/>
      <c r="M180" s="15">
        <f>K180-L180</f>
        <v>37500</v>
      </c>
      <c r="N180" s="15"/>
      <c r="O180" s="15">
        <f>M180-N180</f>
        <v>37500</v>
      </c>
      <c r="P180" s="15">
        <f>IF(G180&gt;0, M180/G180, 0)</f>
        <v>7500</v>
      </c>
      <c r="Q180" s="17">
        <f>IF(M180&gt;0, O180/M180, 0)</f>
        <v>1</v>
      </c>
      <c r="R180" s="17">
        <v>0.030922734394327</v>
      </c>
    </row>
    <row r="181" spans="1:18">
      <c r="A181" s="11">
        <v>174</v>
      </c>
      <c r="B181" s="9" t="s">
        <v>36</v>
      </c>
      <c r="C181" s="9" t="s">
        <v>58</v>
      </c>
      <c r="D181" s="9" t="s">
        <v>58</v>
      </c>
      <c r="E181" s="11">
        <v>182</v>
      </c>
      <c r="F181" s="11" t="s">
        <v>40</v>
      </c>
      <c r="G181" s="13">
        <v>3</v>
      </c>
      <c r="H181" s="13">
        <v>3</v>
      </c>
      <c r="I181" s="13"/>
      <c r="J181" s="13"/>
      <c r="K181" s="16">
        <v>22000.0</v>
      </c>
      <c r="L181" s="16"/>
      <c r="M181" s="16">
        <f>K181-L181</f>
        <v>22000</v>
      </c>
      <c r="N181" s="16"/>
      <c r="O181" s="16">
        <f>M181-N181</f>
        <v>22000</v>
      </c>
      <c r="P181" s="16">
        <f>IF(G181&gt;0, M181/G181, 0)</f>
        <v>7333.33333333333303</v>
      </c>
      <c r="Q181" s="18">
        <f>IF(M181&gt;0, O181/M181, 0)</f>
        <v>1</v>
      </c>
      <c r="R181" s="18">
        <v>0.018141337511338</v>
      </c>
    </row>
    <row r="182" spans="1:18">
      <c r="A182" s="10">
        <v>175</v>
      </c>
      <c r="B182" s="8" t="s">
        <v>36</v>
      </c>
      <c r="C182" s="8" t="s">
        <v>58</v>
      </c>
      <c r="D182" s="8" t="s">
        <v>58</v>
      </c>
      <c r="E182" s="10">
        <v>194</v>
      </c>
      <c r="F182" s="10" t="s">
        <v>40</v>
      </c>
      <c r="G182" s="12">
        <v>2</v>
      </c>
      <c r="H182" s="12">
        <v>2</v>
      </c>
      <c r="I182" s="12"/>
      <c r="J182" s="12"/>
      <c r="K182" s="15">
        <v>15000.0</v>
      </c>
      <c r="L182" s="15"/>
      <c r="M182" s="15">
        <f>K182-L182</f>
        <v>15000</v>
      </c>
      <c r="N182" s="15"/>
      <c r="O182" s="15">
        <f>M182-N182</f>
        <v>15000</v>
      </c>
      <c r="P182" s="15">
        <f>IF(G182&gt;0, M182/G182, 0)</f>
        <v>7500</v>
      </c>
      <c r="Q182" s="17">
        <f>IF(M182&gt;0, O182/M182, 0)</f>
        <v>1</v>
      </c>
      <c r="R182" s="17">
        <v>0.012369093757731</v>
      </c>
    </row>
    <row r="183" spans="1:18">
      <c r="A183" s="11">
        <v>176</v>
      </c>
      <c r="B183" s="9" t="s">
        <v>36</v>
      </c>
      <c r="C183" s="9" t="s">
        <v>58</v>
      </c>
      <c r="D183" s="9" t="s">
        <v>1862</v>
      </c>
      <c r="E183" s="11">
        <v>146</v>
      </c>
      <c r="F183" s="11" t="s">
        <v>44</v>
      </c>
      <c r="G183" s="13">
        <v>1</v>
      </c>
      <c r="H183" s="13">
        <v>1</v>
      </c>
      <c r="I183" s="13"/>
      <c r="J183" s="13"/>
      <c r="K183" s="16">
        <v>7500.0</v>
      </c>
      <c r="L183" s="16"/>
      <c r="M183" s="16">
        <f>K183-L183</f>
        <v>7500</v>
      </c>
      <c r="N183" s="16"/>
      <c r="O183" s="16">
        <f>M183-N183</f>
        <v>7500</v>
      </c>
      <c r="P183" s="16">
        <f>IF(G183&gt;0, M183/G183, 0)</f>
        <v>7500</v>
      </c>
      <c r="Q183" s="18">
        <f>IF(M183&gt;0, O183/M183, 0)</f>
        <v>1</v>
      </c>
      <c r="R183" s="18">
        <v>0.0061845468788653</v>
      </c>
    </row>
    <row r="184" spans="1:18">
      <c r="A184" s="10">
        <v>177</v>
      </c>
      <c r="B184" s="8" t="s">
        <v>36</v>
      </c>
      <c r="C184" s="8" t="s">
        <v>1857</v>
      </c>
      <c r="D184" s="8" t="s">
        <v>1858</v>
      </c>
      <c r="E184" s="10">
        <v>158</v>
      </c>
      <c r="F184" s="10" t="s">
        <v>44</v>
      </c>
      <c r="G184" s="12">
        <v>1</v>
      </c>
      <c r="H184" s="12">
        <v>1</v>
      </c>
      <c r="I184" s="12"/>
      <c r="J184" s="12"/>
      <c r="K184" s="15">
        <v>9500.0</v>
      </c>
      <c r="L184" s="15"/>
      <c r="M184" s="15">
        <f>K184-L184</f>
        <v>9500</v>
      </c>
      <c r="N184" s="15"/>
      <c r="O184" s="15">
        <f>M184-N184</f>
        <v>9500</v>
      </c>
      <c r="P184" s="15">
        <f>IF(G184&gt;0, M184/G184, 0)</f>
        <v>9500</v>
      </c>
      <c r="Q184" s="17">
        <f>IF(M184&gt;0, O184/M184, 0)</f>
        <v>1</v>
      </c>
      <c r="R184" s="17">
        <v>0.32758620689655</v>
      </c>
    </row>
    <row r="185" spans="1:18">
      <c r="A185" s="11">
        <v>178</v>
      </c>
      <c r="B185" s="9" t="s">
        <v>36</v>
      </c>
      <c r="C185" s="9" t="s">
        <v>1857</v>
      </c>
      <c r="D185" s="9" t="s">
        <v>1858</v>
      </c>
      <c r="E185" s="11">
        <v>170</v>
      </c>
      <c r="F185" s="11" t="s">
        <v>44</v>
      </c>
      <c r="G185" s="13">
        <v>1</v>
      </c>
      <c r="H185" s="13">
        <v>1</v>
      </c>
      <c r="I185" s="13"/>
      <c r="J185" s="13"/>
      <c r="K185" s="16">
        <v>9500.0</v>
      </c>
      <c r="L185" s="16"/>
      <c r="M185" s="16">
        <f>K185-L185</f>
        <v>9500</v>
      </c>
      <c r="N185" s="16"/>
      <c r="O185" s="16">
        <f>M185-N185</f>
        <v>9500</v>
      </c>
      <c r="P185" s="16">
        <f>IF(G185&gt;0, M185/G185, 0)</f>
        <v>9500</v>
      </c>
      <c r="Q185" s="18">
        <f>IF(M185&gt;0, O185/M185, 0)</f>
        <v>1</v>
      </c>
      <c r="R185" s="18">
        <v>0.32758620689655</v>
      </c>
    </row>
    <row r="186" spans="1:18">
      <c r="A186" s="10">
        <v>179</v>
      </c>
      <c r="B186" s="8" t="s">
        <v>161</v>
      </c>
      <c r="C186" s="8" t="s">
        <v>162</v>
      </c>
      <c r="D186" s="8" t="s">
        <v>162</v>
      </c>
      <c r="E186" s="10" t="s">
        <v>44</v>
      </c>
      <c r="F186" s="10" t="s">
        <v>40</v>
      </c>
      <c r="G186" s="12">
        <v>17</v>
      </c>
      <c r="H186" s="12">
        <v>13</v>
      </c>
      <c r="I186" s="12">
        <v>4</v>
      </c>
      <c r="J186" s="12">
        <v>7</v>
      </c>
      <c r="K186" s="15">
        <v>85000.0</v>
      </c>
      <c r="L186" s="15"/>
      <c r="M186" s="15">
        <f>K186-L186</f>
        <v>85000</v>
      </c>
      <c r="N186" s="15"/>
      <c r="O186" s="15">
        <f>M186-N186</f>
        <v>85000</v>
      </c>
      <c r="P186" s="15">
        <f>IF(G186&gt;0, M186/G186, 0)</f>
        <v>5000</v>
      </c>
      <c r="Q186" s="17">
        <f>IF(M186&gt;0, O186/M186, 0)</f>
        <v>1</v>
      </c>
      <c r="R186" s="17">
        <v>0.85</v>
      </c>
    </row>
    <row r="187" spans="1:18">
      <c r="A187" s="11">
        <v>180</v>
      </c>
      <c r="B187" s="9" t="s">
        <v>161</v>
      </c>
      <c r="C187" s="9" t="s">
        <v>162</v>
      </c>
      <c r="D187" s="9" t="s">
        <v>611</v>
      </c>
      <c r="E187" s="11" t="s">
        <v>44</v>
      </c>
      <c r="F187" s="11" t="s">
        <v>44</v>
      </c>
      <c r="G187" s="13">
        <v>1</v>
      </c>
      <c r="H187" s="13">
        <v>1</v>
      </c>
      <c r="I187" s="13"/>
      <c r="J187" s="13"/>
      <c r="K187" s="16">
        <v>5000.0</v>
      </c>
      <c r="L187" s="16"/>
      <c r="M187" s="16">
        <f>K187-L187</f>
        <v>5000</v>
      </c>
      <c r="N187" s="16"/>
      <c r="O187" s="16">
        <f>M187-N187</f>
        <v>5000</v>
      </c>
      <c r="P187" s="16">
        <f>IF(G187&gt;0, M187/G187, 0)</f>
        <v>5000</v>
      </c>
      <c r="Q187" s="18">
        <f>IF(M187&gt;0, O187/M187, 0)</f>
        <v>1</v>
      </c>
      <c r="R187" s="18">
        <v>0.05</v>
      </c>
    </row>
    <row r="188" spans="1:18">
      <c r="A188" s="10">
        <v>181</v>
      </c>
      <c r="B188" s="8" t="s">
        <v>161</v>
      </c>
      <c r="C188" s="8" t="s">
        <v>162</v>
      </c>
      <c r="D188" s="8" t="s">
        <v>570</v>
      </c>
      <c r="E188" s="10" t="s">
        <v>44</v>
      </c>
      <c r="F188" s="10" t="s">
        <v>40</v>
      </c>
      <c r="G188" s="12">
        <v>2</v>
      </c>
      <c r="H188" s="12">
        <v>1</v>
      </c>
      <c r="I188" s="12">
        <v>1</v>
      </c>
      <c r="J188" s="12"/>
      <c r="K188" s="15">
        <v>10000.0</v>
      </c>
      <c r="L188" s="15"/>
      <c r="M188" s="15">
        <f>K188-L188</f>
        <v>10000</v>
      </c>
      <c r="N188" s="15"/>
      <c r="O188" s="15">
        <f>M188-N188</f>
        <v>10000</v>
      </c>
      <c r="P188" s="15">
        <f>IF(G188&gt;0, M188/G188, 0)</f>
        <v>5000</v>
      </c>
      <c r="Q188" s="17">
        <f>IF(M188&gt;0, O188/M188, 0)</f>
        <v>1</v>
      </c>
      <c r="R188" s="17">
        <v>0.1</v>
      </c>
    </row>
    <row r="189" spans="1:18">
      <c r="A189" s="7" t="s">
        <v>1922</v>
      </c>
      <c r="B189" s="7"/>
      <c r="C189" s="7"/>
      <c r="D189" s="7"/>
      <c r="E189" s="7"/>
      <c r="F189" s="7"/>
      <c r="G189" s="14">
        <f>SUBTOTAL(109, G8:G188)</f>
        <v>1922</v>
      </c>
      <c r="H189" s="14">
        <f>SUBTOTAL(109, H8:H188)</f>
        <v>1676</v>
      </c>
      <c r="I189" s="14">
        <f>SUBTOTAL(109, I8:I188)</f>
        <v>246</v>
      </c>
      <c r="J189" s="14">
        <f>SUBTOTAL(109, J8:J188)</f>
        <v>55</v>
      </c>
      <c r="K189" s="20">
        <f>SUBTOTAL(109, K8:K188)</f>
        <v>19179900</v>
      </c>
      <c r="L189" s="20">
        <f>SUBTOTAL(109, L8:L188)</f>
        <v>17700</v>
      </c>
      <c r="M189" s="20">
        <f>SUBTOTAL(109, M8:M188)</f>
        <v>19162200</v>
      </c>
      <c r="N189" s="20">
        <f>SUBTOTAL(109, N8:N188)</f>
        <v>0</v>
      </c>
      <c r="O189" s="20">
        <f>SUBTOTAL(109, O8:O188)</f>
        <v>19162200</v>
      </c>
      <c r="P189" s="20">
        <f>IF(G189&gt;0, M189/G189, 0)</f>
        <v>9969.92715920915725</v>
      </c>
      <c r="Q189" s="19">
        <f>IF(M189&gt;0, O189/M189, 0)</f>
        <v>1</v>
      </c>
      <c r="R189" s="19" t="s">
        <v>1921</v>
      </c>
    </row>
  </sheetData>
  <autoFilter ref="A7:R188"/>
  <mergeCells>
    <mergeCell ref="A5:F5"/>
    <mergeCell ref="A189:F18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26"/>
  <sheetViews>
    <sheetView tabSelected="0" workbookViewId="0" showGridLines="true" showRowColHeaders="1">
      <pane ySplit="7" activePane="bottomLeft" state="frozen" topLeftCell="A8"/>
      <selection pane="bottomLeft" activeCell="N8" sqref="N8:O26"/>
    </sheetView>
  </sheetViews>
  <sheetFormatPr defaultRowHeight="14.4" outlineLevelRow="0" outlineLevelCol="0"/>
  <cols>
    <col min="1" max="1" width="184.474" bestFit="true" customWidth="true" style="0"/>
    <col min="2" max="2" width="18.997" bestFit="true" customWidth="true" style="0"/>
    <col min="3" max="3" width="17.664" bestFit="true" customWidth="true" style="0"/>
    <col min="4" max="4" width="25.663" bestFit="true" customWidth="true" style="0"/>
    <col min="5" max="5" width="24.497" bestFit="true" customWidth="true" style="0"/>
    <col min="6" max="6" width="24.497" bestFit="true" customWidth="true" style="0"/>
    <col min="7" max="7" width="26.663" bestFit="true" customWidth="true" style="0"/>
    <col min="8" max="8" width="23.497" bestFit="true" customWidth="true" style="0"/>
    <col min="9" max="9" width="30.163" bestFit="true" customWidth="true" style="0"/>
    <col min="10" max="10" width="30.163" bestFit="true" customWidth="true" style="0"/>
    <col min="11" max="11" width="22.164" bestFit="true" customWidth="true" style="0"/>
    <col min="12" max="12" width="23.497" bestFit="true" customWidth="true" style="0"/>
    <col min="13" max="13" width="25.663" bestFit="true" customWidth="true" style="0"/>
    <col min="14" max="14" width="24.497" bestFit="true" customWidth="true" style="0"/>
    <col min="15" max="15" width="31.162" bestFit="true" customWidth="true" style="0"/>
  </cols>
  <sheetData>
    <row r="2" spans="1:15">
      <c r="A2" s="1" t="s">
        <v>1923</v>
      </c>
    </row>
    <row r="3" spans="1:15">
      <c r="A3" s="2" t="s">
        <v>1924</v>
      </c>
    </row>
    <row r="5" spans="1:15" customHeight="1" ht="24">
      <c r="A5" s="4" t="s">
        <v>1920</v>
      </c>
      <c r="B5" s="5"/>
      <c r="C5" s="5"/>
      <c r="D5" s="5">
        <f>SUBTOTAL(109, D8:D25)</f>
        <v>1922</v>
      </c>
      <c r="E5" s="5">
        <f>SUBTOTAL(109, E8:E25)</f>
        <v>1676</v>
      </c>
      <c r="F5" s="5">
        <f>SUBTOTAL(109, F8:F25)</f>
        <v>246</v>
      </c>
      <c r="G5" s="5">
        <f>SUBTOTAL(109, G8:G25)</f>
        <v>55</v>
      </c>
      <c r="H5" s="5">
        <f>SUBTOTAL(109, H8:H25)</f>
        <v>19162200</v>
      </c>
      <c r="I5" s="5">
        <f>SUBTOTAL(109, I8:I25)</f>
        <v>16454200</v>
      </c>
      <c r="J5" s="5">
        <f>SUBTOTAL(109, J8:J25)</f>
        <v>2708000</v>
      </c>
      <c r="K5" s="5">
        <f>SUBTOTAL(109, K8:K25)</f>
        <v>17700</v>
      </c>
      <c r="L5" s="5">
        <f>SUBTOTAL(109, L8:L25)</f>
        <v>0</v>
      </c>
      <c r="M5" s="5">
        <f>SUBTOTAL(109, M8:M25)</f>
        <v>19162200</v>
      </c>
      <c r="N5" s="5">
        <f>IF(H5&gt;0, M5/H5, 0)</f>
        <v>1</v>
      </c>
      <c r="O5" s="6" t="s">
        <v>1921</v>
      </c>
    </row>
    <row r="7" spans="1:15" customHeight="1" ht="28">
      <c r="A7" s="3" t="s">
        <v>2</v>
      </c>
      <c r="B7" s="3" t="s">
        <v>8</v>
      </c>
      <c r="C7" s="3" t="s">
        <v>9</v>
      </c>
      <c r="D7" s="3" t="s">
        <v>1912</v>
      </c>
      <c r="E7" s="3" t="s">
        <v>1913</v>
      </c>
      <c r="F7" s="3" t="s">
        <v>1914</v>
      </c>
      <c r="G7" s="3" t="s">
        <v>1915</v>
      </c>
      <c r="H7" s="3" t="s">
        <v>1925</v>
      </c>
      <c r="I7" s="3" t="s">
        <v>1926</v>
      </c>
      <c r="J7" s="3" t="s">
        <v>1927</v>
      </c>
      <c r="K7" s="3" t="s">
        <v>1928</v>
      </c>
      <c r="L7" s="3" t="s">
        <v>1929</v>
      </c>
      <c r="M7" s="3" t="s">
        <v>24</v>
      </c>
      <c r="N7" s="3" t="s">
        <v>25</v>
      </c>
      <c r="O7" s="3" t="s">
        <v>1930</v>
      </c>
    </row>
    <row r="8" spans="1:15">
      <c r="A8" s="10">
        <v>1</v>
      </c>
      <c r="B8" s="8" t="s">
        <v>52</v>
      </c>
      <c r="C8" s="8" t="s">
        <v>37</v>
      </c>
      <c r="D8" s="12">
        <v>502</v>
      </c>
      <c r="E8" s="12">
        <v>489</v>
      </c>
      <c r="F8" s="12">
        <v>13</v>
      </c>
      <c r="G8" s="12"/>
      <c r="H8" s="15">
        <v>3704200.0</v>
      </c>
      <c r="I8" s="15">
        <v>3583200.0</v>
      </c>
      <c r="J8" s="15">
        <v>121000.0</v>
      </c>
      <c r="K8" s="15">
        <v>4200.0</v>
      </c>
      <c r="L8" s="15"/>
      <c r="M8" s="15">
        <f>H8-L8</f>
        <v>3704200</v>
      </c>
      <c r="N8" s="17">
        <f>IF(H8&gt;0, M8/H8, 0)</f>
        <v>1</v>
      </c>
      <c r="O8" s="17">
        <v>0.1933076577846</v>
      </c>
    </row>
    <row r="9" spans="1:15">
      <c r="A9" s="11">
        <v>2</v>
      </c>
      <c r="B9" s="9" t="s">
        <v>36</v>
      </c>
      <c r="C9" s="9" t="s">
        <v>37</v>
      </c>
      <c r="D9" s="13">
        <v>331</v>
      </c>
      <c r="E9" s="13">
        <v>286</v>
      </c>
      <c r="F9" s="13">
        <v>45</v>
      </c>
      <c r="G9" s="13">
        <v>8</v>
      </c>
      <c r="H9" s="16">
        <v>2826100.0</v>
      </c>
      <c r="I9" s="16">
        <v>2364100.0</v>
      </c>
      <c r="J9" s="16">
        <v>462000.0</v>
      </c>
      <c r="K9" s="16"/>
      <c r="L9" s="16"/>
      <c r="M9" s="16">
        <f>H9-L9</f>
        <v>2826100</v>
      </c>
      <c r="N9" s="18">
        <f>IF(H9&gt;0, M9/H9, 0)</f>
        <v>1</v>
      </c>
      <c r="O9" s="18">
        <v>0.14748306561877</v>
      </c>
    </row>
    <row r="10" spans="1:15">
      <c r="A10" s="10">
        <v>3</v>
      </c>
      <c r="B10" s="8" t="s">
        <v>52</v>
      </c>
      <c r="C10" s="8" t="s">
        <v>71</v>
      </c>
      <c r="D10" s="12">
        <v>136</v>
      </c>
      <c r="E10" s="12">
        <v>126</v>
      </c>
      <c r="F10" s="12">
        <v>10</v>
      </c>
      <c r="G10" s="12"/>
      <c r="H10" s="15">
        <v>2210600.0</v>
      </c>
      <c r="I10" s="15">
        <v>2046100.0</v>
      </c>
      <c r="J10" s="15">
        <v>164500.0</v>
      </c>
      <c r="K10" s="15">
        <v>2400.0</v>
      </c>
      <c r="L10" s="15"/>
      <c r="M10" s="15">
        <f>H10-L10</f>
        <v>2210600</v>
      </c>
      <c r="N10" s="17">
        <f>IF(H10&gt;0, M10/H10, 0)</f>
        <v>1</v>
      </c>
      <c r="O10" s="17">
        <v>0.11536253666072</v>
      </c>
    </row>
    <row r="11" spans="1:15">
      <c r="A11" s="11">
        <v>4</v>
      </c>
      <c r="B11" s="9" t="s">
        <v>36</v>
      </c>
      <c r="C11" s="9" t="s">
        <v>71</v>
      </c>
      <c r="D11" s="13">
        <v>101</v>
      </c>
      <c r="E11" s="13">
        <v>67</v>
      </c>
      <c r="F11" s="13">
        <v>34</v>
      </c>
      <c r="G11" s="13">
        <v>8</v>
      </c>
      <c r="H11" s="16">
        <v>1720500.0</v>
      </c>
      <c r="I11" s="16">
        <v>1123500.0</v>
      </c>
      <c r="J11" s="16">
        <v>597000.0</v>
      </c>
      <c r="K11" s="16"/>
      <c r="L11" s="16"/>
      <c r="M11" s="16">
        <f>H11-L11</f>
        <v>1720500</v>
      </c>
      <c r="N11" s="18">
        <f>IF(H11&gt;0, M11/H11, 0)</f>
        <v>1</v>
      </c>
      <c r="O11" s="18">
        <v>0.089786141466011</v>
      </c>
    </row>
    <row r="12" spans="1:15">
      <c r="A12" s="10">
        <v>5</v>
      </c>
      <c r="B12" s="8" t="s">
        <v>52</v>
      </c>
      <c r="C12" s="8" t="s">
        <v>53</v>
      </c>
      <c r="D12" s="12">
        <v>203</v>
      </c>
      <c r="E12" s="12">
        <v>195</v>
      </c>
      <c r="F12" s="12">
        <v>8</v>
      </c>
      <c r="G12" s="12">
        <v>3</v>
      </c>
      <c r="H12" s="15">
        <v>1651700.0</v>
      </c>
      <c r="I12" s="15">
        <v>1582400.0</v>
      </c>
      <c r="J12" s="15">
        <v>69300.0</v>
      </c>
      <c r="K12" s="15">
        <v>6700.0</v>
      </c>
      <c r="L12" s="15"/>
      <c r="M12" s="15">
        <f>H12-L12</f>
        <v>1651700</v>
      </c>
      <c r="N12" s="17">
        <f>IF(H12&gt;0, M12/H12, 0)</f>
        <v>1</v>
      </c>
      <c r="O12" s="17">
        <v>0.086195739528864</v>
      </c>
    </row>
    <row r="13" spans="1:15">
      <c r="A13" s="11">
        <v>6</v>
      </c>
      <c r="B13" s="9" t="s">
        <v>52</v>
      </c>
      <c r="C13" s="9" t="s">
        <v>47</v>
      </c>
      <c r="D13" s="13">
        <v>74</v>
      </c>
      <c r="E13" s="13">
        <v>74</v>
      </c>
      <c r="F13" s="13"/>
      <c r="G13" s="13"/>
      <c r="H13" s="16">
        <v>1324600.0</v>
      </c>
      <c r="I13" s="16">
        <v>1324600.0</v>
      </c>
      <c r="J13" s="16"/>
      <c r="K13" s="16">
        <v>2400.0</v>
      </c>
      <c r="L13" s="16"/>
      <c r="M13" s="16">
        <f>H13-L13</f>
        <v>1324600</v>
      </c>
      <c r="N13" s="18">
        <f>IF(H13&gt;0, M13/H13, 0)</f>
        <v>1</v>
      </c>
      <c r="O13" s="18">
        <v>0.069125674505015</v>
      </c>
    </row>
    <row r="14" spans="1:15">
      <c r="A14" s="10">
        <v>7</v>
      </c>
      <c r="B14" s="8" t="s">
        <v>36</v>
      </c>
      <c r="C14" s="8" t="s">
        <v>47</v>
      </c>
      <c r="D14" s="12">
        <v>71</v>
      </c>
      <c r="E14" s="12">
        <v>71</v>
      </c>
      <c r="F14" s="12"/>
      <c r="G14" s="12"/>
      <c r="H14" s="15">
        <v>1268500.0</v>
      </c>
      <c r="I14" s="15">
        <v>1268500.0</v>
      </c>
      <c r="J14" s="15"/>
      <c r="K14" s="15"/>
      <c r="L14" s="15"/>
      <c r="M14" s="15">
        <f>H14-L14</f>
        <v>1268500</v>
      </c>
      <c r="N14" s="17">
        <f>IF(H14&gt;0, M14/H14, 0)</f>
        <v>1</v>
      </c>
      <c r="O14" s="17">
        <v>0.06619803571615</v>
      </c>
    </row>
    <row r="15" spans="1:15">
      <c r="A15" s="11">
        <v>8</v>
      </c>
      <c r="B15" s="9" t="s">
        <v>52</v>
      </c>
      <c r="C15" s="9" t="s">
        <v>65</v>
      </c>
      <c r="D15" s="13">
        <v>119</v>
      </c>
      <c r="E15" s="13">
        <v>64</v>
      </c>
      <c r="F15" s="13">
        <v>55</v>
      </c>
      <c r="G15" s="13">
        <v>20</v>
      </c>
      <c r="H15" s="16">
        <v>1175300.0</v>
      </c>
      <c r="I15" s="16">
        <v>624300.0</v>
      </c>
      <c r="J15" s="16">
        <v>551000.0</v>
      </c>
      <c r="K15" s="16">
        <v>1200.0</v>
      </c>
      <c r="L15" s="16"/>
      <c r="M15" s="16">
        <f>H15-L15</f>
        <v>1175300</v>
      </c>
      <c r="N15" s="18">
        <f>IF(H15&gt;0, M15/H15, 0)</f>
        <v>1</v>
      </c>
      <c r="O15" s="18">
        <v>0.061334293557107</v>
      </c>
    </row>
    <row r="16" spans="1:15">
      <c r="A16" s="10">
        <v>9</v>
      </c>
      <c r="B16" s="8" t="s">
        <v>36</v>
      </c>
      <c r="C16" s="8" t="s">
        <v>53</v>
      </c>
      <c r="D16" s="12">
        <v>121</v>
      </c>
      <c r="E16" s="12">
        <v>111</v>
      </c>
      <c r="F16" s="12">
        <v>10</v>
      </c>
      <c r="G16" s="12"/>
      <c r="H16" s="15">
        <v>1042500.0</v>
      </c>
      <c r="I16" s="15">
        <v>942500.0</v>
      </c>
      <c r="J16" s="15">
        <v>100000.0</v>
      </c>
      <c r="K16" s="15"/>
      <c r="L16" s="15"/>
      <c r="M16" s="15">
        <f>H16-L16</f>
        <v>1042500</v>
      </c>
      <c r="N16" s="17">
        <f>IF(H16&gt;0, M16/H16, 0)</f>
        <v>1</v>
      </c>
      <c r="O16" s="17">
        <v>0.054403982841219</v>
      </c>
    </row>
    <row r="17" spans="1:15">
      <c r="A17" s="11">
        <v>10</v>
      </c>
      <c r="B17" s="9" t="s">
        <v>36</v>
      </c>
      <c r="C17" s="9" t="s">
        <v>65</v>
      </c>
      <c r="D17" s="13">
        <v>79</v>
      </c>
      <c r="E17" s="13">
        <v>57</v>
      </c>
      <c r="F17" s="13">
        <v>22</v>
      </c>
      <c r="G17" s="13">
        <v>8</v>
      </c>
      <c r="H17" s="16">
        <v>848500.0</v>
      </c>
      <c r="I17" s="16">
        <v>598500.0</v>
      </c>
      <c r="J17" s="16">
        <v>250000.0</v>
      </c>
      <c r="K17" s="16"/>
      <c r="L17" s="16"/>
      <c r="M17" s="16">
        <f>H17-L17</f>
        <v>848500</v>
      </c>
      <c r="N17" s="18">
        <f>IF(H17&gt;0, M17/H17, 0)</f>
        <v>1</v>
      </c>
      <c r="O17" s="18">
        <v>0.044279884355659</v>
      </c>
    </row>
    <row r="18" spans="1:15">
      <c r="A18" s="10">
        <v>11</v>
      </c>
      <c r="B18" s="8" t="s">
        <v>52</v>
      </c>
      <c r="C18" s="8" t="s">
        <v>58</v>
      </c>
      <c r="D18" s="12">
        <v>93</v>
      </c>
      <c r="E18" s="12">
        <v>57</v>
      </c>
      <c r="F18" s="12">
        <v>36</v>
      </c>
      <c r="G18" s="12"/>
      <c r="H18" s="15">
        <v>704200.0</v>
      </c>
      <c r="I18" s="15">
        <v>415000.0</v>
      </c>
      <c r="J18" s="15">
        <v>289200.0</v>
      </c>
      <c r="K18" s="15">
        <v>800.0</v>
      </c>
      <c r="L18" s="15"/>
      <c r="M18" s="15">
        <f>H18-L18</f>
        <v>704200</v>
      </c>
      <c r="N18" s="17">
        <f>IF(H18&gt;0, M18/H18, 0)</f>
        <v>1</v>
      </c>
      <c r="O18" s="17">
        <v>0.03674943378109</v>
      </c>
    </row>
    <row r="19" spans="1:15">
      <c r="A19" s="11">
        <v>12</v>
      </c>
      <c r="B19" s="9" t="s">
        <v>36</v>
      </c>
      <c r="C19" s="9" t="s">
        <v>58</v>
      </c>
      <c r="D19" s="13">
        <v>65</v>
      </c>
      <c r="E19" s="13">
        <v>60</v>
      </c>
      <c r="F19" s="13">
        <v>5</v>
      </c>
      <c r="G19" s="13"/>
      <c r="H19" s="16">
        <v>499500.0</v>
      </c>
      <c r="I19" s="16">
        <v>454500.0</v>
      </c>
      <c r="J19" s="16">
        <v>45000.0</v>
      </c>
      <c r="K19" s="16"/>
      <c r="L19" s="16"/>
      <c r="M19" s="16">
        <f>H19-L19</f>
        <v>499500</v>
      </c>
      <c r="N19" s="18">
        <f>IF(H19&gt;0, M19/H19, 0)</f>
        <v>1</v>
      </c>
      <c r="O19" s="18">
        <v>0.026066944296584</v>
      </c>
    </row>
    <row r="20" spans="1:15">
      <c r="A20" s="10">
        <v>13</v>
      </c>
      <c r="B20" s="8" t="s">
        <v>161</v>
      </c>
      <c r="C20" s="8" t="s">
        <v>162</v>
      </c>
      <c r="D20" s="12">
        <v>20</v>
      </c>
      <c r="E20" s="12">
        <v>15</v>
      </c>
      <c r="F20" s="12">
        <v>5</v>
      </c>
      <c r="G20" s="12">
        <v>7</v>
      </c>
      <c r="H20" s="15">
        <v>100000.0</v>
      </c>
      <c r="I20" s="15">
        <v>75000.0</v>
      </c>
      <c r="J20" s="15">
        <v>25000.0</v>
      </c>
      <c r="K20" s="15"/>
      <c r="L20" s="15"/>
      <c r="M20" s="15">
        <f>H20-L20</f>
        <v>100000</v>
      </c>
      <c r="N20" s="17">
        <f>IF(H20&gt;0, M20/H20, 0)</f>
        <v>1</v>
      </c>
      <c r="O20" s="17">
        <v>0.0052186074667836</v>
      </c>
    </row>
    <row r="21" spans="1:15">
      <c r="A21" s="11">
        <v>14</v>
      </c>
      <c r="B21" s="9" t="s">
        <v>52</v>
      </c>
      <c r="C21" s="9" t="s">
        <v>434</v>
      </c>
      <c r="D21" s="13">
        <v>2</v>
      </c>
      <c r="E21" s="13">
        <v>1</v>
      </c>
      <c r="F21" s="13">
        <v>1</v>
      </c>
      <c r="G21" s="13">
        <v>1</v>
      </c>
      <c r="H21" s="16">
        <v>30000.0</v>
      </c>
      <c r="I21" s="16">
        <v>15000.0</v>
      </c>
      <c r="J21" s="16">
        <v>15000.0</v>
      </c>
      <c r="K21" s="16"/>
      <c r="L21" s="16"/>
      <c r="M21" s="16">
        <f>H21-L21</f>
        <v>30000</v>
      </c>
      <c r="N21" s="18">
        <f>IF(H21&gt;0, M21/H21, 0)</f>
        <v>1</v>
      </c>
      <c r="O21" s="18">
        <v>0.0015655822400351</v>
      </c>
    </row>
    <row r="22" spans="1:15">
      <c r="A22" s="10">
        <v>15</v>
      </c>
      <c r="B22" s="8" t="s">
        <v>36</v>
      </c>
      <c r="C22" s="8" t="s">
        <v>1857</v>
      </c>
      <c r="D22" s="12">
        <v>2</v>
      </c>
      <c r="E22" s="12">
        <v>2</v>
      </c>
      <c r="F22" s="12"/>
      <c r="G22" s="12"/>
      <c r="H22" s="15">
        <v>19000.0</v>
      </c>
      <c r="I22" s="15">
        <v>19000.0</v>
      </c>
      <c r="J22" s="15"/>
      <c r="K22" s="15"/>
      <c r="L22" s="15"/>
      <c r="M22" s="15">
        <f>H22-L22</f>
        <v>19000</v>
      </c>
      <c r="N22" s="17">
        <f>IF(H22&gt;0, M22/H22, 0)</f>
        <v>1</v>
      </c>
      <c r="O22" s="17">
        <v>0.00099153541868888</v>
      </c>
    </row>
    <row r="23" spans="1:15">
      <c r="A23" s="11">
        <v>16</v>
      </c>
      <c r="B23" s="9" t="s">
        <v>135</v>
      </c>
      <c r="C23" s="9" t="s">
        <v>47</v>
      </c>
      <c r="D23" s="13">
        <v>1</v>
      </c>
      <c r="E23" s="13">
        <v>1</v>
      </c>
      <c r="F23" s="13"/>
      <c r="G23" s="13"/>
      <c r="H23" s="16">
        <v>18000.0</v>
      </c>
      <c r="I23" s="16">
        <v>18000.0</v>
      </c>
      <c r="J23" s="16"/>
      <c r="K23" s="16"/>
      <c r="L23" s="16"/>
      <c r="M23" s="16">
        <f>H23-L23</f>
        <v>18000</v>
      </c>
      <c r="N23" s="18">
        <f>IF(H23&gt;0, M23/H23, 0)</f>
        <v>1</v>
      </c>
      <c r="O23" s="18">
        <v>0.00093934934402104</v>
      </c>
    </row>
    <row r="24" spans="1:15">
      <c r="A24" s="10">
        <v>17</v>
      </c>
      <c r="B24" s="8" t="s">
        <v>52</v>
      </c>
      <c r="C24" s="8" t="s">
        <v>1857</v>
      </c>
      <c r="D24" s="12">
        <v>1</v>
      </c>
      <c r="E24" s="12"/>
      <c r="F24" s="12">
        <v>1</v>
      </c>
      <c r="G24" s="12"/>
      <c r="H24" s="15">
        <v>10000.0</v>
      </c>
      <c r="I24" s="15"/>
      <c r="J24" s="15">
        <v>10000.0</v>
      </c>
      <c r="K24" s="15"/>
      <c r="L24" s="15"/>
      <c r="M24" s="15">
        <f>H24-L24</f>
        <v>10000</v>
      </c>
      <c r="N24" s="17">
        <f>IF(H24&gt;0, M24/H24, 0)</f>
        <v>1</v>
      </c>
      <c r="O24" s="17">
        <v>0.00052186074667836</v>
      </c>
    </row>
    <row r="25" spans="1:15">
      <c r="A25" s="11">
        <v>18</v>
      </c>
      <c r="B25" s="9" t="s">
        <v>135</v>
      </c>
      <c r="C25" s="9" t="s">
        <v>58</v>
      </c>
      <c r="D25" s="13">
        <v>1</v>
      </c>
      <c r="E25" s="13"/>
      <c r="F25" s="13">
        <v>1</v>
      </c>
      <c r="G25" s="13"/>
      <c r="H25" s="16">
        <v>9000.0</v>
      </c>
      <c r="I25" s="16"/>
      <c r="J25" s="16">
        <v>9000.0</v>
      </c>
      <c r="K25" s="16"/>
      <c r="L25" s="16"/>
      <c r="M25" s="16">
        <f>H25-L25</f>
        <v>9000</v>
      </c>
      <c r="N25" s="18">
        <f>IF(H25&gt;0, M25/H25, 0)</f>
        <v>1</v>
      </c>
      <c r="O25" s="18">
        <v>0.00046967467201052</v>
      </c>
    </row>
    <row r="26" spans="1:15">
      <c r="A26" s="7" t="s">
        <v>1931</v>
      </c>
      <c r="B26" s="7"/>
      <c r="C26" s="7"/>
      <c r="D26" s="14">
        <f>SUBTOTAL(109, D8:D25)</f>
        <v>1922</v>
      </c>
      <c r="E26" s="14">
        <f>SUBTOTAL(109, E8:E25)</f>
        <v>1676</v>
      </c>
      <c r="F26" s="14">
        <f>SUBTOTAL(109, F8:F25)</f>
        <v>246</v>
      </c>
      <c r="G26" s="14">
        <f>SUBTOTAL(109, G8:G25)</f>
        <v>55</v>
      </c>
      <c r="H26" s="20">
        <f>SUBTOTAL(109, H8:H25)</f>
        <v>19162200</v>
      </c>
      <c r="I26" s="20">
        <f>SUBTOTAL(109, I8:I25)</f>
        <v>16454200</v>
      </c>
      <c r="J26" s="20">
        <f>SUBTOTAL(109, J8:J25)</f>
        <v>2708000</v>
      </c>
      <c r="K26" s="20">
        <f>SUBTOTAL(109, K8:K25)</f>
        <v>17700</v>
      </c>
      <c r="L26" s="20">
        <f>SUBTOTAL(109, L8:L25)</f>
        <v>0</v>
      </c>
      <c r="M26" s="20">
        <f>SUBTOTAL(109, M8:M25)</f>
        <v>19162200</v>
      </c>
      <c r="N26" s="19">
        <f>IF(H26&gt;0, M26/H26, 0)</f>
        <v>1</v>
      </c>
      <c r="O26" s="19" t="s">
        <v>1921</v>
      </c>
    </row>
  </sheetData>
  <autoFilter ref="A7:O25"/>
  <mergeCells>
    <mergeCell ref="A5:C5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65"/>
  <sheetViews>
    <sheetView tabSelected="0" workbookViewId="0" showGridLines="true" showRowColHeaders="1">
      <pane ySplit="7" activePane="bottomLeft" state="frozen" topLeftCell="A8"/>
      <selection pane="bottomLeft" activeCell="J8" sqref="J8:O65"/>
    </sheetView>
  </sheetViews>
  <sheetFormatPr defaultRowHeight="14.4" outlineLevelRow="0" outlineLevelCol="0"/>
  <cols>
    <col min="1" max="1" width="189.974" bestFit="true" customWidth="true" style="0"/>
    <col min="2" max="2" width="14.331" bestFit="true" customWidth="true" style="0"/>
    <col min="3" max="3" width="17.664" bestFit="true" customWidth="true" style="0"/>
    <col min="4" max="4" width="21.164" bestFit="true" customWidth="true" style="0"/>
    <col min="5" max="5" width="18.997" bestFit="true" customWidth="true" style="0"/>
    <col min="6" max="6" width="25.663" bestFit="true" customWidth="true" style="0"/>
    <col min="7" max="7" width="24.497" bestFit="true" customWidth="true" style="0"/>
    <col min="8" max="8" width="24.497" bestFit="true" customWidth="true" style="0"/>
    <col min="9" max="9" width="26.663" bestFit="true" customWidth="true" style="0"/>
    <col min="10" max="10" width="25.663" bestFit="true" customWidth="true" style="0"/>
    <col min="11" max="11" width="25.663" bestFit="true" customWidth="true" style="0"/>
    <col min="12" max="12" width="27.996" bestFit="true" customWidth="true" style="0"/>
    <col min="13" max="13" width="26.163" bestFit="true" customWidth="true" style="0"/>
    <col min="14" max="14" width="22.164" bestFit="true" customWidth="true" style="0"/>
    <col min="15" max="15" width="25.663" bestFit="true" customWidth="true" style="0"/>
  </cols>
  <sheetData>
    <row r="2" spans="1:15">
      <c r="A2" s="1" t="s">
        <v>1932</v>
      </c>
    </row>
    <row r="3" spans="1:15">
      <c r="A3" s="2" t="s">
        <v>1933</v>
      </c>
    </row>
    <row r="5" spans="1:15" customHeight="1" ht="24">
      <c r="A5" s="4" t="s">
        <v>2006</v>
      </c>
      <c r="B5" s="5"/>
      <c r="C5" s="5"/>
      <c r="D5" s="5"/>
      <c r="E5" s="5">
        <f>SUBTOTAL(109, E8:E64)</f>
        <v>1541</v>
      </c>
      <c r="F5" s="5">
        <f>SUBTOTAL(109, F8:F64)</f>
        <v>1922</v>
      </c>
      <c r="G5" s="5">
        <f>SUBTOTAL(109, G8:G64)</f>
        <v>1676</v>
      </c>
      <c r="H5" s="5">
        <f>SUBTOTAL(109, H8:H64)</f>
        <v>246</v>
      </c>
      <c r="I5" s="5">
        <f>SUBTOTAL(109, I8:I64)</f>
        <v>55</v>
      </c>
      <c r="J5" s="5">
        <f>SUBTOTAL(109, J8:J64)</f>
        <v>19162200</v>
      </c>
      <c r="K5" s="5">
        <f>SUBTOTAL(109, K8:K64)</f>
        <v>16454200</v>
      </c>
      <c r="L5" s="5">
        <f>SUBTOTAL(109, L8:L64)</f>
        <v>2708000</v>
      </c>
      <c r="M5" s="5">
        <f>IF(E5&gt;0, J5/E5, 0)</f>
        <v>12434.91239454899369</v>
      </c>
      <c r="N5" s="5">
        <f>SUBTOTAL(109, N8:N64)</f>
        <v>17700</v>
      </c>
      <c r="O5" s="6">
        <f>SUBTOTAL(109, O8:O64)</f>
        <v>19162200</v>
      </c>
    </row>
    <row r="7" spans="1:15" customHeight="1" ht="28">
      <c r="A7" s="3" t="s">
        <v>2</v>
      </c>
      <c r="B7" s="3" t="s">
        <v>1934</v>
      </c>
      <c r="C7" s="3" t="s">
        <v>1935</v>
      </c>
      <c r="D7" s="3" t="s">
        <v>5</v>
      </c>
      <c r="E7" s="3" t="s">
        <v>1936</v>
      </c>
      <c r="F7" s="3" t="s">
        <v>1937</v>
      </c>
      <c r="G7" s="3" t="s">
        <v>1913</v>
      </c>
      <c r="H7" s="3" t="s">
        <v>1914</v>
      </c>
      <c r="I7" s="3" t="s">
        <v>1915</v>
      </c>
      <c r="J7" s="3" t="s">
        <v>1938</v>
      </c>
      <c r="K7" s="3" t="s">
        <v>1939</v>
      </c>
      <c r="L7" s="3" t="s">
        <v>1940</v>
      </c>
      <c r="M7" s="3" t="s">
        <v>1941</v>
      </c>
      <c r="N7" s="3" t="s">
        <v>1928</v>
      </c>
      <c r="O7" s="3" t="s">
        <v>24</v>
      </c>
    </row>
    <row r="8" spans="1:15">
      <c r="A8" s="10">
        <v>1</v>
      </c>
      <c r="B8" s="10" t="s">
        <v>1942</v>
      </c>
      <c r="C8" s="10" t="s">
        <v>1943</v>
      </c>
      <c r="D8" s="10" t="s">
        <v>33</v>
      </c>
      <c r="E8" s="12">
        <v>3</v>
      </c>
      <c r="F8" s="12">
        <v>3</v>
      </c>
      <c r="G8" s="12">
        <v>3</v>
      </c>
      <c r="H8" s="12"/>
      <c r="I8" s="12"/>
      <c r="J8" s="15">
        <v>34000.0</v>
      </c>
      <c r="K8" s="15">
        <v>34000.0</v>
      </c>
      <c r="L8" s="15"/>
      <c r="M8" s="15">
        <f>IF(E8&gt;0, J8/E8, 0)</f>
        <v>11333.33333333333394</v>
      </c>
      <c r="N8" s="15"/>
      <c r="O8" s="15">
        <f>J8-0</f>
        <v>34000</v>
      </c>
    </row>
    <row r="9" spans="1:15">
      <c r="A9" s="11">
        <v>2</v>
      </c>
      <c r="B9" s="11" t="s">
        <v>1944</v>
      </c>
      <c r="C9" s="11" t="s">
        <v>1945</v>
      </c>
      <c r="D9" s="11" t="s">
        <v>33</v>
      </c>
      <c r="E9" s="13">
        <v>21</v>
      </c>
      <c r="F9" s="13">
        <v>23</v>
      </c>
      <c r="G9" s="13">
        <v>15</v>
      </c>
      <c r="H9" s="13">
        <v>8</v>
      </c>
      <c r="I9" s="13"/>
      <c r="J9" s="16">
        <v>233000.0</v>
      </c>
      <c r="K9" s="16">
        <v>138500.0</v>
      </c>
      <c r="L9" s="16">
        <v>94500.0</v>
      </c>
      <c r="M9" s="16">
        <f>IF(E9&gt;0, J9/E9, 0)</f>
        <v>11095.23809523809541</v>
      </c>
      <c r="N9" s="16"/>
      <c r="O9" s="16">
        <f>J9-0</f>
        <v>233000</v>
      </c>
    </row>
    <row r="10" spans="1:15">
      <c r="A10" s="10">
        <v>3</v>
      </c>
      <c r="B10" s="10" t="s">
        <v>1946</v>
      </c>
      <c r="C10" s="10" t="s">
        <v>1947</v>
      </c>
      <c r="D10" s="10" t="s">
        <v>33</v>
      </c>
      <c r="E10" s="12">
        <v>8</v>
      </c>
      <c r="F10" s="12">
        <v>11</v>
      </c>
      <c r="G10" s="12">
        <v>11</v>
      </c>
      <c r="H10" s="12"/>
      <c r="I10" s="12"/>
      <c r="J10" s="15">
        <v>93500.0</v>
      </c>
      <c r="K10" s="15">
        <v>93500.0</v>
      </c>
      <c r="L10" s="15"/>
      <c r="M10" s="15">
        <f>IF(E10&gt;0, J10/E10, 0)</f>
        <v>11687.5</v>
      </c>
      <c r="N10" s="15"/>
      <c r="O10" s="15">
        <f>J10-0</f>
        <v>93500</v>
      </c>
    </row>
    <row r="11" spans="1:15">
      <c r="A11" s="11">
        <v>4</v>
      </c>
      <c r="B11" s="11" t="s">
        <v>1948</v>
      </c>
      <c r="C11" s="11" t="s">
        <v>1949</v>
      </c>
      <c r="D11" s="11" t="s">
        <v>33</v>
      </c>
      <c r="E11" s="13">
        <v>28</v>
      </c>
      <c r="F11" s="13">
        <v>31</v>
      </c>
      <c r="G11" s="13">
        <v>31</v>
      </c>
      <c r="H11" s="13"/>
      <c r="I11" s="13">
        <v>19</v>
      </c>
      <c r="J11" s="16">
        <v>369000.0</v>
      </c>
      <c r="K11" s="16">
        <v>369000.0</v>
      </c>
      <c r="L11" s="16"/>
      <c r="M11" s="16">
        <f>IF(E11&gt;0, J11/E11, 0)</f>
        <v>13178.57142857142935</v>
      </c>
      <c r="N11" s="16"/>
      <c r="O11" s="16">
        <f>J11-0</f>
        <v>369000</v>
      </c>
    </row>
    <row r="12" spans="1:15">
      <c r="A12" s="10">
        <v>5</v>
      </c>
      <c r="B12" s="10" t="s">
        <v>1950</v>
      </c>
      <c r="C12" s="10" t="s">
        <v>1945</v>
      </c>
      <c r="D12" s="10" t="s">
        <v>201</v>
      </c>
      <c r="E12" s="12">
        <v>71</v>
      </c>
      <c r="F12" s="12">
        <v>83</v>
      </c>
      <c r="G12" s="12">
        <v>76</v>
      </c>
      <c r="H12" s="12">
        <v>7</v>
      </c>
      <c r="I12" s="12">
        <v>24</v>
      </c>
      <c r="J12" s="15">
        <v>891800.0</v>
      </c>
      <c r="K12" s="15">
        <v>811800.0</v>
      </c>
      <c r="L12" s="15">
        <v>80000.0</v>
      </c>
      <c r="M12" s="15">
        <f>IF(E12&gt;0, J12/E12, 0)</f>
        <v>12560.56338028169012</v>
      </c>
      <c r="N12" s="15">
        <v>1200.0</v>
      </c>
      <c r="O12" s="15">
        <f>J12-0</f>
        <v>891800</v>
      </c>
    </row>
    <row r="13" spans="1:15">
      <c r="A13" s="11">
        <v>6</v>
      </c>
      <c r="B13" s="11" t="s">
        <v>1951</v>
      </c>
      <c r="C13" s="11" t="s">
        <v>1947</v>
      </c>
      <c r="D13" s="11" t="s">
        <v>201</v>
      </c>
      <c r="E13" s="13">
        <v>6</v>
      </c>
      <c r="F13" s="13">
        <v>6</v>
      </c>
      <c r="G13" s="13">
        <v>6</v>
      </c>
      <c r="H13" s="13"/>
      <c r="I13" s="13">
        <v>2</v>
      </c>
      <c r="J13" s="16">
        <v>62000.0</v>
      </c>
      <c r="K13" s="16">
        <v>62000.0</v>
      </c>
      <c r="L13" s="16"/>
      <c r="M13" s="16">
        <f>IF(E13&gt;0, J13/E13, 0)</f>
        <v>10333.33333333333394</v>
      </c>
      <c r="N13" s="16"/>
      <c r="O13" s="16">
        <f>J13-0</f>
        <v>62000</v>
      </c>
    </row>
    <row r="14" spans="1:15">
      <c r="A14" s="10">
        <v>7</v>
      </c>
      <c r="B14" s="10" t="s">
        <v>1952</v>
      </c>
      <c r="C14" s="10" t="s">
        <v>1949</v>
      </c>
      <c r="D14" s="10" t="s">
        <v>201</v>
      </c>
      <c r="E14" s="12">
        <v>14</v>
      </c>
      <c r="F14" s="12">
        <v>15</v>
      </c>
      <c r="G14" s="12">
        <v>12</v>
      </c>
      <c r="H14" s="12">
        <v>3</v>
      </c>
      <c r="I14" s="12">
        <v>4</v>
      </c>
      <c r="J14" s="15">
        <v>136500.0</v>
      </c>
      <c r="K14" s="15">
        <v>106500.0</v>
      </c>
      <c r="L14" s="15">
        <v>30000.0</v>
      </c>
      <c r="M14" s="15">
        <f>IF(E14&gt;0, J14/E14, 0)</f>
        <v>9750</v>
      </c>
      <c r="N14" s="15"/>
      <c r="O14" s="15">
        <f>J14-0</f>
        <v>136500</v>
      </c>
    </row>
    <row r="15" spans="1:15">
      <c r="A15" s="11">
        <v>8</v>
      </c>
      <c r="B15" s="11" t="s">
        <v>1953</v>
      </c>
      <c r="C15" s="11" t="s">
        <v>1954</v>
      </c>
      <c r="D15" s="11" t="s">
        <v>201</v>
      </c>
      <c r="E15" s="13">
        <v>15</v>
      </c>
      <c r="F15" s="13">
        <v>16</v>
      </c>
      <c r="G15" s="13">
        <v>16</v>
      </c>
      <c r="H15" s="13"/>
      <c r="I15" s="13">
        <v>4</v>
      </c>
      <c r="J15" s="16">
        <v>168000.0</v>
      </c>
      <c r="K15" s="16">
        <v>168000.0</v>
      </c>
      <c r="L15" s="16"/>
      <c r="M15" s="16">
        <f>IF(E15&gt;0, J15/E15, 0)</f>
        <v>11200</v>
      </c>
      <c r="N15" s="16"/>
      <c r="O15" s="16">
        <f>J15-0</f>
        <v>168000</v>
      </c>
    </row>
    <row r="16" spans="1:15">
      <c r="A16" s="10">
        <v>9</v>
      </c>
      <c r="B16" s="10" t="s">
        <v>1955</v>
      </c>
      <c r="C16" s="10" t="s">
        <v>1956</v>
      </c>
      <c r="D16" s="10" t="s">
        <v>201</v>
      </c>
      <c r="E16" s="12">
        <v>16</v>
      </c>
      <c r="F16" s="12">
        <v>17</v>
      </c>
      <c r="G16" s="12">
        <v>12</v>
      </c>
      <c r="H16" s="12">
        <v>5</v>
      </c>
      <c r="I16" s="12"/>
      <c r="J16" s="15">
        <v>174000.0</v>
      </c>
      <c r="K16" s="15">
        <v>127000.0</v>
      </c>
      <c r="L16" s="15">
        <v>47000.0</v>
      </c>
      <c r="M16" s="15">
        <f>IF(E16&gt;0, J16/E16, 0)</f>
        <v>10875</v>
      </c>
      <c r="N16" s="15"/>
      <c r="O16" s="15">
        <f>J16-0</f>
        <v>174000</v>
      </c>
    </row>
    <row r="17" spans="1:15">
      <c r="A17" s="11">
        <v>10</v>
      </c>
      <c r="B17" s="11" t="s">
        <v>1957</v>
      </c>
      <c r="C17" s="11" t="s">
        <v>1943</v>
      </c>
      <c r="D17" s="11" t="s">
        <v>201</v>
      </c>
      <c r="E17" s="13">
        <v>7</v>
      </c>
      <c r="F17" s="13">
        <v>8</v>
      </c>
      <c r="G17" s="13">
        <v>7</v>
      </c>
      <c r="H17" s="13">
        <v>1</v>
      </c>
      <c r="I17" s="13"/>
      <c r="J17" s="16">
        <v>83000.0</v>
      </c>
      <c r="K17" s="16">
        <v>73000.0</v>
      </c>
      <c r="L17" s="16">
        <v>10000.0</v>
      </c>
      <c r="M17" s="16">
        <f>IF(E17&gt;0, J17/E17, 0)</f>
        <v>11857.14285714285688</v>
      </c>
      <c r="N17" s="16"/>
      <c r="O17" s="16">
        <f>J17-0</f>
        <v>83000</v>
      </c>
    </row>
    <row r="18" spans="1:15">
      <c r="A18" s="10">
        <v>11</v>
      </c>
      <c r="B18" s="10" t="s">
        <v>1958</v>
      </c>
      <c r="C18" s="10" t="s">
        <v>1945</v>
      </c>
      <c r="D18" s="10" t="s">
        <v>201</v>
      </c>
      <c r="E18" s="12">
        <v>13</v>
      </c>
      <c r="F18" s="12">
        <v>13</v>
      </c>
      <c r="G18" s="12">
        <v>8</v>
      </c>
      <c r="H18" s="12">
        <v>5</v>
      </c>
      <c r="I18" s="12"/>
      <c r="J18" s="15">
        <v>142000.0</v>
      </c>
      <c r="K18" s="15">
        <v>96000.0</v>
      </c>
      <c r="L18" s="15">
        <v>46000.0</v>
      </c>
      <c r="M18" s="15">
        <f>IF(E18&gt;0, J18/E18, 0)</f>
        <v>10923.076923076923777</v>
      </c>
      <c r="N18" s="15"/>
      <c r="O18" s="15">
        <f>J18-0</f>
        <v>142000</v>
      </c>
    </row>
    <row r="19" spans="1:15">
      <c r="A19" s="11">
        <v>12</v>
      </c>
      <c r="B19" s="11" t="s">
        <v>1959</v>
      </c>
      <c r="C19" s="11" t="s">
        <v>1947</v>
      </c>
      <c r="D19" s="11" t="s">
        <v>201</v>
      </c>
      <c r="E19" s="13">
        <v>17</v>
      </c>
      <c r="F19" s="13">
        <v>19</v>
      </c>
      <c r="G19" s="13">
        <v>18</v>
      </c>
      <c r="H19" s="13">
        <v>1</v>
      </c>
      <c r="I19" s="13"/>
      <c r="J19" s="16">
        <v>205500.0</v>
      </c>
      <c r="K19" s="16">
        <v>195500.0</v>
      </c>
      <c r="L19" s="16">
        <v>10000.0</v>
      </c>
      <c r="M19" s="16">
        <f>IF(E19&gt;0, J19/E19, 0)</f>
        <v>12088.23529411764684</v>
      </c>
      <c r="N19" s="16"/>
      <c r="O19" s="16">
        <f>J19-0</f>
        <v>205500</v>
      </c>
    </row>
    <row r="20" spans="1:15">
      <c r="A20" s="10">
        <v>13</v>
      </c>
      <c r="B20" s="10" t="s">
        <v>1960</v>
      </c>
      <c r="C20" s="10" t="s">
        <v>1961</v>
      </c>
      <c r="D20" s="10" t="s">
        <v>201</v>
      </c>
      <c r="E20" s="12">
        <v>1</v>
      </c>
      <c r="F20" s="12">
        <v>1</v>
      </c>
      <c r="G20" s="12">
        <v>1</v>
      </c>
      <c r="H20" s="12"/>
      <c r="I20" s="12"/>
      <c r="J20" s="15">
        <v>7000.0</v>
      </c>
      <c r="K20" s="15">
        <v>7000.0</v>
      </c>
      <c r="L20" s="15"/>
      <c r="M20" s="15">
        <f>IF(E20&gt;0, J20/E20, 0)</f>
        <v>7000</v>
      </c>
      <c r="N20" s="15"/>
      <c r="O20" s="15">
        <f>J20-0</f>
        <v>7000</v>
      </c>
    </row>
    <row r="21" spans="1:15">
      <c r="A21" s="11">
        <v>14</v>
      </c>
      <c r="B21" s="11" t="s">
        <v>1962</v>
      </c>
      <c r="C21" s="11" t="s">
        <v>1949</v>
      </c>
      <c r="D21" s="11" t="s">
        <v>201</v>
      </c>
      <c r="E21" s="13">
        <v>8</v>
      </c>
      <c r="F21" s="13">
        <v>10</v>
      </c>
      <c r="G21" s="13">
        <v>1</v>
      </c>
      <c r="H21" s="13">
        <v>9</v>
      </c>
      <c r="I21" s="13"/>
      <c r="J21" s="16">
        <v>90000.0</v>
      </c>
      <c r="K21" s="16">
        <v>5000.0</v>
      </c>
      <c r="L21" s="16">
        <v>85000.0</v>
      </c>
      <c r="M21" s="16">
        <f>IF(E21&gt;0, J21/E21, 0)</f>
        <v>11250</v>
      </c>
      <c r="N21" s="16"/>
      <c r="O21" s="16">
        <f>J21-0</f>
        <v>90000</v>
      </c>
    </row>
    <row r="22" spans="1:15">
      <c r="A22" s="10">
        <v>15</v>
      </c>
      <c r="B22" s="10" t="s">
        <v>1963</v>
      </c>
      <c r="C22" s="10" t="s">
        <v>1954</v>
      </c>
      <c r="D22" s="10" t="s">
        <v>201</v>
      </c>
      <c r="E22" s="12">
        <v>12</v>
      </c>
      <c r="F22" s="12">
        <v>12</v>
      </c>
      <c r="G22" s="12">
        <v>12</v>
      </c>
      <c r="H22" s="12"/>
      <c r="I22" s="12">
        <v>1</v>
      </c>
      <c r="J22" s="15">
        <v>148000.0</v>
      </c>
      <c r="K22" s="15">
        <v>148000.0</v>
      </c>
      <c r="L22" s="15"/>
      <c r="M22" s="15">
        <f>IF(E22&gt;0, J22/E22, 0)</f>
        <v>12333.33333333333394</v>
      </c>
      <c r="N22" s="15"/>
      <c r="O22" s="15">
        <f>J22-0</f>
        <v>148000</v>
      </c>
    </row>
    <row r="23" spans="1:15">
      <c r="A23" s="11">
        <v>16</v>
      </c>
      <c r="B23" s="11" t="s">
        <v>1964</v>
      </c>
      <c r="C23" s="11" t="s">
        <v>1956</v>
      </c>
      <c r="D23" s="11" t="s">
        <v>201</v>
      </c>
      <c r="E23" s="13">
        <v>12</v>
      </c>
      <c r="F23" s="13">
        <v>13</v>
      </c>
      <c r="G23" s="13">
        <v>8</v>
      </c>
      <c r="H23" s="13">
        <v>5</v>
      </c>
      <c r="I23" s="13">
        <v>1</v>
      </c>
      <c r="J23" s="16">
        <v>130000.0</v>
      </c>
      <c r="K23" s="16">
        <v>78000.0</v>
      </c>
      <c r="L23" s="16">
        <v>52000.0</v>
      </c>
      <c r="M23" s="16">
        <f>IF(E23&gt;0, J23/E23, 0)</f>
        <v>10833.33333333333394</v>
      </c>
      <c r="N23" s="16"/>
      <c r="O23" s="16">
        <f>J23-0</f>
        <v>130000</v>
      </c>
    </row>
    <row r="24" spans="1:15">
      <c r="A24" s="10">
        <v>17</v>
      </c>
      <c r="B24" s="10" t="s">
        <v>1965</v>
      </c>
      <c r="C24" s="10" t="s">
        <v>1943</v>
      </c>
      <c r="D24" s="10" t="s">
        <v>201</v>
      </c>
      <c r="E24" s="12">
        <v>12</v>
      </c>
      <c r="F24" s="12">
        <v>14</v>
      </c>
      <c r="G24" s="12">
        <v>11</v>
      </c>
      <c r="H24" s="12">
        <v>3</v>
      </c>
      <c r="I24" s="12"/>
      <c r="J24" s="15">
        <v>151500.0</v>
      </c>
      <c r="K24" s="15">
        <v>111500.0</v>
      </c>
      <c r="L24" s="15">
        <v>40000.0</v>
      </c>
      <c r="M24" s="15">
        <f>IF(E24&gt;0, J24/E24, 0)</f>
        <v>12625</v>
      </c>
      <c r="N24" s="15"/>
      <c r="O24" s="15">
        <f>J24-0</f>
        <v>151500</v>
      </c>
    </row>
    <row r="25" spans="1:15">
      <c r="A25" s="11">
        <v>18</v>
      </c>
      <c r="B25" s="11" t="s">
        <v>1966</v>
      </c>
      <c r="C25" s="11" t="s">
        <v>1945</v>
      </c>
      <c r="D25" s="11" t="s">
        <v>201</v>
      </c>
      <c r="E25" s="13">
        <v>7</v>
      </c>
      <c r="F25" s="13">
        <v>7</v>
      </c>
      <c r="G25" s="13">
        <v>6</v>
      </c>
      <c r="H25" s="13">
        <v>1</v>
      </c>
      <c r="I25" s="13"/>
      <c r="J25" s="16">
        <v>78000.0</v>
      </c>
      <c r="K25" s="16">
        <v>67000.0</v>
      </c>
      <c r="L25" s="16">
        <v>11000.0</v>
      </c>
      <c r="M25" s="16">
        <f>IF(E25&gt;0, J25/E25, 0)</f>
        <v>11142.85714285714312</v>
      </c>
      <c r="N25" s="16"/>
      <c r="O25" s="16">
        <f>J25-0</f>
        <v>78000</v>
      </c>
    </row>
    <row r="26" spans="1:15">
      <c r="A26" s="10">
        <v>19</v>
      </c>
      <c r="B26" s="10" t="s">
        <v>1967</v>
      </c>
      <c r="C26" s="10" t="s">
        <v>1947</v>
      </c>
      <c r="D26" s="10" t="s">
        <v>201</v>
      </c>
      <c r="E26" s="12">
        <v>12</v>
      </c>
      <c r="F26" s="12">
        <v>15</v>
      </c>
      <c r="G26" s="12">
        <v>14</v>
      </c>
      <c r="H26" s="12">
        <v>1</v>
      </c>
      <c r="I26" s="12"/>
      <c r="J26" s="15">
        <v>142500.0</v>
      </c>
      <c r="K26" s="15">
        <v>132500.0</v>
      </c>
      <c r="L26" s="15">
        <v>10000.0</v>
      </c>
      <c r="M26" s="15">
        <f>IF(E26&gt;0, J26/E26, 0)</f>
        <v>11875</v>
      </c>
      <c r="N26" s="15"/>
      <c r="O26" s="15">
        <f>J26-0</f>
        <v>142500</v>
      </c>
    </row>
    <row r="27" spans="1:15">
      <c r="A27" s="11">
        <v>20</v>
      </c>
      <c r="B27" s="11" t="s">
        <v>1968</v>
      </c>
      <c r="C27" s="11" t="s">
        <v>1961</v>
      </c>
      <c r="D27" s="11" t="s">
        <v>201</v>
      </c>
      <c r="E27" s="13">
        <v>4</v>
      </c>
      <c r="F27" s="13">
        <v>6</v>
      </c>
      <c r="G27" s="13">
        <v>6</v>
      </c>
      <c r="H27" s="13"/>
      <c r="I27" s="13"/>
      <c r="J27" s="16">
        <v>61500.0</v>
      </c>
      <c r="K27" s="16">
        <v>61500.0</v>
      </c>
      <c r="L27" s="16"/>
      <c r="M27" s="16">
        <f>IF(E27&gt;0, J27/E27, 0)</f>
        <v>15375</v>
      </c>
      <c r="N27" s="16"/>
      <c r="O27" s="16">
        <f>J27-0</f>
        <v>61500</v>
      </c>
    </row>
    <row r="28" spans="1:15">
      <c r="A28" s="10">
        <v>21</v>
      </c>
      <c r="B28" s="10" t="s">
        <v>1969</v>
      </c>
      <c r="C28" s="10" t="s">
        <v>1954</v>
      </c>
      <c r="D28" s="10" t="s">
        <v>201</v>
      </c>
      <c r="E28" s="12">
        <v>1</v>
      </c>
      <c r="F28" s="12">
        <v>1</v>
      </c>
      <c r="G28" s="12">
        <v>1</v>
      </c>
      <c r="H28" s="12"/>
      <c r="I28" s="12"/>
      <c r="J28" s="15">
        <v>8000.0</v>
      </c>
      <c r="K28" s="15">
        <v>8000.0</v>
      </c>
      <c r="L28" s="15"/>
      <c r="M28" s="15">
        <f>IF(E28&gt;0, J28/E28, 0)</f>
        <v>8000</v>
      </c>
      <c r="N28" s="15"/>
      <c r="O28" s="15">
        <f>J28-0</f>
        <v>8000</v>
      </c>
    </row>
    <row r="29" spans="1:15">
      <c r="A29" s="11">
        <v>22</v>
      </c>
      <c r="B29" s="11" t="s">
        <v>1970</v>
      </c>
      <c r="C29" s="11" t="s">
        <v>1956</v>
      </c>
      <c r="D29" s="11" t="s">
        <v>201</v>
      </c>
      <c r="E29" s="13">
        <v>4</v>
      </c>
      <c r="F29" s="13">
        <v>4</v>
      </c>
      <c r="G29" s="13">
        <v>3</v>
      </c>
      <c r="H29" s="13">
        <v>1</v>
      </c>
      <c r="I29" s="13"/>
      <c r="J29" s="16">
        <v>42500.0</v>
      </c>
      <c r="K29" s="16">
        <v>25500.0</v>
      </c>
      <c r="L29" s="16">
        <v>17000.0</v>
      </c>
      <c r="M29" s="16">
        <f>IF(E29&gt;0, J29/E29, 0)</f>
        <v>10625</v>
      </c>
      <c r="N29" s="16"/>
      <c r="O29" s="16">
        <f>J29-0</f>
        <v>42500</v>
      </c>
    </row>
    <row r="30" spans="1:15">
      <c r="A30" s="10">
        <v>23</v>
      </c>
      <c r="B30" s="10" t="s">
        <v>1971</v>
      </c>
      <c r="C30" s="10" t="s">
        <v>1943</v>
      </c>
      <c r="D30" s="10" t="s">
        <v>201</v>
      </c>
      <c r="E30" s="12">
        <v>6</v>
      </c>
      <c r="F30" s="12">
        <v>6</v>
      </c>
      <c r="G30" s="12">
        <v>3</v>
      </c>
      <c r="H30" s="12">
        <v>3</v>
      </c>
      <c r="I30" s="12"/>
      <c r="J30" s="15">
        <v>61000.0</v>
      </c>
      <c r="K30" s="15">
        <v>31000.0</v>
      </c>
      <c r="L30" s="15">
        <v>30000.0</v>
      </c>
      <c r="M30" s="15">
        <f>IF(E30&gt;0, J30/E30, 0)</f>
        <v>10166.66666666666606</v>
      </c>
      <c r="N30" s="15"/>
      <c r="O30" s="15">
        <f>J30-0</f>
        <v>61000</v>
      </c>
    </row>
    <row r="31" spans="1:15">
      <c r="A31" s="11">
        <v>24</v>
      </c>
      <c r="B31" s="11" t="s">
        <v>1972</v>
      </c>
      <c r="C31" s="11" t="s">
        <v>1945</v>
      </c>
      <c r="D31" s="11" t="s">
        <v>201</v>
      </c>
      <c r="E31" s="13">
        <v>9</v>
      </c>
      <c r="F31" s="13">
        <v>9</v>
      </c>
      <c r="G31" s="13">
        <v>9</v>
      </c>
      <c r="H31" s="13"/>
      <c r="I31" s="13"/>
      <c r="J31" s="16">
        <v>95000.0</v>
      </c>
      <c r="K31" s="16">
        <v>95000.0</v>
      </c>
      <c r="L31" s="16"/>
      <c r="M31" s="16">
        <f>IF(E31&gt;0, J31/E31, 0)</f>
        <v>10555.55555555555475</v>
      </c>
      <c r="N31" s="16"/>
      <c r="O31" s="16">
        <f>J31-0</f>
        <v>95000</v>
      </c>
    </row>
    <row r="32" spans="1:15">
      <c r="A32" s="10">
        <v>25</v>
      </c>
      <c r="B32" s="10" t="s">
        <v>1973</v>
      </c>
      <c r="C32" s="10" t="s">
        <v>1947</v>
      </c>
      <c r="D32" s="10" t="s">
        <v>201</v>
      </c>
      <c r="E32" s="12">
        <v>6</v>
      </c>
      <c r="F32" s="12">
        <v>6</v>
      </c>
      <c r="G32" s="12">
        <v>6</v>
      </c>
      <c r="H32" s="12"/>
      <c r="I32" s="12"/>
      <c r="J32" s="15">
        <v>64000.0</v>
      </c>
      <c r="K32" s="15">
        <v>64000.0</v>
      </c>
      <c r="L32" s="15"/>
      <c r="M32" s="15">
        <f>IF(E32&gt;0, J32/E32, 0)</f>
        <v>10666.66666666666606</v>
      </c>
      <c r="N32" s="15"/>
      <c r="O32" s="15">
        <f>J32-0</f>
        <v>64000</v>
      </c>
    </row>
    <row r="33" spans="1:15">
      <c r="A33" s="11">
        <v>26</v>
      </c>
      <c r="B33" s="11" t="s">
        <v>1974</v>
      </c>
      <c r="C33" s="11" t="s">
        <v>1961</v>
      </c>
      <c r="D33" s="11" t="s">
        <v>201</v>
      </c>
      <c r="E33" s="13">
        <v>10</v>
      </c>
      <c r="F33" s="13">
        <v>12</v>
      </c>
      <c r="G33" s="13">
        <v>8</v>
      </c>
      <c r="H33" s="13">
        <v>4</v>
      </c>
      <c r="I33" s="13"/>
      <c r="J33" s="16">
        <v>137500.0</v>
      </c>
      <c r="K33" s="16">
        <v>100500.0</v>
      </c>
      <c r="L33" s="16">
        <v>37000.0</v>
      </c>
      <c r="M33" s="16">
        <f>IF(E33&gt;0, J33/E33, 0)</f>
        <v>13750</v>
      </c>
      <c r="N33" s="16"/>
      <c r="O33" s="16">
        <f>J33-0</f>
        <v>137500</v>
      </c>
    </row>
    <row r="34" spans="1:15">
      <c r="A34" s="10">
        <v>27</v>
      </c>
      <c r="B34" s="10" t="s">
        <v>1975</v>
      </c>
      <c r="C34" s="10" t="s">
        <v>1949</v>
      </c>
      <c r="D34" s="10" t="s">
        <v>201</v>
      </c>
      <c r="E34" s="12">
        <v>27</v>
      </c>
      <c r="F34" s="12">
        <v>30</v>
      </c>
      <c r="G34" s="12">
        <v>22</v>
      </c>
      <c r="H34" s="12">
        <v>8</v>
      </c>
      <c r="I34" s="12"/>
      <c r="J34" s="15">
        <v>294000.0</v>
      </c>
      <c r="K34" s="15">
        <v>211000.0</v>
      </c>
      <c r="L34" s="15">
        <v>83000.0</v>
      </c>
      <c r="M34" s="15">
        <f>IF(E34&gt;0, J34/E34, 0)</f>
        <v>10888.88888888888869</v>
      </c>
      <c r="N34" s="15"/>
      <c r="O34" s="15">
        <f>J34-0</f>
        <v>294000</v>
      </c>
    </row>
    <row r="35" spans="1:15">
      <c r="A35" s="11">
        <v>28</v>
      </c>
      <c r="B35" s="11" t="s">
        <v>1976</v>
      </c>
      <c r="C35" s="11" t="s">
        <v>1954</v>
      </c>
      <c r="D35" s="11" t="s">
        <v>201</v>
      </c>
      <c r="E35" s="13">
        <v>30</v>
      </c>
      <c r="F35" s="13">
        <v>37</v>
      </c>
      <c r="G35" s="13">
        <v>33</v>
      </c>
      <c r="H35" s="13">
        <v>4</v>
      </c>
      <c r="I35" s="13"/>
      <c r="J35" s="16">
        <v>363000.0</v>
      </c>
      <c r="K35" s="16">
        <v>334000.0</v>
      </c>
      <c r="L35" s="16">
        <v>29000.0</v>
      </c>
      <c r="M35" s="16">
        <f>IF(E35&gt;0, J35/E35, 0)</f>
        <v>12100</v>
      </c>
      <c r="N35" s="16"/>
      <c r="O35" s="16">
        <f>J35-0</f>
        <v>363000</v>
      </c>
    </row>
    <row r="36" spans="1:15">
      <c r="A36" s="10">
        <v>29</v>
      </c>
      <c r="B36" s="10" t="s">
        <v>1977</v>
      </c>
      <c r="C36" s="10" t="s">
        <v>1956</v>
      </c>
      <c r="D36" s="10" t="s">
        <v>201</v>
      </c>
      <c r="E36" s="12">
        <v>16</v>
      </c>
      <c r="F36" s="12">
        <v>18</v>
      </c>
      <c r="G36" s="12">
        <v>16</v>
      </c>
      <c r="H36" s="12">
        <v>2</v>
      </c>
      <c r="I36" s="12"/>
      <c r="J36" s="15">
        <v>175500.0</v>
      </c>
      <c r="K36" s="15">
        <v>146500.0</v>
      </c>
      <c r="L36" s="15">
        <v>29000.0</v>
      </c>
      <c r="M36" s="15">
        <f>IF(E36&gt;0, J36/E36, 0)</f>
        <v>10968.75</v>
      </c>
      <c r="N36" s="15"/>
      <c r="O36" s="15">
        <f>J36-0</f>
        <v>175500</v>
      </c>
    </row>
    <row r="37" spans="1:15">
      <c r="A37" s="11">
        <v>30</v>
      </c>
      <c r="B37" s="11" t="s">
        <v>1978</v>
      </c>
      <c r="C37" s="11" t="s">
        <v>1943</v>
      </c>
      <c r="D37" s="11" t="s">
        <v>655</v>
      </c>
      <c r="E37" s="13">
        <v>6</v>
      </c>
      <c r="F37" s="13">
        <v>8</v>
      </c>
      <c r="G37" s="13">
        <v>7</v>
      </c>
      <c r="H37" s="13">
        <v>1</v>
      </c>
      <c r="I37" s="13"/>
      <c r="J37" s="16">
        <v>85000.0</v>
      </c>
      <c r="K37" s="16">
        <v>75000.0</v>
      </c>
      <c r="L37" s="16">
        <v>10000.0</v>
      </c>
      <c r="M37" s="16">
        <f>IF(E37&gt;0, J37/E37, 0)</f>
        <v>14166.66666666666606</v>
      </c>
      <c r="N37" s="16"/>
      <c r="O37" s="16">
        <f>J37-0</f>
        <v>85000</v>
      </c>
    </row>
    <row r="38" spans="1:15">
      <c r="A38" s="10">
        <v>31</v>
      </c>
      <c r="B38" s="10" t="s">
        <v>1979</v>
      </c>
      <c r="C38" s="10" t="s">
        <v>1947</v>
      </c>
      <c r="D38" s="10" t="s">
        <v>655</v>
      </c>
      <c r="E38" s="12">
        <v>15</v>
      </c>
      <c r="F38" s="12">
        <v>15</v>
      </c>
      <c r="G38" s="12">
        <v>15</v>
      </c>
      <c r="H38" s="12"/>
      <c r="I38" s="12"/>
      <c r="J38" s="15">
        <v>143500.0</v>
      </c>
      <c r="K38" s="15">
        <v>143500.0</v>
      </c>
      <c r="L38" s="15"/>
      <c r="M38" s="15">
        <f>IF(E38&gt;0, J38/E38, 0)</f>
        <v>9566.66666666666606</v>
      </c>
      <c r="N38" s="15"/>
      <c r="O38" s="15">
        <f>J38-0</f>
        <v>143500</v>
      </c>
    </row>
    <row r="39" spans="1:15">
      <c r="A39" s="11">
        <v>32</v>
      </c>
      <c r="B39" s="11" t="s">
        <v>1980</v>
      </c>
      <c r="C39" s="11" t="s">
        <v>1961</v>
      </c>
      <c r="D39" s="11" t="s">
        <v>655</v>
      </c>
      <c r="E39" s="13">
        <v>16</v>
      </c>
      <c r="F39" s="13">
        <v>22</v>
      </c>
      <c r="G39" s="13">
        <v>22</v>
      </c>
      <c r="H39" s="13"/>
      <c r="I39" s="13"/>
      <c r="J39" s="16">
        <v>231500.0</v>
      </c>
      <c r="K39" s="16">
        <v>231500.0</v>
      </c>
      <c r="L39" s="16"/>
      <c r="M39" s="16">
        <f>IF(E39&gt;0, J39/E39, 0)</f>
        <v>14468.75</v>
      </c>
      <c r="N39" s="16"/>
      <c r="O39" s="16">
        <f>J39-0</f>
        <v>231500</v>
      </c>
    </row>
    <row r="40" spans="1:15">
      <c r="A40" s="10">
        <v>33</v>
      </c>
      <c r="B40" s="10" t="s">
        <v>1981</v>
      </c>
      <c r="C40" s="10" t="s">
        <v>1954</v>
      </c>
      <c r="D40" s="10" t="s">
        <v>655</v>
      </c>
      <c r="E40" s="12">
        <v>34</v>
      </c>
      <c r="F40" s="12">
        <v>46</v>
      </c>
      <c r="G40" s="12">
        <v>43</v>
      </c>
      <c r="H40" s="12">
        <v>3</v>
      </c>
      <c r="I40" s="12"/>
      <c r="J40" s="15">
        <v>418000.0</v>
      </c>
      <c r="K40" s="15">
        <v>388000.0</v>
      </c>
      <c r="L40" s="15">
        <v>30000.0</v>
      </c>
      <c r="M40" s="15">
        <f>IF(E40&gt;0, J40/E40, 0)</f>
        <v>12294.11764705882342</v>
      </c>
      <c r="N40" s="15"/>
      <c r="O40" s="15">
        <f>J40-0</f>
        <v>418000</v>
      </c>
    </row>
    <row r="41" spans="1:15">
      <c r="A41" s="11">
        <v>34</v>
      </c>
      <c r="B41" s="11" t="s">
        <v>1982</v>
      </c>
      <c r="C41" s="11" t="s">
        <v>1956</v>
      </c>
      <c r="D41" s="11" t="s">
        <v>655</v>
      </c>
      <c r="E41" s="13">
        <v>13</v>
      </c>
      <c r="F41" s="13">
        <v>15</v>
      </c>
      <c r="G41" s="13">
        <v>7</v>
      </c>
      <c r="H41" s="13">
        <v>8</v>
      </c>
      <c r="I41" s="13"/>
      <c r="J41" s="16">
        <v>149500.0</v>
      </c>
      <c r="K41" s="16">
        <v>64500.0</v>
      </c>
      <c r="L41" s="16">
        <v>85000.0</v>
      </c>
      <c r="M41" s="16">
        <f>IF(E41&gt;0, J41/E41, 0)</f>
        <v>11500</v>
      </c>
      <c r="N41" s="16"/>
      <c r="O41" s="16">
        <f>J41-0</f>
        <v>149500</v>
      </c>
    </row>
    <row r="42" spans="1:15">
      <c r="A42" s="10">
        <v>35</v>
      </c>
      <c r="B42" s="10" t="s">
        <v>1983</v>
      </c>
      <c r="C42" s="10" t="s">
        <v>1943</v>
      </c>
      <c r="D42" s="10" t="s">
        <v>655</v>
      </c>
      <c r="E42" s="12">
        <v>33</v>
      </c>
      <c r="F42" s="12">
        <v>40</v>
      </c>
      <c r="G42" s="12">
        <v>39</v>
      </c>
      <c r="H42" s="12">
        <v>1</v>
      </c>
      <c r="I42" s="12"/>
      <c r="J42" s="15">
        <v>423500.0</v>
      </c>
      <c r="K42" s="15">
        <v>413500.0</v>
      </c>
      <c r="L42" s="15">
        <v>10000.0</v>
      </c>
      <c r="M42" s="15">
        <f>IF(E42&gt;0, J42/E42, 0)</f>
        <v>12833.33333333333394</v>
      </c>
      <c r="N42" s="15"/>
      <c r="O42" s="15">
        <f>J42-0</f>
        <v>423500</v>
      </c>
    </row>
    <row r="43" spans="1:15">
      <c r="A43" s="11">
        <v>36</v>
      </c>
      <c r="B43" s="11" t="s">
        <v>1984</v>
      </c>
      <c r="C43" s="11" t="s">
        <v>1947</v>
      </c>
      <c r="D43" s="11" t="s">
        <v>655</v>
      </c>
      <c r="E43" s="13">
        <v>27</v>
      </c>
      <c r="F43" s="13">
        <v>27</v>
      </c>
      <c r="G43" s="13">
        <v>24</v>
      </c>
      <c r="H43" s="13">
        <v>3</v>
      </c>
      <c r="I43" s="13"/>
      <c r="J43" s="16">
        <v>271500.0</v>
      </c>
      <c r="K43" s="16">
        <v>246500.0</v>
      </c>
      <c r="L43" s="16">
        <v>25000.0</v>
      </c>
      <c r="M43" s="16">
        <f>IF(E43&gt;0, J43/E43, 0)</f>
        <v>10055.55555555555475</v>
      </c>
      <c r="N43" s="16"/>
      <c r="O43" s="16">
        <f>J43-0</f>
        <v>271500</v>
      </c>
    </row>
    <row r="44" spans="1:15">
      <c r="A44" s="10">
        <v>37</v>
      </c>
      <c r="B44" s="10" t="s">
        <v>1985</v>
      </c>
      <c r="C44" s="10" t="s">
        <v>1961</v>
      </c>
      <c r="D44" s="10" t="s">
        <v>655</v>
      </c>
      <c r="E44" s="12">
        <v>14</v>
      </c>
      <c r="F44" s="12">
        <v>17</v>
      </c>
      <c r="G44" s="12">
        <v>14</v>
      </c>
      <c r="H44" s="12">
        <v>3</v>
      </c>
      <c r="I44" s="12"/>
      <c r="J44" s="15">
        <v>191100.0</v>
      </c>
      <c r="K44" s="15">
        <v>147900.0</v>
      </c>
      <c r="L44" s="15">
        <v>43200.0</v>
      </c>
      <c r="M44" s="15">
        <f>IF(E44&gt;0, J44/E44, 0)</f>
        <v>13650</v>
      </c>
      <c r="N44" s="15">
        <v>2400.0</v>
      </c>
      <c r="O44" s="15">
        <f>J44-0</f>
        <v>191100</v>
      </c>
    </row>
    <row r="45" spans="1:15">
      <c r="A45" s="11">
        <v>38</v>
      </c>
      <c r="B45" s="11" t="s">
        <v>1986</v>
      </c>
      <c r="C45" s="11" t="s">
        <v>1943</v>
      </c>
      <c r="D45" s="11" t="s">
        <v>655</v>
      </c>
      <c r="E45" s="13">
        <v>105</v>
      </c>
      <c r="F45" s="13">
        <v>125</v>
      </c>
      <c r="G45" s="13">
        <v>107</v>
      </c>
      <c r="H45" s="13">
        <v>18</v>
      </c>
      <c r="I45" s="13"/>
      <c r="J45" s="16">
        <v>1227000.0</v>
      </c>
      <c r="K45" s="16">
        <v>1043000.0</v>
      </c>
      <c r="L45" s="16">
        <v>184000.0</v>
      </c>
      <c r="M45" s="16">
        <f>IF(E45&gt;0, J45/E45, 0)</f>
        <v>11685.71428571428623</v>
      </c>
      <c r="N45" s="16"/>
      <c r="O45" s="16">
        <f>J45-0</f>
        <v>1227000</v>
      </c>
    </row>
    <row r="46" spans="1:15">
      <c r="A46" s="10">
        <v>39</v>
      </c>
      <c r="B46" s="10" t="s">
        <v>1987</v>
      </c>
      <c r="C46" s="10" t="s">
        <v>1947</v>
      </c>
      <c r="D46" s="10" t="s">
        <v>655</v>
      </c>
      <c r="E46" s="12">
        <v>120</v>
      </c>
      <c r="F46" s="12">
        <v>164</v>
      </c>
      <c r="G46" s="12">
        <v>139</v>
      </c>
      <c r="H46" s="12">
        <v>25</v>
      </c>
      <c r="I46" s="12"/>
      <c r="J46" s="15">
        <v>1611400.0</v>
      </c>
      <c r="K46" s="15">
        <v>1340100.0</v>
      </c>
      <c r="L46" s="15">
        <v>271300.0</v>
      </c>
      <c r="M46" s="15">
        <f>IF(E46&gt;0, J46/E46, 0)</f>
        <v>13428.33333333333394</v>
      </c>
      <c r="N46" s="15">
        <v>14100.0</v>
      </c>
      <c r="O46" s="15">
        <f>J46-0</f>
        <v>1611400</v>
      </c>
    </row>
    <row r="47" spans="1:15">
      <c r="A47" s="11">
        <v>40</v>
      </c>
      <c r="B47" s="11" t="s">
        <v>1988</v>
      </c>
      <c r="C47" s="11" t="s">
        <v>1961</v>
      </c>
      <c r="D47" s="11" t="s">
        <v>655</v>
      </c>
      <c r="E47" s="13">
        <v>201</v>
      </c>
      <c r="F47" s="13">
        <v>249</v>
      </c>
      <c r="G47" s="13">
        <v>212</v>
      </c>
      <c r="H47" s="13">
        <v>37</v>
      </c>
      <c r="I47" s="13"/>
      <c r="J47" s="16">
        <v>2516500.0</v>
      </c>
      <c r="K47" s="16">
        <v>2104500.0</v>
      </c>
      <c r="L47" s="16">
        <v>412000.0</v>
      </c>
      <c r="M47" s="16">
        <f>IF(E47&gt;0, J47/E47, 0)</f>
        <v>12519.90049751243714</v>
      </c>
      <c r="N47" s="16"/>
      <c r="O47" s="16">
        <f>J47-0</f>
        <v>2516500</v>
      </c>
    </row>
    <row r="48" spans="1:15">
      <c r="A48" s="10">
        <v>41</v>
      </c>
      <c r="B48" s="10" t="s">
        <v>1989</v>
      </c>
      <c r="C48" s="10" t="s">
        <v>1949</v>
      </c>
      <c r="D48" s="10" t="s">
        <v>655</v>
      </c>
      <c r="E48" s="12">
        <v>45</v>
      </c>
      <c r="F48" s="12">
        <v>52</v>
      </c>
      <c r="G48" s="12">
        <v>41</v>
      </c>
      <c r="H48" s="12">
        <v>11</v>
      </c>
      <c r="I48" s="12"/>
      <c r="J48" s="15">
        <v>533500.0</v>
      </c>
      <c r="K48" s="15">
        <v>394500.0</v>
      </c>
      <c r="L48" s="15">
        <v>139000.0</v>
      </c>
      <c r="M48" s="15">
        <f>IF(E48&gt;0, J48/E48, 0)</f>
        <v>11855.55555555555475</v>
      </c>
      <c r="N48" s="15"/>
      <c r="O48" s="15">
        <f>J48-0</f>
        <v>533500</v>
      </c>
    </row>
    <row r="49" spans="1:15">
      <c r="A49" s="11">
        <v>42</v>
      </c>
      <c r="B49" s="11" t="s">
        <v>1990</v>
      </c>
      <c r="C49" s="11" t="s">
        <v>1954</v>
      </c>
      <c r="D49" s="11" t="s">
        <v>655</v>
      </c>
      <c r="E49" s="13">
        <v>31</v>
      </c>
      <c r="F49" s="13">
        <v>41</v>
      </c>
      <c r="G49" s="13">
        <v>39</v>
      </c>
      <c r="H49" s="13">
        <v>2</v>
      </c>
      <c r="I49" s="13"/>
      <c r="J49" s="16">
        <v>361000.0</v>
      </c>
      <c r="K49" s="16">
        <v>336000.0</v>
      </c>
      <c r="L49" s="16">
        <v>25000.0</v>
      </c>
      <c r="M49" s="16">
        <f>IF(E49&gt;0, J49/E49, 0)</f>
        <v>11645.16129032258141</v>
      </c>
      <c r="N49" s="16"/>
      <c r="O49" s="16">
        <f>J49-0</f>
        <v>361000</v>
      </c>
    </row>
    <row r="50" spans="1:15">
      <c r="A50" s="10">
        <v>43</v>
      </c>
      <c r="B50" s="10" t="s">
        <v>1991</v>
      </c>
      <c r="C50" s="10" t="s">
        <v>1956</v>
      </c>
      <c r="D50" s="10" t="s">
        <v>655</v>
      </c>
      <c r="E50" s="12">
        <v>81</v>
      </c>
      <c r="F50" s="12">
        <v>99</v>
      </c>
      <c r="G50" s="12">
        <v>95</v>
      </c>
      <c r="H50" s="12">
        <v>4</v>
      </c>
      <c r="I50" s="12"/>
      <c r="J50" s="15">
        <v>947000.0</v>
      </c>
      <c r="K50" s="15">
        <v>904000.0</v>
      </c>
      <c r="L50" s="15">
        <v>43000.0</v>
      </c>
      <c r="M50" s="15">
        <f>IF(E50&gt;0, J50/E50, 0)</f>
        <v>11691.35802469135888</v>
      </c>
      <c r="N50" s="15"/>
      <c r="O50" s="15">
        <f>J50-0</f>
        <v>947000</v>
      </c>
    </row>
    <row r="51" spans="1:15">
      <c r="A51" s="11">
        <v>44</v>
      </c>
      <c r="B51" s="11" t="s">
        <v>1992</v>
      </c>
      <c r="C51" s="11" t="s">
        <v>1943</v>
      </c>
      <c r="D51" s="11" t="s">
        <v>655</v>
      </c>
      <c r="E51" s="13">
        <v>61</v>
      </c>
      <c r="F51" s="13">
        <v>80</v>
      </c>
      <c r="G51" s="13">
        <v>79</v>
      </c>
      <c r="H51" s="13">
        <v>1</v>
      </c>
      <c r="I51" s="13"/>
      <c r="J51" s="16">
        <v>736500.0</v>
      </c>
      <c r="K51" s="16">
        <v>718500.0</v>
      </c>
      <c r="L51" s="16">
        <v>18000.0</v>
      </c>
      <c r="M51" s="16">
        <f>IF(E51&gt;0, J51/E51, 0)</f>
        <v>12073.77049180327958</v>
      </c>
      <c r="N51" s="16"/>
      <c r="O51" s="16">
        <f>J51-0</f>
        <v>736500</v>
      </c>
    </row>
    <row r="52" spans="1:15">
      <c r="A52" s="10">
        <v>45</v>
      </c>
      <c r="B52" s="10" t="s">
        <v>1993</v>
      </c>
      <c r="C52" s="10" t="s">
        <v>1945</v>
      </c>
      <c r="D52" s="10" t="s">
        <v>655</v>
      </c>
      <c r="E52" s="12">
        <v>16</v>
      </c>
      <c r="F52" s="12">
        <v>18</v>
      </c>
      <c r="G52" s="12">
        <v>15</v>
      </c>
      <c r="H52" s="12">
        <v>3</v>
      </c>
      <c r="I52" s="12"/>
      <c r="J52" s="15">
        <v>176500.0</v>
      </c>
      <c r="K52" s="15">
        <v>147500.0</v>
      </c>
      <c r="L52" s="15">
        <v>29000.0</v>
      </c>
      <c r="M52" s="15">
        <f>IF(E52&gt;0, J52/E52, 0)</f>
        <v>11031.25</v>
      </c>
      <c r="N52" s="15"/>
      <c r="O52" s="15">
        <f>J52-0</f>
        <v>176500</v>
      </c>
    </row>
    <row r="53" spans="1:15">
      <c r="A53" s="11">
        <v>46</v>
      </c>
      <c r="B53" s="11" t="s">
        <v>1994</v>
      </c>
      <c r="C53" s="11" t="s">
        <v>1947</v>
      </c>
      <c r="D53" s="11" t="s">
        <v>655</v>
      </c>
      <c r="E53" s="13">
        <v>40</v>
      </c>
      <c r="F53" s="13">
        <v>49</v>
      </c>
      <c r="G53" s="13">
        <v>43</v>
      </c>
      <c r="H53" s="13">
        <v>6</v>
      </c>
      <c r="I53" s="13"/>
      <c r="J53" s="16">
        <v>489500.0</v>
      </c>
      <c r="K53" s="16">
        <v>422500.0</v>
      </c>
      <c r="L53" s="16">
        <v>67000.0</v>
      </c>
      <c r="M53" s="16">
        <f>IF(E53&gt;0, J53/E53, 0)</f>
        <v>12237.5</v>
      </c>
      <c r="N53" s="16"/>
      <c r="O53" s="16">
        <f>J53-0</f>
        <v>489500</v>
      </c>
    </row>
    <row r="54" spans="1:15">
      <c r="A54" s="10">
        <v>47</v>
      </c>
      <c r="B54" s="10" t="s">
        <v>1995</v>
      </c>
      <c r="C54" s="10" t="s">
        <v>1961</v>
      </c>
      <c r="D54" s="10" t="s">
        <v>655</v>
      </c>
      <c r="E54" s="12">
        <v>47</v>
      </c>
      <c r="F54" s="12">
        <v>66</v>
      </c>
      <c r="G54" s="12">
        <v>61</v>
      </c>
      <c r="H54" s="12">
        <v>5</v>
      </c>
      <c r="I54" s="12"/>
      <c r="J54" s="15">
        <v>633500.0</v>
      </c>
      <c r="K54" s="15">
        <v>576500.0</v>
      </c>
      <c r="L54" s="15">
        <v>57000.0</v>
      </c>
      <c r="M54" s="15">
        <f>IF(E54&gt;0, J54/E54, 0)</f>
        <v>13478.72340425531911</v>
      </c>
      <c r="N54" s="15"/>
      <c r="O54" s="15">
        <f>J54-0</f>
        <v>633500</v>
      </c>
    </row>
    <row r="55" spans="1:15">
      <c r="A55" s="11">
        <v>48</v>
      </c>
      <c r="B55" s="11" t="s">
        <v>1996</v>
      </c>
      <c r="C55" s="11" t="s">
        <v>1949</v>
      </c>
      <c r="D55" s="11" t="s">
        <v>655</v>
      </c>
      <c r="E55" s="13">
        <v>49</v>
      </c>
      <c r="F55" s="13">
        <v>68</v>
      </c>
      <c r="G55" s="13">
        <v>53</v>
      </c>
      <c r="H55" s="13">
        <v>15</v>
      </c>
      <c r="I55" s="13"/>
      <c r="J55" s="16">
        <v>682500.0</v>
      </c>
      <c r="K55" s="16">
        <v>499500.0</v>
      </c>
      <c r="L55" s="16">
        <v>183000.0</v>
      </c>
      <c r="M55" s="16">
        <f>IF(E55&gt;0, J55/E55, 0)</f>
        <v>13928.57142857142935</v>
      </c>
      <c r="N55" s="16"/>
      <c r="O55" s="16">
        <f>J55-0</f>
        <v>682500</v>
      </c>
    </row>
    <row r="56" spans="1:15">
      <c r="A56" s="10">
        <v>49</v>
      </c>
      <c r="B56" s="10" t="s">
        <v>1997</v>
      </c>
      <c r="C56" s="10" t="s">
        <v>1954</v>
      </c>
      <c r="D56" s="10" t="s">
        <v>655</v>
      </c>
      <c r="E56" s="12">
        <v>39</v>
      </c>
      <c r="F56" s="12">
        <v>62</v>
      </c>
      <c r="G56" s="12">
        <v>54</v>
      </c>
      <c r="H56" s="12">
        <v>8</v>
      </c>
      <c r="I56" s="12"/>
      <c r="J56" s="15">
        <v>615500.0</v>
      </c>
      <c r="K56" s="15">
        <v>529500.0</v>
      </c>
      <c r="L56" s="15">
        <v>86000.0</v>
      </c>
      <c r="M56" s="15">
        <f>IF(E56&gt;0, J56/E56, 0)</f>
        <v>15782.051282051281305</v>
      </c>
      <c r="N56" s="15"/>
      <c r="O56" s="15">
        <f>J56-0</f>
        <v>615500</v>
      </c>
    </row>
    <row r="57" spans="1:15">
      <c r="A57" s="11">
        <v>50</v>
      </c>
      <c r="B57" s="11" t="s">
        <v>1998</v>
      </c>
      <c r="C57" s="11" t="s">
        <v>1956</v>
      </c>
      <c r="D57" s="11" t="s">
        <v>655</v>
      </c>
      <c r="E57" s="13">
        <v>15</v>
      </c>
      <c r="F57" s="13">
        <v>22</v>
      </c>
      <c r="G57" s="13">
        <v>22</v>
      </c>
      <c r="H57" s="13"/>
      <c r="I57" s="13"/>
      <c r="J57" s="16">
        <v>220500.0</v>
      </c>
      <c r="K57" s="16">
        <v>220500.0</v>
      </c>
      <c r="L57" s="16"/>
      <c r="M57" s="16">
        <f>IF(E57&gt;0, J57/E57, 0)</f>
        <v>14700</v>
      </c>
      <c r="N57" s="16"/>
      <c r="O57" s="16">
        <f>J57-0</f>
        <v>220500</v>
      </c>
    </row>
    <row r="58" spans="1:15">
      <c r="A58" s="10">
        <v>51</v>
      </c>
      <c r="B58" s="10" t="s">
        <v>1999</v>
      </c>
      <c r="C58" s="10" t="s">
        <v>1943</v>
      </c>
      <c r="D58" s="10" t="s">
        <v>655</v>
      </c>
      <c r="E58" s="12">
        <v>26</v>
      </c>
      <c r="F58" s="12">
        <v>38</v>
      </c>
      <c r="G58" s="12">
        <v>33</v>
      </c>
      <c r="H58" s="12">
        <v>5</v>
      </c>
      <c r="I58" s="12"/>
      <c r="J58" s="15">
        <v>383800.0</v>
      </c>
      <c r="K58" s="15">
        <v>340800.0</v>
      </c>
      <c r="L58" s="15">
        <v>43000.0</v>
      </c>
      <c r="M58" s="15">
        <f>IF(E58&gt;0, J58/E58, 0)</f>
        <v>14761.53846153846098</v>
      </c>
      <c r="N58" s="15"/>
      <c r="O58" s="15">
        <f>J58-0</f>
        <v>383800</v>
      </c>
    </row>
    <row r="59" spans="1:15">
      <c r="A59" s="11">
        <v>52</v>
      </c>
      <c r="B59" s="11" t="s">
        <v>2000</v>
      </c>
      <c r="C59" s="11" t="s">
        <v>1945</v>
      </c>
      <c r="D59" s="11" t="s">
        <v>655</v>
      </c>
      <c r="E59" s="13">
        <v>6</v>
      </c>
      <c r="F59" s="13">
        <v>11</v>
      </c>
      <c r="G59" s="13">
        <v>10</v>
      </c>
      <c r="H59" s="13">
        <v>1</v>
      </c>
      <c r="I59" s="13"/>
      <c r="J59" s="16">
        <v>98500.0</v>
      </c>
      <c r="K59" s="16">
        <v>87500.0</v>
      </c>
      <c r="L59" s="16">
        <v>11000.0</v>
      </c>
      <c r="M59" s="16">
        <f>IF(E59&gt;0, J59/E59, 0)</f>
        <v>16416.66666666666788</v>
      </c>
      <c r="N59" s="16"/>
      <c r="O59" s="16">
        <f>J59-0</f>
        <v>98500</v>
      </c>
    </row>
    <row r="60" spans="1:15">
      <c r="A60" s="10">
        <v>53</v>
      </c>
      <c r="B60" s="10" t="s">
        <v>2001</v>
      </c>
      <c r="C60" s="10" t="s">
        <v>1947</v>
      </c>
      <c r="D60" s="10" t="s">
        <v>655</v>
      </c>
      <c r="E60" s="12">
        <v>49</v>
      </c>
      <c r="F60" s="12">
        <v>56</v>
      </c>
      <c r="G60" s="12">
        <v>49</v>
      </c>
      <c r="H60" s="12">
        <v>7</v>
      </c>
      <c r="I60" s="12"/>
      <c r="J60" s="15">
        <v>557500.0</v>
      </c>
      <c r="K60" s="15">
        <v>474500.0</v>
      </c>
      <c r="L60" s="15">
        <v>83000.0</v>
      </c>
      <c r="M60" s="15">
        <f>IF(E60&gt;0, J60/E60, 0)</f>
        <v>11377.55102040816382</v>
      </c>
      <c r="N60" s="15"/>
      <c r="O60" s="15">
        <f>J60-0</f>
        <v>557500</v>
      </c>
    </row>
    <row r="61" spans="1:15">
      <c r="A61" s="11">
        <v>54</v>
      </c>
      <c r="B61" s="11" t="s">
        <v>2002</v>
      </c>
      <c r="C61" s="11" t="s">
        <v>1949</v>
      </c>
      <c r="D61" s="11" t="s">
        <v>1829</v>
      </c>
      <c r="E61" s="13">
        <v>11</v>
      </c>
      <c r="F61" s="13">
        <v>20</v>
      </c>
      <c r="G61" s="13">
        <v>16</v>
      </c>
      <c r="H61" s="13">
        <v>4</v>
      </c>
      <c r="I61" s="13"/>
      <c r="J61" s="16">
        <v>197500.0</v>
      </c>
      <c r="K61" s="16">
        <v>129500.0</v>
      </c>
      <c r="L61" s="16">
        <v>68000.0</v>
      </c>
      <c r="M61" s="16">
        <f>IF(E61&gt;0, J61/E61, 0)</f>
        <v>17954.54545454545587</v>
      </c>
      <c r="N61" s="16"/>
      <c r="O61" s="16">
        <f>J61-0</f>
        <v>197500</v>
      </c>
    </row>
    <row r="62" spans="1:15">
      <c r="A62" s="10">
        <v>55</v>
      </c>
      <c r="B62" s="10" t="s">
        <v>2003</v>
      </c>
      <c r="C62" s="10" t="s">
        <v>1943</v>
      </c>
      <c r="D62" s="10" t="s">
        <v>1829</v>
      </c>
      <c r="E62" s="12">
        <v>34</v>
      </c>
      <c r="F62" s="12">
        <v>39</v>
      </c>
      <c r="G62" s="12">
        <v>35</v>
      </c>
      <c r="H62" s="12">
        <v>4</v>
      </c>
      <c r="I62" s="12"/>
      <c r="J62" s="15">
        <v>387500.0</v>
      </c>
      <c r="K62" s="15">
        <v>342500.0</v>
      </c>
      <c r="L62" s="15">
        <v>45000.0</v>
      </c>
      <c r="M62" s="15">
        <f>IF(E62&gt;0, J62/E62, 0)</f>
        <v>11397.058823529412621</v>
      </c>
      <c r="N62" s="15"/>
      <c r="O62" s="15">
        <f>J62-0</f>
        <v>387500</v>
      </c>
    </row>
    <row r="63" spans="1:15">
      <c r="A63" s="11">
        <v>56</v>
      </c>
      <c r="B63" s="11" t="s">
        <v>2004</v>
      </c>
      <c r="C63" s="11" t="s">
        <v>1945</v>
      </c>
      <c r="D63" s="11" t="s">
        <v>1829</v>
      </c>
      <c r="E63" s="13">
        <v>10</v>
      </c>
      <c r="F63" s="13">
        <v>26</v>
      </c>
      <c r="G63" s="13">
        <v>26</v>
      </c>
      <c r="H63" s="13"/>
      <c r="I63" s="13"/>
      <c r="J63" s="16">
        <v>222100.0</v>
      </c>
      <c r="K63" s="16">
        <v>222100.0</v>
      </c>
      <c r="L63" s="16"/>
      <c r="M63" s="16">
        <f>IF(E63&gt;0, J63/E63, 0)</f>
        <v>22210</v>
      </c>
      <c r="N63" s="16"/>
      <c r="O63" s="16">
        <f>J63-0</f>
        <v>222100</v>
      </c>
    </row>
    <row r="64" spans="1:15">
      <c r="A64" s="10">
        <v>57</v>
      </c>
      <c r="B64" s="10" t="s">
        <v>2005</v>
      </c>
      <c r="C64" s="10" t="s">
        <v>1949</v>
      </c>
      <c r="D64" s="10" t="s">
        <v>1895</v>
      </c>
      <c r="E64" s="12">
        <v>1</v>
      </c>
      <c r="F64" s="12">
        <v>1</v>
      </c>
      <c r="G64" s="12">
        <v>1</v>
      </c>
      <c r="H64" s="12"/>
      <c r="I64" s="12"/>
      <c r="J64" s="15">
        <v>9500.0</v>
      </c>
      <c r="K64" s="15">
        <v>9500.0</v>
      </c>
      <c r="L64" s="15"/>
      <c r="M64" s="15">
        <f>IF(E64&gt;0, J64/E64, 0)</f>
        <v>9500</v>
      </c>
      <c r="N64" s="15"/>
      <c r="O64" s="15">
        <f>J64-0</f>
        <v>9500</v>
      </c>
    </row>
    <row r="65" spans="1:15">
      <c r="A65" s="7" t="s">
        <v>2007</v>
      </c>
      <c r="B65" s="7"/>
      <c r="C65" s="7"/>
      <c r="D65" s="7"/>
      <c r="E65" s="14">
        <f>SUBTOTAL(109, E8:E64)</f>
        <v>1541</v>
      </c>
      <c r="F65" s="14">
        <f>SUBTOTAL(109, F8:F64)</f>
        <v>1922</v>
      </c>
      <c r="G65" s="14">
        <f>SUBTOTAL(109, G8:G64)</f>
        <v>1676</v>
      </c>
      <c r="H65" s="14">
        <f>SUBTOTAL(109, H8:H64)</f>
        <v>246</v>
      </c>
      <c r="I65" s="14">
        <f>SUBTOTAL(109, I8:I64)</f>
        <v>55</v>
      </c>
      <c r="J65" s="20">
        <f>SUBTOTAL(109, J8:J64)</f>
        <v>19162200</v>
      </c>
      <c r="K65" s="20">
        <f>SUBTOTAL(109, K8:K64)</f>
        <v>16454200</v>
      </c>
      <c r="L65" s="20">
        <f>SUBTOTAL(109, L8:L64)</f>
        <v>2708000</v>
      </c>
      <c r="M65" s="20">
        <f>IF(E65&gt;0, J65/E65, 0)</f>
        <v>12434.91239454899369</v>
      </c>
      <c r="N65" s="20">
        <f>SUBTOTAL(109, N8:N64)</f>
        <v>17700</v>
      </c>
      <c r="O65" s="20">
        <f>SUBTOTAL(109, O8:O64)</f>
        <v>19162200</v>
      </c>
    </row>
  </sheetData>
  <autoFilter ref="A7:O64"/>
  <mergeCells>
    <mergeCell ref="A5:D5"/>
    <mergeCell ref="A65:D6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1549"/>
  <sheetViews>
    <sheetView tabSelected="0" workbookViewId="0" showGridLines="true" showRowColHeaders="1">
      <pane ySplit="7" activePane="bottomLeft" state="frozen" topLeftCell="A8"/>
      <selection pane="bottomLeft" activeCell="M8" sqref="M8:O1549"/>
    </sheetView>
  </sheetViews>
  <sheetFormatPr defaultRowHeight="14.4" outlineLevelRow="0" outlineLevelCol="0"/>
  <cols>
    <col min="1" max="1" width="195.639" bestFit="true" customWidth="true" style="0"/>
    <col min="2" max="2" width="24.497" bestFit="true" customWidth="true" style="0"/>
    <col min="3" max="3" width="21.164" bestFit="true" customWidth="true" style="0"/>
    <col min="4" max="4" width="10.999" bestFit="true" customWidth="true" style="0"/>
    <col min="5" max="5" width="18.997" bestFit="true" customWidth="true" style="0"/>
    <col min="6" max="6" width="21.164" bestFit="true" customWidth="true" style="0"/>
    <col min="7" max="7" width="30.163" bestFit="true" customWidth="true" style="0"/>
    <col min="8" max="8" width="21.164" bestFit="true" customWidth="true" style="0"/>
    <col min="9" max="9" width="23.497" bestFit="true" customWidth="true" style="0"/>
    <col min="10" max="10" width="26.663" bestFit="true" customWidth="true" style="0"/>
    <col min="11" max="11" width="24.497" bestFit="true" customWidth="true" style="0"/>
    <col min="12" max="12" width="23.497" bestFit="true" customWidth="true" style="0"/>
    <col min="13" max="13" width="32.496" bestFit="true" customWidth="true" style="0"/>
    <col min="14" max="14" width="28.996" bestFit="true" customWidth="true" style="0"/>
    <col min="15" max="15" width="22.164" bestFit="true" customWidth="true" style="0"/>
    <col min="16" max="16" width="17.664" bestFit="true" customWidth="true" style="0"/>
    <col min="17" max="17" width="19.997" bestFit="true" customWidth="true" style="0"/>
    <col min="18" max="18" width="22.164" bestFit="true" customWidth="true" style="0"/>
    <col min="19" max="19" width="33.495" bestFit="true" customWidth="true" style="0"/>
    <col min="20" max="20" width="27.996" bestFit="true" customWidth="true" style="0"/>
  </cols>
  <sheetData>
    <row r="2" spans="1:20">
      <c r="A2" s="1" t="s">
        <v>2008</v>
      </c>
    </row>
    <row r="3" spans="1:20">
      <c r="A3" s="2" t="s">
        <v>2009</v>
      </c>
    </row>
    <row r="5" spans="1:20" customHeight="1" ht="24">
      <c r="A5" s="4" t="s">
        <v>2244</v>
      </c>
      <c r="B5" s="5"/>
      <c r="C5" s="5"/>
      <c r="D5" s="5"/>
      <c r="E5" s="5"/>
      <c r="F5" s="5"/>
      <c r="G5" s="5"/>
      <c r="H5" s="5">
        <f>SUBTOTAL(109, H8:H1548)</f>
        <v>1541</v>
      </c>
      <c r="I5" s="5">
        <f>SUBTOTAL(109, I8:I1548)</f>
        <v>1922</v>
      </c>
      <c r="J5" s="5">
        <f>SUBTOTAL(109, J8:J1548)</f>
        <v>19179900</v>
      </c>
      <c r="K5" s="5">
        <f>SUBTOTAL(109, K8:K1548)</f>
        <v>17700</v>
      </c>
      <c r="L5" s="5">
        <f>IF(J5&gt;0, K5/J5, 0)</f>
        <v>0.0009228410992758</v>
      </c>
      <c r="M5" s="5">
        <f>SUBTOTAL(109, M8:M1548)</f>
        <v>19162200</v>
      </c>
      <c r="N5" s="5">
        <f>SUBTOTAL(109, N8:N1548)</f>
        <v>0</v>
      </c>
      <c r="O5" s="5">
        <f>SUBTOTAL(109, O8:O1548)</f>
        <v>19162200</v>
      </c>
      <c r="P5" s="5" t="str">
        <f>SUBTOTAL(103, A8:A1548) &amp; " чеков"</f>
        <v>1541 чеков</v>
      </c>
      <c r="Q5" s="5"/>
      <c r="R5" s="5"/>
      <c r="S5" s="5"/>
      <c r="T5" s="6"/>
    </row>
    <row r="7" spans="1:20" customHeight="1" ht="28">
      <c r="A7" s="3" t="s">
        <v>2</v>
      </c>
      <c r="B7" s="3" t="s">
        <v>3</v>
      </c>
      <c r="C7" s="3" t="s">
        <v>4</v>
      </c>
      <c r="D7" s="3" t="s">
        <v>2010</v>
      </c>
      <c r="E7" s="3" t="s">
        <v>6</v>
      </c>
      <c r="F7" s="3" t="s">
        <v>7</v>
      </c>
      <c r="G7" s="3" t="s">
        <v>26</v>
      </c>
      <c r="H7" s="3" t="s">
        <v>2011</v>
      </c>
      <c r="I7" s="3" t="s">
        <v>2012</v>
      </c>
      <c r="J7" s="3" t="s">
        <v>2013</v>
      </c>
      <c r="K7" s="3" t="s">
        <v>2014</v>
      </c>
      <c r="L7" s="3" t="s">
        <v>17</v>
      </c>
      <c r="M7" s="3" t="s">
        <v>2015</v>
      </c>
      <c r="N7" s="3" t="s">
        <v>2016</v>
      </c>
      <c r="O7" s="3" t="s">
        <v>2017</v>
      </c>
      <c r="P7" s="3" t="s">
        <v>2018</v>
      </c>
      <c r="Q7" s="3" t="s">
        <v>28</v>
      </c>
      <c r="R7" s="3" t="s">
        <v>29</v>
      </c>
      <c r="S7" s="3" t="s">
        <v>2019</v>
      </c>
      <c r="T7" s="3" t="s">
        <v>30</v>
      </c>
    </row>
    <row r="8" spans="1:20">
      <c r="A8" s="10">
        <v>1</v>
      </c>
      <c r="B8" s="10" t="s">
        <v>31</v>
      </c>
      <c r="C8" s="10" t="s">
        <v>32</v>
      </c>
      <c r="D8" s="10" t="s">
        <v>33</v>
      </c>
      <c r="E8" s="10" t="s">
        <v>34</v>
      </c>
      <c r="F8" s="10" t="s">
        <v>35</v>
      </c>
      <c r="G8" s="8" t="s">
        <v>41</v>
      </c>
      <c r="H8" s="12">
        <v>1</v>
      </c>
      <c r="I8" s="12">
        <v>1</v>
      </c>
      <c r="J8" s="15">
        <v>8000.0</v>
      </c>
      <c r="K8" s="15"/>
      <c r="L8" s="17">
        <f>IF(J8&gt;0, K8/J8, 0)</f>
        <v>0</v>
      </c>
      <c r="M8" s="15">
        <v>8000.0</v>
      </c>
      <c r="N8" s="15"/>
      <c r="O8" s="15">
        <f>M8-N8</f>
        <v>8000</v>
      </c>
      <c r="P8" s="10" t="s">
        <v>42</v>
      </c>
      <c r="Q8" s="10" t="s">
        <v>43</v>
      </c>
      <c r="R8" s="10" t="s">
        <v>44</v>
      </c>
      <c r="S8" s="8" t="s">
        <v>2020</v>
      </c>
      <c r="T8" s="8" t="s">
        <v>44</v>
      </c>
    </row>
    <row r="9" spans="1:20">
      <c r="A9" s="11">
        <v>2</v>
      </c>
      <c r="B9" s="11" t="s">
        <v>45</v>
      </c>
      <c r="C9" s="11" t="s">
        <v>46</v>
      </c>
      <c r="D9" s="11" t="s">
        <v>33</v>
      </c>
      <c r="E9" s="11" t="s">
        <v>34</v>
      </c>
      <c r="F9" s="11" t="s">
        <v>35</v>
      </c>
      <c r="G9" s="9" t="s">
        <v>41</v>
      </c>
      <c r="H9" s="13">
        <v>1</v>
      </c>
      <c r="I9" s="13">
        <v>1</v>
      </c>
      <c r="J9" s="16">
        <v>18000.0</v>
      </c>
      <c r="K9" s="16"/>
      <c r="L9" s="18">
        <f>IF(J9&gt;0, K9/J9, 0)</f>
        <v>0</v>
      </c>
      <c r="M9" s="16">
        <v>18000.0</v>
      </c>
      <c r="N9" s="16"/>
      <c r="O9" s="16">
        <f>M9-N9</f>
        <v>18000</v>
      </c>
      <c r="P9" s="11" t="s">
        <v>42</v>
      </c>
      <c r="Q9" s="11" t="s">
        <v>43</v>
      </c>
      <c r="R9" s="11" t="s">
        <v>44</v>
      </c>
      <c r="S9" s="9" t="s">
        <v>2021</v>
      </c>
      <c r="T9" s="9" t="s">
        <v>44</v>
      </c>
    </row>
    <row r="10" spans="1:20">
      <c r="A10" s="10">
        <v>3</v>
      </c>
      <c r="B10" s="10" t="s">
        <v>50</v>
      </c>
      <c r="C10" s="10" t="s">
        <v>51</v>
      </c>
      <c r="D10" s="10" t="s">
        <v>33</v>
      </c>
      <c r="E10" s="10" t="s">
        <v>34</v>
      </c>
      <c r="F10" s="10" t="s">
        <v>35</v>
      </c>
      <c r="G10" s="8" t="s">
        <v>41</v>
      </c>
      <c r="H10" s="12">
        <v>1</v>
      </c>
      <c r="I10" s="12">
        <v>1</v>
      </c>
      <c r="J10" s="15">
        <v>8000.0</v>
      </c>
      <c r="K10" s="15"/>
      <c r="L10" s="17">
        <f>IF(J10&gt;0, K10/J10, 0)</f>
        <v>0</v>
      </c>
      <c r="M10" s="15">
        <v>8000.0</v>
      </c>
      <c r="N10" s="15"/>
      <c r="O10" s="15">
        <f>M10-N10</f>
        <v>8000</v>
      </c>
      <c r="P10" s="10" t="s">
        <v>42</v>
      </c>
      <c r="Q10" s="10" t="s">
        <v>43</v>
      </c>
      <c r="R10" s="10" t="s">
        <v>44</v>
      </c>
      <c r="S10" s="8" t="s">
        <v>2022</v>
      </c>
      <c r="T10" s="8" t="s">
        <v>44</v>
      </c>
    </row>
    <row r="11" spans="1:20">
      <c r="A11" s="11">
        <v>4</v>
      </c>
      <c r="B11" s="11" t="s">
        <v>56</v>
      </c>
      <c r="C11" s="11" t="s">
        <v>57</v>
      </c>
      <c r="D11" s="11" t="s">
        <v>33</v>
      </c>
      <c r="E11" s="11" t="s">
        <v>34</v>
      </c>
      <c r="F11" s="11" t="s">
        <v>35</v>
      </c>
      <c r="G11" s="9" t="s">
        <v>60</v>
      </c>
      <c r="H11" s="13">
        <v>1</v>
      </c>
      <c r="I11" s="13">
        <v>1</v>
      </c>
      <c r="J11" s="16">
        <v>7500.0</v>
      </c>
      <c r="K11" s="16"/>
      <c r="L11" s="18">
        <f>IF(J11&gt;0, K11/J11, 0)</f>
        <v>0</v>
      </c>
      <c r="M11" s="16">
        <v>7500.0</v>
      </c>
      <c r="N11" s="16"/>
      <c r="O11" s="16">
        <f>M11-N11</f>
        <v>7500</v>
      </c>
      <c r="P11" s="11" t="s">
        <v>42</v>
      </c>
      <c r="Q11" s="11" t="s">
        <v>43</v>
      </c>
      <c r="R11" s="11" t="s">
        <v>44</v>
      </c>
      <c r="S11" s="9" t="s">
        <v>2023</v>
      </c>
      <c r="T11" s="9" t="s">
        <v>44</v>
      </c>
    </row>
    <row r="12" spans="1:20">
      <c r="A12" s="10">
        <v>5</v>
      </c>
      <c r="B12" s="10" t="s">
        <v>61</v>
      </c>
      <c r="C12" s="10" t="s">
        <v>62</v>
      </c>
      <c r="D12" s="10" t="s">
        <v>33</v>
      </c>
      <c r="E12" s="10" t="s">
        <v>34</v>
      </c>
      <c r="F12" s="10" t="s">
        <v>35</v>
      </c>
      <c r="G12" s="8" t="s">
        <v>60</v>
      </c>
      <c r="H12" s="12">
        <v>1</v>
      </c>
      <c r="I12" s="12">
        <v>1</v>
      </c>
      <c r="J12" s="15">
        <v>8500.0</v>
      </c>
      <c r="K12" s="15"/>
      <c r="L12" s="17">
        <f>IF(J12&gt;0, K12/J12, 0)</f>
        <v>0</v>
      </c>
      <c r="M12" s="15">
        <v>8500.0</v>
      </c>
      <c r="N12" s="15"/>
      <c r="O12" s="15">
        <f>M12-N12</f>
        <v>8500</v>
      </c>
      <c r="P12" s="10" t="s">
        <v>42</v>
      </c>
      <c r="Q12" s="10" t="s">
        <v>43</v>
      </c>
      <c r="R12" s="10" t="s">
        <v>44</v>
      </c>
      <c r="S12" s="8" t="s">
        <v>2024</v>
      </c>
      <c r="T12" s="8" t="s">
        <v>44</v>
      </c>
    </row>
    <row r="13" spans="1:20">
      <c r="A13" s="11">
        <v>6</v>
      </c>
      <c r="B13" s="11" t="s">
        <v>64</v>
      </c>
      <c r="C13" s="11" t="s">
        <v>62</v>
      </c>
      <c r="D13" s="11" t="s">
        <v>33</v>
      </c>
      <c r="E13" s="11" t="s">
        <v>34</v>
      </c>
      <c r="F13" s="11" t="s">
        <v>35</v>
      </c>
      <c r="G13" s="9" t="s">
        <v>60</v>
      </c>
      <c r="H13" s="13">
        <v>1</v>
      </c>
      <c r="I13" s="13">
        <v>1</v>
      </c>
      <c r="J13" s="16">
        <v>9500.0</v>
      </c>
      <c r="K13" s="16"/>
      <c r="L13" s="18">
        <f>IF(J13&gt;0, K13/J13, 0)</f>
        <v>0</v>
      </c>
      <c r="M13" s="16">
        <v>9500.0</v>
      </c>
      <c r="N13" s="16"/>
      <c r="O13" s="16">
        <f>M13-N13</f>
        <v>9500</v>
      </c>
      <c r="P13" s="11" t="s">
        <v>42</v>
      </c>
      <c r="Q13" s="11" t="s">
        <v>43</v>
      </c>
      <c r="R13" s="11" t="s">
        <v>44</v>
      </c>
      <c r="S13" s="9" t="s">
        <v>2025</v>
      </c>
      <c r="T13" s="9" t="s">
        <v>44</v>
      </c>
    </row>
    <row r="14" spans="1:20">
      <c r="A14" s="10">
        <v>7</v>
      </c>
      <c r="B14" s="10" t="s">
        <v>68</v>
      </c>
      <c r="C14" s="10" t="s">
        <v>69</v>
      </c>
      <c r="D14" s="10" t="s">
        <v>33</v>
      </c>
      <c r="E14" s="10" t="s">
        <v>70</v>
      </c>
      <c r="F14" s="10" t="s">
        <v>35</v>
      </c>
      <c r="G14" s="8" t="s">
        <v>60</v>
      </c>
      <c r="H14" s="12">
        <v>1</v>
      </c>
      <c r="I14" s="12">
        <v>1</v>
      </c>
      <c r="J14" s="15">
        <v>18000.0</v>
      </c>
      <c r="K14" s="15"/>
      <c r="L14" s="17">
        <f>IF(J14&gt;0, K14/J14, 0)</f>
        <v>0</v>
      </c>
      <c r="M14" s="15">
        <v>18000.0</v>
      </c>
      <c r="N14" s="15"/>
      <c r="O14" s="15">
        <f>M14-N14</f>
        <v>18000</v>
      </c>
      <c r="P14" s="10" t="s">
        <v>42</v>
      </c>
      <c r="Q14" s="10" t="s">
        <v>73</v>
      </c>
      <c r="R14" s="10" t="s">
        <v>44</v>
      </c>
      <c r="S14" s="8" t="s">
        <v>2026</v>
      </c>
      <c r="T14" s="8" t="s">
        <v>44</v>
      </c>
    </row>
    <row r="15" spans="1:20">
      <c r="A15" s="11">
        <v>8</v>
      </c>
      <c r="B15" s="11" t="s">
        <v>74</v>
      </c>
      <c r="C15" s="11" t="s">
        <v>69</v>
      </c>
      <c r="D15" s="11" t="s">
        <v>33</v>
      </c>
      <c r="E15" s="11" t="s">
        <v>34</v>
      </c>
      <c r="F15" s="11" t="s">
        <v>35</v>
      </c>
      <c r="G15" s="9" t="s">
        <v>60</v>
      </c>
      <c r="H15" s="13">
        <v>1</v>
      </c>
      <c r="I15" s="13">
        <v>1</v>
      </c>
      <c r="J15" s="16">
        <v>9000.0</v>
      </c>
      <c r="K15" s="16"/>
      <c r="L15" s="18">
        <f>IF(J15&gt;0, K15/J15, 0)</f>
        <v>0</v>
      </c>
      <c r="M15" s="16">
        <v>9000.0</v>
      </c>
      <c r="N15" s="16"/>
      <c r="O15" s="16">
        <f>M15-N15</f>
        <v>9000</v>
      </c>
      <c r="P15" s="11" t="s">
        <v>42</v>
      </c>
      <c r="Q15" s="11" t="s">
        <v>43</v>
      </c>
      <c r="R15" s="11" t="s">
        <v>44</v>
      </c>
      <c r="S15" s="9" t="s">
        <v>2027</v>
      </c>
      <c r="T15" s="9" t="s">
        <v>44</v>
      </c>
    </row>
    <row r="16" spans="1:20">
      <c r="A16" s="10">
        <v>9</v>
      </c>
      <c r="B16" s="10" t="s">
        <v>77</v>
      </c>
      <c r="C16" s="10" t="s">
        <v>78</v>
      </c>
      <c r="D16" s="10" t="s">
        <v>33</v>
      </c>
      <c r="E16" s="10" t="s">
        <v>34</v>
      </c>
      <c r="F16" s="10" t="s">
        <v>35</v>
      </c>
      <c r="G16" s="8" t="s">
        <v>60</v>
      </c>
      <c r="H16" s="12">
        <v>1</v>
      </c>
      <c r="I16" s="12">
        <v>1</v>
      </c>
      <c r="J16" s="15">
        <v>8000.0</v>
      </c>
      <c r="K16" s="15"/>
      <c r="L16" s="17">
        <f>IF(J16&gt;0, K16/J16, 0)</f>
        <v>0</v>
      </c>
      <c r="M16" s="15">
        <v>8000.0</v>
      </c>
      <c r="N16" s="15"/>
      <c r="O16" s="15">
        <f>M16-N16</f>
        <v>8000</v>
      </c>
      <c r="P16" s="10" t="s">
        <v>42</v>
      </c>
      <c r="Q16" s="10" t="s">
        <v>43</v>
      </c>
      <c r="R16" s="10" t="s">
        <v>44</v>
      </c>
      <c r="S16" s="8" t="s">
        <v>2028</v>
      </c>
      <c r="T16" s="8" t="s">
        <v>44</v>
      </c>
    </row>
    <row r="17" spans="1:20">
      <c r="A17" s="11">
        <v>10</v>
      </c>
      <c r="B17" s="11" t="s">
        <v>80</v>
      </c>
      <c r="C17" s="11" t="s">
        <v>78</v>
      </c>
      <c r="D17" s="11" t="s">
        <v>33</v>
      </c>
      <c r="E17" s="11" t="s">
        <v>34</v>
      </c>
      <c r="F17" s="11" t="s">
        <v>35</v>
      </c>
      <c r="G17" s="9" t="s">
        <v>60</v>
      </c>
      <c r="H17" s="13">
        <v>1</v>
      </c>
      <c r="I17" s="13">
        <v>1</v>
      </c>
      <c r="J17" s="16">
        <v>7000.0</v>
      </c>
      <c r="K17" s="16"/>
      <c r="L17" s="18">
        <f>IF(J17&gt;0, K17/J17, 0)</f>
        <v>0</v>
      </c>
      <c r="M17" s="16">
        <v>7000.0</v>
      </c>
      <c r="N17" s="16"/>
      <c r="O17" s="16">
        <f>M17-N17</f>
        <v>7000</v>
      </c>
      <c r="P17" s="11" t="s">
        <v>42</v>
      </c>
      <c r="Q17" s="11" t="s">
        <v>43</v>
      </c>
      <c r="R17" s="11" t="s">
        <v>44</v>
      </c>
      <c r="S17" s="9" t="s">
        <v>2029</v>
      </c>
      <c r="T17" s="9" t="s">
        <v>44</v>
      </c>
    </row>
    <row r="18" spans="1:20">
      <c r="A18" s="10">
        <v>11</v>
      </c>
      <c r="B18" s="10" t="s">
        <v>82</v>
      </c>
      <c r="C18" s="10" t="s">
        <v>83</v>
      </c>
      <c r="D18" s="10" t="s">
        <v>33</v>
      </c>
      <c r="E18" s="10" t="s">
        <v>34</v>
      </c>
      <c r="F18" s="10" t="s">
        <v>35</v>
      </c>
      <c r="G18" s="8" t="s">
        <v>60</v>
      </c>
      <c r="H18" s="12">
        <v>1</v>
      </c>
      <c r="I18" s="12">
        <v>1</v>
      </c>
      <c r="J18" s="15">
        <v>8000.0</v>
      </c>
      <c r="K18" s="15"/>
      <c r="L18" s="17">
        <f>IF(J18&gt;0, K18/J18, 0)</f>
        <v>0</v>
      </c>
      <c r="M18" s="15">
        <v>8000.0</v>
      </c>
      <c r="N18" s="15"/>
      <c r="O18" s="15">
        <f>M18-N18</f>
        <v>8000</v>
      </c>
      <c r="P18" s="10" t="s">
        <v>42</v>
      </c>
      <c r="Q18" s="10" t="s">
        <v>43</v>
      </c>
      <c r="R18" s="10" t="s">
        <v>44</v>
      </c>
      <c r="S18" s="8" t="s">
        <v>2030</v>
      </c>
      <c r="T18" s="8" t="s">
        <v>44</v>
      </c>
    </row>
    <row r="19" spans="1:20">
      <c r="A19" s="11">
        <v>12</v>
      </c>
      <c r="B19" s="11" t="s">
        <v>85</v>
      </c>
      <c r="C19" s="11" t="s">
        <v>83</v>
      </c>
      <c r="D19" s="11" t="s">
        <v>33</v>
      </c>
      <c r="E19" s="11" t="s">
        <v>34</v>
      </c>
      <c r="F19" s="11" t="s">
        <v>35</v>
      </c>
      <c r="G19" s="9" t="s">
        <v>60</v>
      </c>
      <c r="H19" s="13">
        <v>1</v>
      </c>
      <c r="I19" s="13">
        <v>1</v>
      </c>
      <c r="J19" s="16">
        <v>9000.0</v>
      </c>
      <c r="K19" s="16"/>
      <c r="L19" s="18">
        <f>IF(J19&gt;0, K19/J19, 0)</f>
        <v>0</v>
      </c>
      <c r="M19" s="16">
        <v>9000.0</v>
      </c>
      <c r="N19" s="16"/>
      <c r="O19" s="16">
        <f>M19-N19</f>
        <v>9000</v>
      </c>
      <c r="P19" s="11" t="s">
        <v>42</v>
      </c>
      <c r="Q19" s="11" t="s">
        <v>43</v>
      </c>
      <c r="R19" s="11" t="s">
        <v>44</v>
      </c>
      <c r="S19" s="9" t="s">
        <v>2031</v>
      </c>
      <c r="T19" s="9" t="s">
        <v>44</v>
      </c>
    </row>
    <row r="20" spans="1:20">
      <c r="A20" s="10">
        <v>13</v>
      </c>
      <c r="B20" s="10" t="s">
        <v>87</v>
      </c>
      <c r="C20" s="10" t="s">
        <v>88</v>
      </c>
      <c r="D20" s="10" t="s">
        <v>33</v>
      </c>
      <c r="E20" s="10" t="s">
        <v>34</v>
      </c>
      <c r="F20" s="10" t="s">
        <v>35</v>
      </c>
      <c r="G20" s="8" t="s">
        <v>60</v>
      </c>
      <c r="H20" s="12">
        <v>1</v>
      </c>
      <c r="I20" s="12">
        <v>1</v>
      </c>
      <c r="J20" s="15">
        <v>17000.0</v>
      </c>
      <c r="K20" s="15"/>
      <c r="L20" s="17">
        <f>IF(J20&gt;0, K20/J20, 0)</f>
        <v>0</v>
      </c>
      <c r="M20" s="15">
        <v>17000.0</v>
      </c>
      <c r="N20" s="15"/>
      <c r="O20" s="15">
        <f>M20-N20</f>
        <v>17000</v>
      </c>
      <c r="P20" s="10" t="s">
        <v>42</v>
      </c>
      <c r="Q20" s="10" t="s">
        <v>43</v>
      </c>
      <c r="R20" s="10" t="s">
        <v>44</v>
      </c>
      <c r="S20" s="8" t="s">
        <v>2032</v>
      </c>
      <c r="T20" s="8" t="s">
        <v>44</v>
      </c>
    </row>
    <row r="21" spans="1:20">
      <c r="A21" s="11">
        <v>14</v>
      </c>
      <c r="B21" s="11" t="s">
        <v>90</v>
      </c>
      <c r="C21" s="11" t="s">
        <v>88</v>
      </c>
      <c r="D21" s="11" t="s">
        <v>33</v>
      </c>
      <c r="E21" s="11" t="s">
        <v>34</v>
      </c>
      <c r="F21" s="11" t="s">
        <v>35</v>
      </c>
      <c r="G21" s="9" t="s">
        <v>60</v>
      </c>
      <c r="H21" s="13">
        <v>1</v>
      </c>
      <c r="I21" s="13">
        <v>1</v>
      </c>
      <c r="J21" s="16">
        <v>8000.0</v>
      </c>
      <c r="K21" s="16"/>
      <c r="L21" s="18">
        <f>IF(J21&gt;0, K21/J21, 0)</f>
        <v>0</v>
      </c>
      <c r="M21" s="16">
        <v>8000.0</v>
      </c>
      <c r="N21" s="16"/>
      <c r="O21" s="16">
        <f>M21-N21</f>
        <v>8000</v>
      </c>
      <c r="P21" s="11" t="s">
        <v>42</v>
      </c>
      <c r="Q21" s="11" t="s">
        <v>43</v>
      </c>
      <c r="R21" s="11" t="s">
        <v>44</v>
      </c>
      <c r="S21" s="9" t="s">
        <v>2033</v>
      </c>
      <c r="T21" s="9" t="s">
        <v>44</v>
      </c>
    </row>
    <row r="22" spans="1:20">
      <c r="A22" s="10">
        <v>15</v>
      </c>
      <c r="B22" s="10" t="s">
        <v>92</v>
      </c>
      <c r="C22" s="10" t="s">
        <v>93</v>
      </c>
      <c r="D22" s="10" t="s">
        <v>33</v>
      </c>
      <c r="E22" s="10" t="s">
        <v>34</v>
      </c>
      <c r="F22" s="10" t="s">
        <v>35</v>
      </c>
      <c r="G22" s="8" t="s">
        <v>60</v>
      </c>
      <c r="H22" s="12">
        <v>1</v>
      </c>
      <c r="I22" s="12">
        <v>1</v>
      </c>
      <c r="J22" s="15">
        <v>7000.0</v>
      </c>
      <c r="K22" s="15"/>
      <c r="L22" s="17">
        <f>IF(J22&gt;0, K22/J22, 0)</f>
        <v>0</v>
      </c>
      <c r="M22" s="15">
        <v>7000.0</v>
      </c>
      <c r="N22" s="15"/>
      <c r="O22" s="15">
        <f>M22-N22</f>
        <v>7000</v>
      </c>
      <c r="P22" s="10" t="s">
        <v>42</v>
      </c>
      <c r="Q22" s="10" t="s">
        <v>43</v>
      </c>
      <c r="R22" s="10" t="s">
        <v>44</v>
      </c>
      <c r="S22" s="8" t="s">
        <v>2034</v>
      </c>
      <c r="T22" s="8" t="s">
        <v>44</v>
      </c>
    </row>
    <row r="23" spans="1:20">
      <c r="A23" s="11">
        <v>16</v>
      </c>
      <c r="B23" s="11" t="s">
        <v>95</v>
      </c>
      <c r="C23" s="11" t="s">
        <v>93</v>
      </c>
      <c r="D23" s="11" t="s">
        <v>33</v>
      </c>
      <c r="E23" s="11" t="s">
        <v>34</v>
      </c>
      <c r="F23" s="11" t="s">
        <v>35</v>
      </c>
      <c r="G23" s="9" t="s">
        <v>60</v>
      </c>
      <c r="H23" s="13">
        <v>1</v>
      </c>
      <c r="I23" s="13">
        <v>1</v>
      </c>
      <c r="J23" s="16">
        <v>8000.0</v>
      </c>
      <c r="K23" s="16"/>
      <c r="L23" s="18">
        <f>IF(J23&gt;0, K23/J23, 0)</f>
        <v>0</v>
      </c>
      <c r="M23" s="16">
        <v>8000.0</v>
      </c>
      <c r="N23" s="16"/>
      <c r="O23" s="16">
        <f>M23-N23</f>
        <v>8000</v>
      </c>
      <c r="P23" s="11" t="s">
        <v>42</v>
      </c>
      <c r="Q23" s="11" t="s">
        <v>43</v>
      </c>
      <c r="R23" s="11" t="s">
        <v>44</v>
      </c>
      <c r="S23" s="9" t="s">
        <v>2035</v>
      </c>
      <c r="T23" s="9" t="s">
        <v>44</v>
      </c>
    </row>
    <row r="24" spans="1:20">
      <c r="A24" s="10">
        <v>17</v>
      </c>
      <c r="B24" s="10" t="s">
        <v>99</v>
      </c>
      <c r="C24" s="10" t="s">
        <v>100</v>
      </c>
      <c r="D24" s="10" t="s">
        <v>33</v>
      </c>
      <c r="E24" s="10" t="s">
        <v>34</v>
      </c>
      <c r="F24" s="10" t="s">
        <v>35</v>
      </c>
      <c r="G24" s="8" t="s">
        <v>60</v>
      </c>
      <c r="H24" s="12">
        <v>1</v>
      </c>
      <c r="I24" s="12">
        <v>1</v>
      </c>
      <c r="J24" s="15">
        <v>17000.0</v>
      </c>
      <c r="K24" s="15"/>
      <c r="L24" s="17">
        <f>IF(J24&gt;0, K24/J24, 0)</f>
        <v>0</v>
      </c>
      <c r="M24" s="15">
        <v>17000.0</v>
      </c>
      <c r="N24" s="15"/>
      <c r="O24" s="15">
        <f>M24-N24</f>
        <v>17000</v>
      </c>
      <c r="P24" s="10" t="s">
        <v>42</v>
      </c>
      <c r="Q24" s="10" t="s">
        <v>43</v>
      </c>
      <c r="R24" s="10" t="s">
        <v>44</v>
      </c>
      <c r="S24" s="8" t="s">
        <v>2036</v>
      </c>
      <c r="T24" s="8" t="s">
        <v>44</v>
      </c>
    </row>
    <row r="25" spans="1:20">
      <c r="A25" s="11">
        <v>18</v>
      </c>
      <c r="B25" s="11" t="s">
        <v>102</v>
      </c>
      <c r="C25" s="11" t="s">
        <v>103</v>
      </c>
      <c r="D25" s="11" t="s">
        <v>33</v>
      </c>
      <c r="E25" s="11" t="s">
        <v>34</v>
      </c>
      <c r="F25" s="11" t="s">
        <v>35</v>
      </c>
      <c r="G25" s="9" t="s">
        <v>60</v>
      </c>
      <c r="H25" s="13">
        <v>1</v>
      </c>
      <c r="I25" s="13">
        <v>1</v>
      </c>
      <c r="J25" s="16">
        <v>8000.0</v>
      </c>
      <c r="K25" s="16"/>
      <c r="L25" s="18">
        <f>IF(J25&gt;0, K25/J25, 0)</f>
        <v>0</v>
      </c>
      <c r="M25" s="16">
        <v>8000.0</v>
      </c>
      <c r="N25" s="16"/>
      <c r="O25" s="16">
        <f>M25-N25</f>
        <v>8000</v>
      </c>
      <c r="P25" s="11" t="s">
        <v>42</v>
      </c>
      <c r="Q25" s="11" t="s">
        <v>43</v>
      </c>
      <c r="R25" s="11" t="s">
        <v>44</v>
      </c>
      <c r="S25" s="9" t="s">
        <v>2037</v>
      </c>
      <c r="T25" s="9" t="s">
        <v>44</v>
      </c>
    </row>
    <row r="26" spans="1:20">
      <c r="A26" s="10">
        <v>19</v>
      </c>
      <c r="B26" s="10" t="s">
        <v>105</v>
      </c>
      <c r="C26" s="10" t="s">
        <v>106</v>
      </c>
      <c r="D26" s="10" t="s">
        <v>33</v>
      </c>
      <c r="E26" s="10" t="s">
        <v>34</v>
      </c>
      <c r="F26" s="10" t="s">
        <v>35</v>
      </c>
      <c r="G26" s="8" t="s">
        <v>60</v>
      </c>
      <c r="H26" s="12">
        <v>1</v>
      </c>
      <c r="I26" s="12">
        <v>1</v>
      </c>
      <c r="J26" s="15">
        <v>7000.0</v>
      </c>
      <c r="K26" s="15"/>
      <c r="L26" s="17">
        <f>IF(J26&gt;0, K26/J26, 0)</f>
        <v>0</v>
      </c>
      <c r="M26" s="15">
        <v>7000.0</v>
      </c>
      <c r="N26" s="15"/>
      <c r="O26" s="15">
        <f>M26-N26</f>
        <v>7000</v>
      </c>
      <c r="P26" s="10" t="s">
        <v>42</v>
      </c>
      <c r="Q26" s="10" t="s">
        <v>43</v>
      </c>
      <c r="R26" s="10" t="s">
        <v>44</v>
      </c>
      <c r="S26" s="8" t="s">
        <v>2038</v>
      </c>
      <c r="T26" s="8" t="s">
        <v>44</v>
      </c>
    </row>
    <row r="27" spans="1:20">
      <c r="A27" s="11">
        <v>20</v>
      </c>
      <c r="B27" s="11" t="s">
        <v>108</v>
      </c>
      <c r="C27" s="11" t="s">
        <v>109</v>
      </c>
      <c r="D27" s="11" t="s">
        <v>33</v>
      </c>
      <c r="E27" s="11" t="s">
        <v>70</v>
      </c>
      <c r="F27" s="11" t="s">
        <v>35</v>
      </c>
      <c r="G27" s="9" t="s">
        <v>60</v>
      </c>
      <c r="H27" s="13">
        <v>1</v>
      </c>
      <c r="I27" s="13">
        <v>1</v>
      </c>
      <c r="J27" s="16">
        <v>17500.0</v>
      </c>
      <c r="K27" s="16"/>
      <c r="L27" s="18">
        <f>IF(J27&gt;0, K27/J27, 0)</f>
        <v>0</v>
      </c>
      <c r="M27" s="16">
        <v>17500.0</v>
      </c>
      <c r="N27" s="16"/>
      <c r="O27" s="16">
        <f>M27-N27</f>
        <v>17500</v>
      </c>
      <c r="P27" s="11" t="s">
        <v>42</v>
      </c>
      <c r="Q27" s="11" t="s">
        <v>73</v>
      </c>
      <c r="R27" s="11" t="s">
        <v>44</v>
      </c>
      <c r="S27" s="9" t="s">
        <v>2039</v>
      </c>
      <c r="T27" s="9" t="s">
        <v>44</v>
      </c>
    </row>
    <row r="28" spans="1:20">
      <c r="A28" s="10">
        <v>21</v>
      </c>
      <c r="B28" s="10" t="s">
        <v>111</v>
      </c>
      <c r="C28" s="10" t="s">
        <v>109</v>
      </c>
      <c r="D28" s="10" t="s">
        <v>33</v>
      </c>
      <c r="E28" s="10" t="s">
        <v>70</v>
      </c>
      <c r="F28" s="10" t="s">
        <v>35</v>
      </c>
      <c r="G28" s="8" t="s">
        <v>60</v>
      </c>
      <c r="H28" s="12">
        <v>1</v>
      </c>
      <c r="I28" s="12">
        <v>1</v>
      </c>
      <c r="J28" s="15">
        <v>17000.0</v>
      </c>
      <c r="K28" s="15"/>
      <c r="L28" s="17">
        <f>IF(J28&gt;0, K28/J28, 0)</f>
        <v>0</v>
      </c>
      <c r="M28" s="15">
        <v>17000.0</v>
      </c>
      <c r="N28" s="15"/>
      <c r="O28" s="15">
        <f>M28-N28</f>
        <v>17000</v>
      </c>
      <c r="P28" s="10" t="s">
        <v>42</v>
      </c>
      <c r="Q28" s="10" t="s">
        <v>73</v>
      </c>
      <c r="R28" s="10" t="s">
        <v>44</v>
      </c>
      <c r="S28" s="8" t="s">
        <v>2040</v>
      </c>
      <c r="T28" s="8" t="s">
        <v>44</v>
      </c>
    </row>
    <row r="29" spans="1:20">
      <c r="A29" s="11">
        <v>22</v>
      </c>
      <c r="B29" s="11" t="s">
        <v>113</v>
      </c>
      <c r="C29" s="11" t="s">
        <v>114</v>
      </c>
      <c r="D29" s="11" t="s">
        <v>33</v>
      </c>
      <c r="E29" s="11" t="s">
        <v>70</v>
      </c>
      <c r="F29" s="11" t="s">
        <v>35</v>
      </c>
      <c r="G29" s="9" t="s">
        <v>60</v>
      </c>
      <c r="H29" s="13">
        <v>1</v>
      </c>
      <c r="I29" s="13">
        <v>1</v>
      </c>
      <c r="J29" s="16">
        <v>8000.0</v>
      </c>
      <c r="K29" s="16"/>
      <c r="L29" s="18">
        <f>IF(J29&gt;0, K29/J29, 0)</f>
        <v>0</v>
      </c>
      <c r="M29" s="16">
        <v>8000.0</v>
      </c>
      <c r="N29" s="16"/>
      <c r="O29" s="16">
        <f>M29-N29</f>
        <v>8000</v>
      </c>
      <c r="P29" s="11" t="s">
        <v>42</v>
      </c>
      <c r="Q29" s="11" t="s">
        <v>73</v>
      </c>
      <c r="R29" s="11" t="s">
        <v>44</v>
      </c>
      <c r="S29" s="9" t="s">
        <v>2041</v>
      </c>
      <c r="T29" s="9" t="s">
        <v>44</v>
      </c>
    </row>
    <row r="30" spans="1:20">
      <c r="A30" s="10">
        <v>23</v>
      </c>
      <c r="B30" s="10" t="s">
        <v>116</v>
      </c>
      <c r="C30" s="10" t="s">
        <v>117</v>
      </c>
      <c r="D30" s="10" t="s">
        <v>33</v>
      </c>
      <c r="E30" s="10" t="s">
        <v>70</v>
      </c>
      <c r="F30" s="10" t="s">
        <v>35</v>
      </c>
      <c r="G30" s="8" t="s">
        <v>60</v>
      </c>
      <c r="H30" s="12">
        <v>1</v>
      </c>
      <c r="I30" s="12">
        <v>2</v>
      </c>
      <c r="J30" s="15">
        <v>16000.0</v>
      </c>
      <c r="K30" s="15"/>
      <c r="L30" s="17">
        <f>IF(J30&gt;0, K30/J30, 0)</f>
        <v>0</v>
      </c>
      <c r="M30" s="15">
        <v>16000.0</v>
      </c>
      <c r="N30" s="15"/>
      <c r="O30" s="15">
        <f>M30-N30</f>
        <v>16000</v>
      </c>
      <c r="P30" s="10" t="s">
        <v>42</v>
      </c>
      <c r="Q30" s="10" t="s">
        <v>73</v>
      </c>
      <c r="R30" s="10" t="s">
        <v>44</v>
      </c>
      <c r="S30" s="8" t="s">
        <v>2042</v>
      </c>
      <c r="T30" s="8" t="s">
        <v>44</v>
      </c>
    </row>
    <row r="31" spans="1:20">
      <c r="A31" s="11">
        <v>24</v>
      </c>
      <c r="B31" s="11" t="s">
        <v>119</v>
      </c>
      <c r="C31" s="11" t="s">
        <v>120</v>
      </c>
      <c r="D31" s="11" t="s">
        <v>33</v>
      </c>
      <c r="E31" s="11" t="s">
        <v>70</v>
      </c>
      <c r="F31" s="11" t="s">
        <v>35</v>
      </c>
      <c r="G31" s="9" t="s">
        <v>60</v>
      </c>
      <c r="H31" s="13">
        <v>1</v>
      </c>
      <c r="I31" s="13">
        <v>2</v>
      </c>
      <c r="J31" s="16">
        <v>18000.0</v>
      </c>
      <c r="K31" s="16"/>
      <c r="L31" s="18">
        <f>IF(J31&gt;0, K31/J31, 0)</f>
        <v>0</v>
      </c>
      <c r="M31" s="16">
        <v>18000.0</v>
      </c>
      <c r="N31" s="16"/>
      <c r="O31" s="16">
        <f>M31-N31</f>
        <v>18000</v>
      </c>
      <c r="P31" s="11" t="s">
        <v>42</v>
      </c>
      <c r="Q31" s="11" t="s">
        <v>73</v>
      </c>
      <c r="R31" s="11" t="s">
        <v>44</v>
      </c>
      <c r="S31" s="9" t="s">
        <v>2043</v>
      </c>
      <c r="T31" s="9" t="s">
        <v>44</v>
      </c>
    </row>
    <row r="32" spans="1:20">
      <c r="A32" s="10">
        <v>25</v>
      </c>
      <c r="B32" s="10" t="s">
        <v>121</v>
      </c>
      <c r="C32" s="10" t="s">
        <v>122</v>
      </c>
      <c r="D32" s="10" t="s">
        <v>33</v>
      </c>
      <c r="E32" s="10" t="s">
        <v>34</v>
      </c>
      <c r="F32" s="10" t="s">
        <v>35</v>
      </c>
      <c r="G32" s="8" t="s">
        <v>60</v>
      </c>
      <c r="H32" s="12">
        <v>1</v>
      </c>
      <c r="I32" s="12">
        <v>2</v>
      </c>
      <c r="J32" s="15">
        <v>16000.0</v>
      </c>
      <c r="K32" s="15"/>
      <c r="L32" s="17">
        <f>IF(J32&gt;0, K32/J32, 0)</f>
        <v>0</v>
      </c>
      <c r="M32" s="15">
        <v>16000.0</v>
      </c>
      <c r="N32" s="15"/>
      <c r="O32" s="15">
        <f>M32-N32</f>
        <v>16000</v>
      </c>
      <c r="P32" s="10" t="s">
        <v>42</v>
      </c>
      <c r="Q32" s="10" t="s">
        <v>43</v>
      </c>
      <c r="R32" s="10" t="s">
        <v>44</v>
      </c>
      <c r="S32" s="8" t="s">
        <v>2044</v>
      </c>
      <c r="T32" s="8" t="s">
        <v>44</v>
      </c>
    </row>
    <row r="33" spans="1:20">
      <c r="A33" s="11">
        <v>26</v>
      </c>
      <c r="B33" s="11" t="s">
        <v>123</v>
      </c>
      <c r="C33" s="11" t="s">
        <v>122</v>
      </c>
      <c r="D33" s="11" t="s">
        <v>33</v>
      </c>
      <c r="E33" s="11" t="s">
        <v>34</v>
      </c>
      <c r="F33" s="11" t="s">
        <v>35</v>
      </c>
      <c r="G33" s="9" t="s">
        <v>60</v>
      </c>
      <c r="H33" s="13">
        <v>1</v>
      </c>
      <c r="I33" s="13">
        <v>1</v>
      </c>
      <c r="J33" s="16">
        <v>8500.0</v>
      </c>
      <c r="K33" s="16"/>
      <c r="L33" s="18">
        <f>IF(J33&gt;0, K33/J33, 0)</f>
        <v>0</v>
      </c>
      <c r="M33" s="16">
        <v>8500.0</v>
      </c>
      <c r="N33" s="16"/>
      <c r="O33" s="16">
        <f>M33-N33</f>
        <v>8500</v>
      </c>
      <c r="P33" s="11" t="s">
        <v>42</v>
      </c>
      <c r="Q33" s="11" t="s">
        <v>43</v>
      </c>
      <c r="R33" s="11" t="s">
        <v>44</v>
      </c>
      <c r="S33" s="9" t="s">
        <v>2045</v>
      </c>
      <c r="T33" s="9" t="s">
        <v>44</v>
      </c>
    </row>
    <row r="34" spans="1:20">
      <c r="A34" s="10">
        <v>27</v>
      </c>
      <c r="B34" s="10" t="s">
        <v>125</v>
      </c>
      <c r="C34" s="10" t="s">
        <v>126</v>
      </c>
      <c r="D34" s="10" t="s">
        <v>33</v>
      </c>
      <c r="E34" s="10" t="s">
        <v>34</v>
      </c>
      <c r="F34" s="10" t="s">
        <v>35</v>
      </c>
      <c r="G34" s="8" t="s">
        <v>60</v>
      </c>
      <c r="H34" s="12">
        <v>1</v>
      </c>
      <c r="I34" s="12">
        <v>1</v>
      </c>
      <c r="J34" s="15">
        <v>8000.0</v>
      </c>
      <c r="K34" s="15"/>
      <c r="L34" s="17">
        <f>IF(J34&gt;0, K34/J34, 0)</f>
        <v>0</v>
      </c>
      <c r="M34" s="15">
        <v>8000.0</v>
      </c>
      <c r="N34" s="15"/>
      <c r="O34" s="15">
        <f>M34-N34</f>
        <v>8000</v>
      </c>
      <c r="P34" s="10" t="s">
        <v>42</v>
      </c>
      <c r="Q34" s="10" t="s">
        <v>43</v>
      </c>
      <c r="R34" s="10" t="s">
        <v>44</v>
      </c>
      <c r="S34" s="8" t="s">
        <v>2045</v>
      </c>
      <c r="T34" s="8" t="s">
        <v>44</v>
      </c>
    </row>
    <row r="35" spans="1:20">
      <c r="A35" s="11">
        <v>28</v>
      </c>
      <c r="B35" s="11" t="s">
        <v>128</v>
      </c>
      <c r="C35" s="11" t="s">
        <v>129</v>
      </c>
      <c r="D35" s="11" t="s">
        <v>33</v>
      </c>
      <c r="E35" s="11" t="s">
        <v>34</v>
      </c>
      <c r="F35" s="11" t="s">
        <v>35</v>
      </c>
      <c r="G35" s="9" t="s">
        <v>60</v>
      </c>
      <c r="H35" s="13">
        <v>1</v>
      </c>
      <c r="I35" s="13">
        <v>1</v>
      </c>
      <c r="J35" s="16">
        <v>7000.0</v>
      </c>
      <c r="K35" s="16"/>
      <c r="L35" s="18">
        <f>IF(J35&gt;0, K35/J35, 0)</f>
        <v>0</v>
      </c>
      <c r="M35" s="16">
        <v>7000.0</v>
      </c>
      <c r="N35" s="16"/>
      <c r="O35" s="16">
        <f>M35-N35</f>
        <v>7000</v>
      </c>
      <c r="P35" s="11" t="s">
        <v>42</v>
      </c>
      <c r="Q35" s="11" t="s">
        <v>43</v>
      </c>
      <c r="R35" s="11" t="s">
        <v>44</v>
      </c>
      <c r="S35" s="9" t="s">
        <v>2046</v>
      </c>
      <c r="T35" s="9" t="s">
        <v>44</v>
      </c>
    </row>
    <row r="36" spans="1:20">
      <c r="A36" s="10">
        <v>29</v>
      </c>
      <c r="B36" s="10" t="s">
        <v>131</v>
      </c>
      <c r="C36" s="10" t="s">
        <v>129</v>
      </c>
      <c r="D36" s="10" t="s">
        <v>33</v>
      </c>
      <c r="E36" s="10" t="s">
        <v>34</v>
      </c>
      <c r="F36" s="10" t="s">
        <v>35</v>
      </c>
      <c r="G36" s="8" t="s">
        <v>60</v>
      </c>
      <c r="H36" s="12">
        <v>1</v>
      </c>
      <c r="I36" s="12">
        <v>2</v>
      </c>
      <c r="J36" s="15">
        <v>14000.0</v>
      </c>
      <c r="K36" s="15"/>
      <c r="L36" s="17">
        <f>IF(J36&gt;0, K36/J36, 0)</f>
        <v>0</v>
      </c>
      <c r="M36" s="15">
        <v>14000.0</v>
      </c>
      <c r="N36" s="15"/>
      <c r="O36" s="15">
        <f>M36-N36</f>
        <v>14000</v>
      </c>
      <c r="P36" s="10" t="s">
        <v>42</v>
      </c>
      <c r="Q36" s="10" t="s">
        <v>43</v>
      </c>
      <c r="R36" s="10" t="s">
        <v>44</v>
      </c>
      <c r="S36" s="8" t="s">
        <v>2044</v>
      </c>
      <c r="T36" s="8" t="s">
        <v>44</v>
      </c>
    </row>
    <row r="37" spans="1:20">
      <c r="A37" s="11">
        <v>30</v>
      </c>
      <c r="B37" s="11" t="s">
        <v>133</v>
      </c>
      <c r="C37" s="11" t="s">
        <v>134</v>
      </c>
      <c r="D37" s="11" t="s">
        <v>33</v>
      </c>
      <c r="E37" s="11" t="s">
        <v>34</v>
      </c>
      <c r="F37" s="11" t="s">
        <v>35</v>
      </c>
      <c r="G37" s="9" t="s">
        <v>60</v>
      </c>
      <c r="H37" s="13">
        <v>1</v>
      </c>
      <c r="I37" s="13">
        <v>1</v>
      </c>
      <c r="J37" s="16">
        <v>18000.0</v>
      </c>
      <c r="K37" s="16"/>
      <c r="L37" s="18">
        <f>IF(J37&gt;0, K37/J37, 0)</f>
        <v>0</v>
      </c>
      <c r="M37" s="16">
        <v>18000.0</v>
      </c>
      <c r="N37" s="16"/>
      <c r="O37" s="16">
        <f>M37-N37</f>
        <v>18000</v>
      </c>
      <c r="P37" s="11" t="s">
        <v>42</v>
      </c>
      <c r="Q37" s="11" t="s">
        <v>43</v>
      </c>
      <c r="R37" s="11" t="s">
        <v>44</v>
      </c>
      <c r="S37" s="9" t="s">
        <v>2047</v>
      </c>
      <c r="T37" s="9" t="s">
        <v>44</v>
      </c>
    </row>
    <row r="38" spans="1:20">
      <c r="A38" s="10">
        <v>31</v>
      </c>
      <c r="B38" s="10" t="s">
        <v>137</v>
      </c>
      <c r="C38" s="10" t="s">
        <v>138</v>
      </c>
      <c r="D38" s="10" t="s">
        <v>33</v>
      </c>
      <c r="E38" s="10" t="s">
        <v>34</v>
      </c>
      <c r="F38" s="10" t="s">
        <v>35</v>
      </c>
      <c r="G38" s="8" t="s">
        <v>60</v>
      </c>
      <c r="H38" s="12">
        <v>1</v>
      </c>
      <c r="I38" s="12">
        <v>1</v>
      </c>
      <c r="J38" s="15">
        <v>8000.0</v>
      </c>
      <c r="K38" s="15"/>
      <c r="L38" s="17">
        <f>IF(J38&gt;0, K38/J38, 0)</f>
        <v>0</v>
      </c>
      <c r="M38" s="15">
        <v>8000.0</v>
      </c>
      <c r="N38" s="15"/>
      <c r="O38" s="15">
        <f>M38-N38</f>
        <v>8000</v>
      </c>
      <c r="P38" s="10" t="s">
        <v>42</v>
      </c>
      <c r="Q38" s="10" t="s">
        <v>43</v>
      </c>
      <c r="R38" s="10" t="s">
        <v>44</v>
      </c>
      <c r="S38" s="8" t="s">
        <v>2030</v>
      </c>
      <c r="T38" s="8" t="s">
        <v>44</v>
      </c>
    </row>
    <row r="39" spans="1:20">
      <c r="A39" s="11">
        <v>32</v>
      </c>
      <c r="B39" s="11" t="s">
        <v>139</v>
      </c>
      <c r="C39" s="11" t="s">
        <v>138</v>
      </c>
      <c r="D39" s="11" t="s">
        <v>33</v>
      </c>
      <c r="E39" s="11" t="s">
        <v>34</v>
      </c>
      <c r="F39" s="11" t="s">
        <v>35</v>
      </c>
      <c r="G39" s="9" t="s">
        <v>60</v>
      </c>
      <c r="H39" s="13">
        <v>1</v>
      </c>
      <c r="I39" s="13">
        <v>2</v>
      </c>
      <c r="J39" s="16">
        <v>14000.0</v>
      </c>
      <c r="K39" s="16"/>
      <c r="L39" s="18">
        <f>IF(J39&gt;0, K39/J39, 0)</f>
        <v>0</v>
      </c>
      <c r="M39" s="16">
        <v>14000.0</v>
      </c>
      <c r="N39" s="16"/>
      <c r="O39" s="16">
        <f>M39-N39</f>
        <v>14000</v>
      </c>
      <c r="P39" s="11" t="s">
        <v>42</v>
      </c>
      <c r="Q39" s="11" t="s">
        <v>43</v>
      </c>
      <c r="R39" s="11" t="s">
        <v>44</v>
      </c>
      <c r="S39" s="9" t="s">
        <v>2048</v>
      </c>
      <c r="T39" s="9" t="s">
        <v>44</v>
      </c>
    </row>
    <row r="40" spans="1:20">
      <c r="A40" s="10">
        <v>33</v>
      </c>
      <c r="B40" s="10" t="s">
        <v>140</v>
      </c>
      <c r="C40" s="10" t="s">
        <v>141</v>
      </c>
      <c r="D40" s="10" t="s">
        <v>33</v>
      </c>
      <c r="E40" s="10" t="s">
        <v>34</v>
      </c>
      <c r="F40" s="10" t="s">
        <v>35</v>
      </c>
      <c r="G40" s="8" t="s">
        <v>60</v>
      </c>
      <c r="H40" s="12">
        <v>1</v>
      </c>
      <c r="I40" s="12">
        <v>1</v>
      </c>
      <c r="J40" s="15">
        <v>18000.0</v>
      </c>
      <c r="K40" s="15"/>
      <c r="L40" s="17">
        <f>IF(J40&gt;0, K40/J40, 0)</f>
        <v>0</v>
      </c>
      <c r="M40" s="15">
        <v>18000.0</v>
      </c>
      <c r="N40" s="15"/>
      <c r="O40" s="15">
        <f>M40-N40</f>
        <v>18000</v>
      </c>
      <c r="P40" s="10" t="s">
        <v>42</v>
      </c>
      <c r="Q40" s="10" t="s">
        <v>43</v>
      </c>
      <c r="R40" s="10" t="s">
        <v>44</v>
      </c>
      <c r="S40" s="8" t="s">
        <v>2049</v>
      </c>
      <c r="T40" s="8" t="s">
        <v>44</v>
      </c>
    </row>
    <row r="41" spans="1:20">
      <c r="A41" s="11">
        <v>34</v>
      </c>
      <c r="B41" s="11" t="s">
        <v>143</v>
      </c>
      <c r="C41" s="11" t="s">
        <v>141</v>
      </c>
      <c r="D41" s="11" t="s">
        <v>33</v>
      </c>
      <c r="E41" s="11" t="s">
        <v>34</v>
      </c>
      <c r="F41" s="11" t="s">
        <v>144</v>
      </c>
      <c r="G41" s="9" t="s">
        <v>60</v>
      </c>
      <c r="H41" s="13">
        <v>1</v>
      </c>
      <c r="I41" s="13">
        <v>2</v>
      </c>
      <c r="J41" s="16">
        <v>20000.0</v>
      </c>
      <c r="K41" s="16"/>
      <c r="L41" s="18">
        <f>IF(J41&gt;0, K41/J41, 0)</f>
        <v>0</v>
      </c>
      <c r="M41" s="16">
        <v>20000.0</v>
      </c>
      <c r="N41" s="16"/>
      <c r="O41" s="16">
        <f>M41-N41</f>
        <v>20000</v>
      </c>
      <c r="P41" s="11" t="s">
        <v>42</v>
      </c>
      <c r="Q41" s="11" t="s">
        <v>43</v>
      </c>
      <c r="R41" s="11" t="s">
        <v>44</v>
      </c>
      <c r="S41" s="9" t="s">
        <v>2050</v>
      </c>
      <c r="T41" s="9" t="s">
        <v>146</v>
      </c>
    </row>
    <row r="42" spans="1:20">
      <c r="A42" s="10">
        <v>35</v>
      </c>
      <c r="B42" s="10" t="s">
        <v>147</v>
      </c>
      <c r="C42" s="10" t="s">
        <v>141</v>
      </c>
      <c r="D42" s="10" t="s">
        <v>33</v>
      </c>
      <c r="E42" s="10" t="s">
        <v>34</v>
      </c>
      <c r="F42" s="10" t="s">
        <v>144</v>
      </c>
      <c r="G42" s="8" t="s">
        <v>60</v>
      </c>
      <c r="H42" s="12">
        <v>1</v>
      </c>
      <c r="I42" s="12">
        <v>1</v>
      </c>
      <c r="J42" s="15">
        <v>10000.0</v>
      </c>
      <c r="K42" s="15"/>
      <c r="L42" s="17">
        <f>IF(J42&gt;0, K42/J42, 0)</f>
        <v>0</v>
      </c>
      <c r="M42" s="15">
        <v>10000.0</v>
      </c>
      <c r="N42" s="15"/>
      <c r="O42" s="15">
        <f>M42-N42</f>
        <v>10000</v>
      </c>
      <c r="P42" s="10" t="s">
        <v>42</v>
      </c>
      <c r="Q42" s="10" t="s">
        <v>43</v>
      </c>
      <c r="R42" s="10" t="s">
        <v>44</v>
      </c>
      <c r="S42" s="8" t="s">
        <v>2028</v>
      </c>
      <c r="T42" s="8" t="s">
        <v>146</v>
      </c>
    </row>
    <row r="43" spans="1:20">
      <c r="A43" s="11">
        <v>36</v>
      </c>
      <c r="B43" s="11" t="s">
        <v>148</v>
      </c>
      <c r="C43" s="11" t="s">
        <v>141</v>
      </c>
      <c r="D43" s="11" t="s">
        <v>33</v>
      </c>
      <c r="E43" s="11" t="s">
        <v>34</v>
      </c>
      <c r="F43" s="11" t="s">
        <v>35</v>
      </c>
      <c r="G43" s="9" t="s">
        <v>60</v>
      </c>
      <c r="H43" s="13">
        <v>1</v>
      </c>
      <c r="I43" s="13">
        <v>1</v>
      </c>
      <c r="J43" s="16">
        <v>7000.0</v>
      </c>
      <c r="K43" s="16"/>
      <c r="L43" s="18">
        <f>IF(J43&gt;0, K43/J43, 0)</f>
        <v>0</v>
      </c>
      <c r="M43" s="16">
        <v>7000.0</v>
      </c>
      <c r="N43" s="16"/>
      <c r="O43" s="16">
        <f>M43-N43</f>
        <v>7000</v>
      </c>
      <c r="P43" s="11" t="s">
        <v>42</v>
      </c>
      <c r="Q43" s="11" t="s">
        <v>43</v>
      </c>
      <c r="R43" s="11" t="s">
        <v>44</v>
      </c>
      <c r="S43" s="9" t="s">
        <v>2051</v>
      </c>
      <c r="T43" s="9" t="s">
        <v>44</v>
      </c>
    </row>
    <row r="44" spans="1:20">
      <c r="A44" s="10">
        <v>37</v>
      </c>
      <c r="B44" s="10" t="s">
        <v>150</v>
      </c>
      <c r="C44" s="10" t="s">
        <v>141</v>
      </c>
      <c r="D44" s="10" t="s">
        <v>33</v>
      </c>
      <c r="E44" s="10" t="s">
        <v>34</v>
      </c>
      <c r="F44" s="10" t="s">
        <v>144</v>
      </c>
      <c r="G44" s="8" t="s">
        <v>60</v>
      </c>
      <c r="H44" s="12">
        <v>1</v>
      </c>
      <c r="I44" s="12">
        <v>1</v>
      </c>
      <c r="J44" s="15">
        <v>15000.0</v>
      </c>
      <c r="K44" s="15"/>
      <c r="L44" s="17">
        <f>IF(J44&gt;0, K44/J44, 0)</f>
        <v>0</v>
      </c>
      <c r="M44" s="15">
        <v>15000.0</v>
      </c>
      <c r="N44" s="15"/>
      <c r="O44" s="15">
        <f>M44-N44</f>
        <v>15000</v>
      </c>
      <c r="P44" s="10" t="s">
        <v>42</v>
      </c>
      <c r="Q44" s="10" t="s">
        <v>43</v>
      </c>
      <c r="R44" s="10" t="s">
        <v>44</v>
      </c>
      <c r="S44" s="8" t="s">
        <v>2052</v>
      </c>
      <c r="T44" s="8" t="s">
        <v>146</v>
      </c>
    </row>
    <row r="45" spans="1:20">
      <c r="A45" s="11">
        <v>38</v>
      </c>
      <c r="B45" s="11" t="s">
        <v>153</v>
      </c>
      <c r="C45" s="11" t="s">
        <v>141</v>
      </c>
      <c r="D45" s="11" t="s">
        <v>33</v>
      </c>
      <c r="E45" s="11" t="s">
        <v>34</v>
      </c>
      <c r="F45" s="11" t="s">
        <v>35</v>
      </c>
      <c r="G45" s="9" t="s">
        <v>60</v>
      </c>
      <c r="H45" s="13">
        <v>1</v>
      </c>
      <c r="I45" s="13">
        <v>1</v>
      </c>
      <c r="J45" s="16">
        <v>7000.0</v>
      </c>
      <c r="K45" s="16"/>
      <c r="L45" s="18">
        <f>IF(J45&gt;0, K45/J45, 0)</f>
        <v>0</v>
      </c>
      <c r="M45" s="16">
        <v>7000.0</v>
      </c>
      <c r="N45" s="16"/>
      <c r="O45" s="16">
        <f>M45-N45</f>
        <v>7000</v>
      </c>
      <c r="P45" s="11" t="s">
        <v>42</v>
      </c>
      <c r="Q45" s="11" t="s">
        <v>43</v>
      </c>
      <c r="R45" s="11" t="s">
        <v>44</v>
      </c>
      <c r="S45" s="9" t="s">
        <v>2053</v>
      </c>
      <c r="T45" s="9" t="s">
        <v>44</v>
      </c>
    </row>
    <row r="46" spans="1:20">
      <c r="A46" s="10">
        <v>39</v>
      </c>
      <c r="B46" s="10" t="s">
        <v>155</v>
      </c>
      <c r="C46" s="10" t="s">
        <v>141</v>
      </c>
      <c r="D46" s="10" t="s">
        <v>33</v>
      </c>
      <c r="E46" s="10" t="s">
        <v>34</v>
      </c>
      <c r="F46" s="10" t="s">
        <v>144</v>
      </c>
      <c r="G46" s="8" t="s">
        <v>60</v>
      </c>
      <c r="H46" s="12">
        <v>1</v>
      </c>
      <c r="I46" s="12">
        <v>1</v>
      </c>
      <c r="J46" s="15">
        <v>15000.0</v>
      </c>
      <c r="K46" s="15"/>
      <c r="L46" s="17">
        <f>IF(J46&gt;0, K46/J46, 0)</f>
        <v>0</v>
      </c>
      <c r="M46" s="15">
        <v>15000.0</v>
      </c>
      <c r="N46" s="15"/>
      <c r="O46" s="15">
        <f>M46-N46</f>
        <v>15000</v>
      </c>
      <c r="P46" s="10" t="s">
        <v>42</v>
      </c>
      <c r="Q46" s="10" t="s">
        <v>43</v>
      </c>
      <c r="R46" s="10" t="s">
        <v>44</v>
      </c>
      <c r="S46" s="8" t="s">
        <v>2054</v>
      </c>
      <c r="T46" s="8" t="s">
        <v>146</v>
      </c>
    </row>
    <row r="47" spans="1:20">
      <c r="A47" s="11">
        <v>40</v>
      </c>
      <c r="B47" s="11" t="s">
        <v>158</v>
      </c>
      <c r="C47" s="11" t="s">
        <v>141</v>
      </c>
      <c r="D47" s="11" t="s">
        <v>33</v>
      </c>
      <c r="E47" s="11" t="s">
        <v>34</v>
      </c>
      <c r="F47" s="11" t="s">
        <v>35</v>
      </c>
      <c r="G47" s="9" t="s">
        <v>60</v>
      </c>
      <c r="H47" s="13">
        <v>1</v>
      </c>
      <c r="I47" s="13">
        <v>1</v>
      </c>
      <c r="J47" s="16">
        <v>9000.0</v>
      </c>
      <c r="K47" s="16"/>
      <c r="L47" s="18">
        <f>IF(J47&gt;0, K47/J47, 0)</f>
        <v>0</v>
      </c>
      <c r="M47" s="16">
        <v>9000.0</v>
      </c>
      <c r="N47" s="16"/>
      <c r="O47" s="16">
        <f>M47-N47</f>
        <v>9000</v>
      </c>
      <c r="P47" s="11" t="s">
        <v>42</v>
      </c>
      <c r="Q47" s="11" t="s">
        <v>43</v>
      </c>
      <c r="R47" s="11" t="s">
        <v>44</v>
      </c>
      <c r="S47" s="9" t="s">
        <v>2055</v>
      </c>
      <c r="T47" s="9" t="s">
        <v>44</v>
      </c>
    </row>
    <row r="48" spans="1:20">
      <c r="A48" s="10">
        <v>41</v>
      </c>
      <c r="B48" s="10" t="s">
        <v>160</v>
      </c>
      <c r="C48" s="10" t="s">
        <v>141</v>
      </c>
      <c r="D48" s="10" t="s">
        <v>33</v>
      </c>
      <c r="E48" s="10" t="s">
        <v>34</v>
      </c>
      <c r="F48" s="10" t="s">
        <v>144</v>
      </c>
      <c r="G48" s="8" t="s">
        <v>60</v>
      </c>
      <c r="H48" s="12">
        <v>1</v>
      </c>
      <c r="I48" s="12">
        <v>1</v>
      </c>
      <c r="J48" s="15">
        <v>5000.0</v>
      </c>
      <c r="K48" s="15"/>
      <c r="L48" s="17">
        <f>IF(J48&gt;0, K48/J48, 0)</f>
        <v>0</v>
      </c>
      <c r="M48" s="15">
        <v>5000.0</v>
      </c>
      <c r="N48" s="15"/>
      <c r="O48" s="15">
        <f>M48-N48</f>
        <v>5000</v>
      </c>
      <c r="P48" s="10" t="s">
        <v>42</v>
      </c>
      <c r="Q48" s="10" t="s">
        <v>43</v>
      </c>
      <c r="R48" s="10" t="s">
        <v>44</v>
      </c>
      <c r="S48" s="8" t="s">
        <v>2056</v>
      </c>
      <c r="T48" s="8" t="s">
        <v>146</v>
      </c>
    </row>
    <row r="49" spans="1:20">
      <c r="A49" s="11">
        <v>42</v>
      </c>
      <c r="B49" s="11" t="s">
        <v>164</v>
      </c>
      <c r="C49" s="11" t="s">
        <v>141</v>
      </c>
      <c r="D49" s="11" t="s">
        <v>33</v>
      </c>
      <c r="E49" s="11" t="s">
        <v>34</v>
      </c>
      <c r="F49" s="11" t="s">
        <v>144</v>
      </c>
      <c r="G49" s="9" t="s">
        <v>60</v>
      </c>
      <c r="H49" s="13">
        <v>1</v>
      </c>
      <c r="I49" s="13">
        <v>1</v>
      </c>
      <c r="J49" s="16">
        <v>15000.0</v>
      </c>
      <c r="K49" s="16"/>
      <c r="L49" s="18">
        <f>IF(J49&gt;0, K49/J49, 0)</f>
        <v>0</v>
      </c>
      <c r="M49" s="16">
        <v>15000.0</v>
      </c>
      <c r="N49" s="16"/>
      <c r="O49" s="16">
        <f>M49-N49</f>
        <v>15000</v>
      </c>
      <c r="P49" s="11" t="s">
        <v>42</v>
      </c>
      <c r="Q49" s="11" t="s">
        <v>43</v>
      </c>
      <c r="R49" s="11" t="s">
        <v>44</v>
      </c>
      <c r="S49" s="9" t="s">
        <v>2057</v>
      </c>
      <c r="T49" s="9" t="s">
        <v>146</v>
      </c>
    </row>
    <row r="50" spans="1:20">
      <c r="A50" s="10">
        <v>43</v>
      </c>
      <c r="B50" s="10" t="s">
        <v>167</v>
      </c>
      <c r="C50" s="10" t="s">
        <v>141</v>
      </c>
      <c r="D50" s="10" t="s">
        <v>33</v>
      </c>
      <c r="E50" s="10" t="s">
        <v>34</v>
      </c>
      <c r="F50" s="10" t="s">
        <v>144</v>
      </c>
      <c r="G50" s="8" t="s">
        <v>60</v>
      </c>
      <c r="H50" s="12">
        <v>1</v>
      </c>
      <c r="I50" s="12">
        <v>1</v>
      </c>
      <c r="J50" s="15">
        <v>12000.0</v>
      </c>
      <c r="K50" s="15"/>
      <c r="L50" s="17">
        <f>IF(J50&gt;0, K50/J50, 0)</f>
        <v>0</v>
      </c>
      <c r="M50" s="15">
        <v>12000.0</v>
      </c>
      <c r="N50" s="15"/>
      <c r="O50" s="15">
        <f>M50-N50</f>
        <v>12000</v>
      </c>
      <c r="P50" s="10" t="s">
        <v>42</v>
      </c>
      <c r="Q50" s="10" t="s">
        <v>43</v>
      </c>
      <c r="R50" s="10" t="s">
        <v>44</v>
      </c>
      <c r="S50" s="8" t="s">
        <v>2058</v>
      </c>
      <c r="T50" s="8" t="s">
        <v>146</v>
      </c>
    </row>
    <row r="51" spans="1:20">
      <c r="A51" s="11">
        <v>44</v>
      </c>
      <c r="B51" s="11" t="s">
        <v>169</v>
      </c>
      <c r="C51" s="11" t="s">
        <v>141</v>
      </c>
      <c r="D51" s="11" t="s">
        <v>33</v>
      </c>
      <c r="E51" s="11" t="s">
        <v>34</v>
      </c>
      <c r="F51" s="11" t="s">
        <v>144</v>
      </c>
      <c r="G51" s="9" t="s">
        <v>60</v>
      </c>
      <c r="H51" s="13">
        <v>1</v>
      </c>
      <c r="I51" s="13">
        <v>1</v>
      </c>
      <c r="J51" s="16">
        <v>12000.0</v>
      </c>
      <c r="K51" s="16"/>
      <c r="L51" s="18">
        <f>IF(J51&gt;0, K51/J51, 0)</f>
        <v>0</v>
      </c>
      <c r="M51" s="16">
        <v>12000.0</v>
      </c>
      <c r="N51" s="16"/>
      <c r="O51" s="16">
        <f>M51-N51</f>
        <v>12000</v>
      </c>
      <c r="P51" s="11" t="s">
        <v>42</v>
      </c>
      <c r="Q51" s="11" t="s">
        <v>43</v>
      </c>
      <c r="R51" s="11" t="s">
        <v>44</v>
      </c>
      <c r="S51" s="9" t="s">
        <v>2059</v>
      </c>
      <c r="T51" s="9" t="s">
        <v>146</v>
      </c>
    </row>
    <row r="52" spans="1:20">
      <c r="A52" s="10">
        <v>45</v>
      </c>
      <c r="B52" s="10" t="s">
        <v>171</v>
      </c>
      <c r="C52" s="10" t="s">
        <v>141</v>
      </c>
      <c r="D52" s="10" t="s">
        <v>33</v>
      </c>
      <c r="E52" s="10" t="s">
        <v>34</v>
      </c>
      <c r="F52" s="10" t="s">
        <v>35</v>
      </c>
      <c r="G52" s="8" t="s">
        <v>60</v>
      </c>
      <c r="H52" s="12">
        <v>1</v>
      </c>
      <c r="I52" s="12">
        <v>1</v>
      </c>
      <c r="J52" s="15">
        <v>15000.0</v>
      </c>
      <c r="K52" s="15"/>
      <c r="L52" s="17">
        <f>IF(J52&gt;0, K52/J52, 0)</f>
        <v>0</v>
      </c>
      <c r="M52" s="15">
        <v>15000.0</v>
      </c>
      <c r="N52" s="15"/>
      <c r="O52" s="15">
        <f>M52-N52</f>
        <v>15000</v>
      </c>
      <c r="P52" s="10" t="s">
        <v>42</v>
      </c>
      <c r="Q52" s="10" t="s">
        <v>43</v>
      </c>
      <c r="R52" s="10" t="s">
        <v>44</v>
      </c>
      <c r="S52" s="8" t="s">
        <v>2060</v>
      </c>
      <c r="T52" s="8" t="s">
        <v>44</v>
      </c>
    </row>
    <row r="53" spans="1:20">
      <c r="A53" s="11">
        <v>46</v>
      </c>
      <c r="B53" s="11" t="s">
        <v>173</v>
      </c>
      <c r="C53" s="11" t="s">
        <v>141</v>
      </c>
      <c r="D53" s="11" t="s">
        <v>33</v>
      </c>
      <c r="E53" s="11" t="s">
        <v>34</v>
      </c>
      <c r="F53" s="11" t="s">
        <v>144</v>
      </c>
      <c r="G53" s="9" t="s">
        <v>60</v>
      </c>
      <c r="H53" s="13">
        <v>1</v>
      </c>
      <c r="I53" s="13">
        <v>1</v>
      </c>
      <c r="J53" s="16">
        <v>5000.0</v>
      </c>
      <c r="K53" s="16"/>
      <c r="L53" s="18">
        <f>IF(J53&gt;0, K53/J53, 0)</f>
        <v>0</v>
      </c>
      <c r="M53" s="16">
        <v>5000.0</v>
      </c>
      <c r="N53" s="16"/>
      <c r="O53" s="16">
        <f>M53-N53</f>
        <v>5000</v>
      </c>
      <c r="P53" s="11" t="s">
        <v>42</v>
      </c>
      <c r="Q53" s="11" t="s">
        <v>43</v>
      </c>
      <c r="R53" s="11" t="s">
        <v>44</v>
      </c>
      <c r="S53" s="9" t="s">
        <v>2056</v>
      </c>
      <c r="T53" s="9" t="s">
        <v>146</v>
      </c>
    </row>
    <row r="54" spans="1:20">
      <c r="A54" s="10">
        <v>47</v>
      </c>
      <c r="B54" s="10" t="s">
        <v>174</v>
      </c>
      <c r="C54" s="10" t="s">
        <v>141</v>
      </c>
      <c r="D54" s="10" t="s">
        <v>33</v>
      </c>
      <c r="E54" s="10" t="s">
        <v>34</v>
      </c>
      <c r="F54" s="10" t="s">
        <v>144</v>
      </c>
      <c r="G54" s="8" t="s">
        <v>60</v>
      </c>
      <c r="H54" s="12">
        <v>1</v>
      </c>
      <c r="I54" s="12">
        <v>1</v>
      </c>
      <c r="J54" s="15">
        <v>15000.0</v>
      </c>
      <c r="K54" s="15"/>
      <c r="L54" s="17">
        <f>IF(J54&gt;0, K54/J54, 0)</f>
        <v>0</v>
      </c>
      <c r="M54" s="15">
        <v>15000.0</v>
      </c>
      <c r="N54" s="15"/>
      <c r="O54" s="15">
        <f>M54-N54</f>
        <v>15000</v>
      </c>
      <c r="P54" s="10" t="s">
        <v>42</v>
      </c>
      <c r="Q54" s="10" t="s">
        <v>43</v>
      </c>
      <c r="R54" s="10" t="s">
        <v>44</v>
      </c>
      <c r="S54" s="8" t="s">
        <v>2061</v>
      </c>
      <c r="T54" s="8" t="s">
        <v>146</v>
      </c>
    </row>
    <row r="55" spans="1:20">
      <c r="A55" s="11">
        <v>48</v>
      </c>
      <c r="B55" s="11" t="s">
        <v>177</v>
      </c>
      <c r="C55" s="11" t="s">
        <v>141</v>
      </c>
      <c r="D55" s="11" t="s">
        <v>33</v>
      </c>
      <c r="E55" s="11" t="s">
        <v>34</v>
      </c>
      <c r="F55" s="11" t="s">
        <v>35</v>
      </c>
      <c r="G55" s="9" t="s">
        <v>60</v>
      </c>
      <c r="H55" s="13">
        <v>1</v>
      </c>
      <c r="I55" s="13">
        <v>1</v>
      </c>
      <c r="J55" s="16">
        <v>8000.0</v>
      </c>
      <c r="K55" s="16"/>
      <c r="L55" s="18">
        <f>IF(J55&gt;0, K55/J55, 0)</f>
        <v>0</v>
      </c>
      <c r="M55" s="16">
        <v>8000.0</v>
      </c>
      <c r="N55" s="16"/>
      <c r="O55" s="16">
        <f>M55-N55</f>
        <v>8000</v>
      </c>
      <c r="P55" s="11" t="s">
        <v>42</v>
      </c>
      <c r="Q55" s="11" t="s">
        <v>43</v>
      </c>
      <c r="R55" s="11" t="s">
        <v>44</v>
      </c>
      <c r="S55" s="9" t="s">
        <v>2062</v>
      </c>
      <c r="T55" s="9" t="s">
        <v>44</v>
      </c>
    </row>
    <row r="56" spans="1:20">
      <c r="A56" s="10">
        <v>49</v>
      </c>
      <c r="B56" s="10" t="s">
        <v>179</v>
      </c>
      <c r="C56" s="10" t="s">
        <v>141</v>
      </c>
      <c r="D56" s="10" t="s">
        <v>33</v>
      </c>
      <c r="E56" s="10" t="s">
        <v>34</v>
      </c>
      <c r="F56" s="10" t="s">
        <v>35</v>
      </c>
      <c r="G56" s="8" t="s">
        <v>60</v>
      </c>
      <c r="H56" s="12">
        <v>1</v>
      </c>
      <c r="I56" s="12">
        <v>2</v>
      </c>
      <c r="J56" s="15">
        <v>14000.0</v>
      </c>
      <c r="K56" s="15"/>
      <c r="L56" s="17">
        <f>IF(J56&gt;0, K56/J56, 0)</f>
        <v>0</v>
      </c>
      <c r="M56" s="15">
        <v>14000.0</v>
      </c>
      <c r="N56" s="15"/>
      <c r="O56" s="15">
        <f>M56-N56</f>
        <v>14000</v>
      </c>
      <c r="P56" s="10" t="s">
        <v>42</v>
      </c>
      <c r="Q56" s="10" t="s">
        <v>43</v>
      </c>
      <c r="R56" s="10" t="s">
        <v>44</v>
      </c>
      <c r="S56" s="8" t="s">
        <v>2063</v>
      </c>
      <c r="T56" s="8" t="s">
        <v>44</v>
      </c>
    </row>
    <row r="57" spans="1:20">
      <c r="A57" s="11">
        <v>50</v>
      </c>
      <c r="B57" s="11" t="s">
        <v>181</v>
      </c>
      <c r="C57" s="11" t="s">
        <v>141</v>
      </c>
      <c r="D57" s="11" t="s">
        <v>33</v>
      </c>
      <c r="E57" s="11" t="s">
        <v>34</v>
      </c>
      <c r="F57" s="11" t="s">
        <v>144</v>
      </c>
      <c r="G57" s="9" t="s">
        <v>60</v>
      </c>
      <c r="H57" s="13">
        <v>1</v>
      </c>
      <c r="I57" s="13">
        <v>1</v>
      </c>
      <c r="J57" s="16">
        <v>18000.0</v>
      </c>
      <c r="K57" s="16"/>
      <c r="L57" s="18">
        <f>IF(J57&gt;0, K57/J57, 0)</f>
        <v>0</v>
      </c>
      <c r="M57" s="16">
        <v>18000.0</v>
      </c>
      <c r="N57" s="16"/>
      <c r="O57" s="16">
        <f>M57-N57</f>
        <v>18000</v>
      </c>
      <c r="P57" s="11" t="s">
        <v>42</v>
      </c>
      <c r="Q57" s="11" t="s">
        <v>43</v>
      </c>
      <c r="R57" s="11" t="s">
        <v>44</v>
      </c>
      <c r="S57" s="9" t="s">
        <v>2064</v>
      </c>
      <c r="T57" s="9" t="s">
        <v>146</v>
      </c>
    </row>
    <row r="58" spans="1:20">
      <c r="A58" s="10">
        <v>51</v>
      </c>
      <c r="B58" s="10" t="s">
        <v>183</v>
      </c>
      <c r="C58" s="10" t="s">
        <v>141</v>
      </c>
      <c r="D58" s="10" t="s">
        <v>33</v>
      </c>
      <c r="E58" s="10" t="s">
        <v>34</v>
      </c>
      <c r="F58" s="10" t="s">
        <v>35</v>
      </c>
      <c r="G58" s="8" t="s">
        <v>60</v>
      </c>
      <c r="H58" s="12">
        <v>1</v>
      </c>
      <c r="I58" s="12">
        <v>1</v>
      </c>
      <c r="J58" s="15">
        <v>18000.0</v>
      </c>
      <c r="K58" s="15"/>
      <c r="L58" s="17">
        <f>IF(J58&gt;0, K58/J58, 0)</f>
        <v>0</v>
      </c>
      <c r="M58" s="15">
        <v>18000.0</v>
      </c>
      <c r="N58" s="15"/>
      <c r="O58" s="15">
        <f>M58-N58</f>
        <v>18000</v>
      </c>
      <c r="P58" s="10" t="s">
        <v>42</v>
      </c>
      <c r="Q58" s="10" t="s">
        <v>43</v>
      </c>
      <c r="R58" s="10" t="s">
        <v>44</v>
      </c>
      <c r="S58" s="8" t="s">
        <v>2065</v>
      </c>
      <c r="T58" s="8" t="s">
        <v>44</v>
      </c>
    </row>
    <row r="59" spans="1:20">
      <c r="A59" s="11">
        <v>52</v>
      </c>
      <c r="B59" s="11" t="s">
        <v>185</v>
      </c>
      <c r="C59" s="11" t="s">
        <v>141</v>
      </c>
      <c r="D59" s="11" t="s">
        <v>33</v>
      </c>
      <c r="E59" s="11" t="s">
        <v>34</v>
      </c>
      <c r="F59" s="11" t="s">
        <v>35</v>
      </c>
      <c r="G59" s="9" t="s">
        <v>60</v>
      </c>
      <c r="H59" s="13">
        <v>1</v>
      </c>
      <c r="I59" s="13">
        <v>1</v>
      </c>
      <c r="J59" s="16">
        <v>18000.0</v>
      </c>
      <c r="K59" s="16"/>
      <c r="L59" s="18">
        <f>IF(J59&gt;0, K59/J59, 0)</f>
        <v>0</v>
      </c>
      <c r="M59" s="16">
        <v>18000.0</v>
      </c>
      <c r="N59" s="16"/>
      <c r="O59" s="16">
        <f>M59-N59</f>
        <v>18000</v>
      </c>
      <c r="P59" s="11" t="s">
        <v>42</v>
      </c>
      <c r="Q59" s="11" t="s">
        <v>43</v>
      </c>
      <c r="R59" s="11" t="s">
        <v>44</v>
      </c>
      <c r="S59" s="9" t="s">
        <v>2066</v>
      </c>
      <c r="T59" s="9" t="s">
        <v>44</v>
      </c>
    </row>
    <row r="60" spans="1:20">
      <c r="A60" s="10">
        <v>53</v>
      </c>
      <c r="B60" s="10" t="s">
        <v>187</v>
      </c>
      <c r="C60" s="10" t="s">
        <v>141</v>
      </c>
      <c r="D60" s="10" t="s">
        <v>33</v>
      </c>
      <c r="E60" s="10" t="s">
        <v>34</v>
      </c>
      <c r="F60" s="10" t="s">
        <v>35</v>
      </c>
      <c r="G60" s="8" t="s">
        <v>60</v>
      </c>
      <c r="H60" s="12">
        <v>1</v>
      </c>
      <c r="I60" s="12">
        <v>1</v>
      </c>
      <c r="J60" s="15">
        <v>10000.0</v>
      </c>
      <c r="K60" s="15"/>
      <c r="L60" s="17">
        <f>IF(J60&gt;0, K60/J60, 0)</f>
        <v>0</v>
      </c>
      <c r="M60" s="15">
        <v>10000.0</v>
      </c>
      <c r="N60" s="15"/>
      <c r="O60" s="15">
        <f>M60-N60</f>
        <v>10000</v>
      </c>
      <c r="P60" s="10" t="s">
        <v>42</v>
      </c>
      <c r="Q60" s="10" t="s">
        <v>43</v>
      </c>
      <c r="R60" s="10" t="s">
        <v>44</v>
      </c>
      <c r="S60" s="8" t="s">
        <v>2067</v>
      </c>
      <c r="T60" s="8" t="s">
        <v>44</v>
      </c>
    </row>
    <row r="61" spans="1:20">
      <c r="A61" s="11">
        <v>54</v>
      </c>
      <c r="B61" s="11" t="s">
        <v>189</v>
      </c>
      <c r="C61" s="11" t="s">
        <v>141</v>
      </c>
      <c r="D61" s="11" t="s">
        <v>33</v>
      </c>
      <c r="E61" s="11" t="s">
        <v>34</v>
      </c>
      <c r="F61" s="11" t="s">
        <v>35</v>
      </c>
      <c r="G61" s="9" t="s">
        <v>60</v>
      </c>
      <c r="H61" s="13">
        <v>1</v>
      </c>
      <c r="I61" s="13">
        <v>1</v>
      </c>
      <c r="J61" s="16">
        <v>10000.0</v>
      </c>
      <c r="K61" s="16"/>
      <c r="L61" s="18">
        <f>IF(J61&gt;0, K61/J61, 0)</f>
        <v>0</v>
      </c>
      <c r="M61" s="16">
        <v>10000.0</v>
      </c>
      <c r="N61" s="16"/>
      <c r="O61" s="16">
        <f>M61-N61</f>
        <v>10000</v>
      </c>
      <c r="P61" s="11" t="s">
        <v>42</v>
      </c>
      <c r="Q61" s="11" t="s">
        <v>43</v>
      </c>
      <c r="R61" s="11" t="s">
        <v>44</v>
      </c>
      <c r="S61" s="9" t="s">
        <v>2027</v>
      </c>
      <c r="T61" s="9" t="s">
        <v>44</v>
      </c>
    </row>
    <row r="62" spans="1:20">
      <c r="A62" s="10">
        <v>55</v>
      </c>
      <c r="B62" s="10" t="s">
        <v>191</v>
      </c>
      <c r="C62" s="10" t="s">
        <v>141</v>
      </c>
      <c r="D62" s="10" t="s">
        <v>33</v>
      </c>
      <c r="E62" s="10" t="s">
        <v>34</v>
      </c>
      <c r="F62" s="10" t="s">
        <v>144</v>
      </c>
      <c r="G62" s="8" t="s">
        <v>60</v>
      </c>
      <c r="H62" s="12">
        <v>1</v>
      </c>
      <c r="I62" s="12">
        <v>1</v>
      </c>
      <c r="J62" s="15">
        <v>18000.0</v>
      </c>
      <c r="K62" s="15"/>
      <c r="L62" s="17">
        <f>IF(J62&gt;0, K62/J62, 0)</f>
        <v>0</v>
      </c>
      <c r="M62" s="15">
        <v>18000.0</v>
      </c>
      <c r="N62" s="15"/>
      <c r="O62" s="15">
        <f>M62-N62</f>
        <v>18000</v>
      </c>
      <c r="P62" s="10" t="s">
        <v>42</v>
      </c>
      <c r="Q62" s="10" t="s">
        <v>43</v>
      </c>
      <c r="R62" s="10" t="s">
        <v>44</v>
      </c>
      <c r="S62" s="8" t="s">
        <v>2064</v>
      </c>
      <c r="T62" s="8" t="s">
        <v>146</v>
      </c>
    </row>
    <row r="63" spans="1:20">
      <c r="A63" s="11">
        <v>56</v>
      </c>
      <c r="B63" s="11" t="s">
        <v>192</v>
      </c>
      <c r="C63" s="11" t="s">
        <v>141</v>
      </c>
      <c r="D63" s="11" t="s">
        <v>33</v>
      </c>
      <c r="E63" s="11" t="s">
        <v>34</v>
      </c>
      <c r="F63" s="11" t="s">
        <v>144</v>
      </c>
      <c r="G63" s="9" t="s">
        <v>60</v>
      </c>
      <c r="H63" s="13">
        <v>1</v>
      </c>
      <c r="I63" s="13">
        <v>1</v>
      </c>
      <c r="J63" s="16">
        <v>18000.0</v>
      </c>
      <c r="K63" s="16"/>
      <c r="L63" s="18">
        <f>IF(J63&gt;0, K63/J63, 0)</f>
        <v>0</v>
      </c>
      <c r="M63" s="16">
        <v>18000.0</v>
      </c>
      <c r="N63" s="16"/>
      <c r="O63" s="16">
        <f>M63-N63</f>
        <v>18000</v>
      </c>
      <c r="P63" s="11" t="s">
        <v>42</v>
      </c>
      <c r="Q63" s="11" t="s">
        <v>43</v>
      </c>
      <c r="R63" s="11" t="s">
        <v>44</v>
      </c>
      <c r="S63" s="9" t="s">
        <v>2026</v>
      </c>
      <c r="T63" s="9" t="s">
        <v>146</v>
      </c>
    </row>
    <row r="64" spans="1:20">
      <c r="A64" s="10">
        <v>57</v>
      </c>
      <c r="B64" s="10" t="s">
        <v>193</v>
      </c>
      <c r="C64" s="10" t="s">
        <v>141</v>
      </c>
      <c r="D64" s="10" t="s">
        <v>33</v>
      </c>
      <c r="E64" s="10" t="s">
        <v>34</v>
      </c>
      <c r="F64" s="10" t="s">
        <v>144</v>
      </c>
      <c r="G64" s="8" t="s">
        <v>60</v>
      </c>
      <c r="H64" s="12">
        <v>1</v>
      </c>
      <c r="I64" s="12">
        <v>1</v>
      </c>
      <c r="J64" s="15">
        <v>5000.0</v>
      </c>
      <c r="K64" s="15"/>
      <c r="L64" s="17">
        <f>IF(J64&gt;0, K64/J64, 0)</f>
        <v>0</v>
      </c>
      <c r="M64" s="15">
        <v>5000.0</v>
      </c>
      <c r="N64" s="15"/>
      <c r="O64" s="15">
        <f>M64-N64</f>
        <v>5000</v>
      </c>
      <c r="P64" s="10" t="s">
        <v>42</v>
      </c>
      <c r="Q64" s="10" t="s">
        <v>43</v>
      </c>
      <c r="R64" s="10" t="s">
        <v>44</v>
      </c>
      <c r="S64" s="8" t="s">
        <v>2056</v>
      </c>
      <c r="T64" s="8" t="s">
        <v>146</v>
      </c>
    </row>
    <row r="65" spans="1:20">
      <c r="A65" s="11">
        <v>58</v>
      </c>
      <c r="B65" s="11" t="s">
        <v>195</v>
      </c>
      <c r="C65" s="11" t="s">
        <v>141</v>
      </c>
      <c r="D65" s="11" t="s">
        <v>33</v>
      </c>
      <c r="E65" s="11" t="s">
        <v>34</v>
      </c>
      <c r="F65" s="11" t="s">
        <v>144</v>
      </c>
      <c r="G65" s="9" t="s">
        <v>60</v>
      </c>
      <c r="H65" s="13">
        <v>1</v>
      </c>
      <c r="I65" s="13">
        <v>1</v>
      </c>
      <c r="J65" s="16">
        <v>12000.0</v>
      </c>
      <c r="K65" s="16"/>
      <c r="L65" s="18">
        <f>IF(J65&gt;0, K65/J65, 0)</f>
        <v>0</v>
      </c>
      <c r="M65" s="16">
        <v>12000.0</v>
      </c>
      <c r="N65" s="16"/>
      <c r="O65" s="16">
        <f>M65-N65</f>
        <v>12000</v>
      </c>
      <c r="P65" s="11" t="s">
        <v>42</v>
      </c>
      <c r="Q65" s="11" t="s">
        <v>43</v>
      </c>
      <c r="R65" s="11" t="s">
        <v>44</v>
      </c>
      <c r="S65" s="9" t="s">
        <v>2052</v>
      </c>
      <c r="T65" s="9" t="s">
        <v>146</v>
      </c>
    </row>
    <row r="66" spans="1:20">
      <c r="A66" s="10">
        <v>59</v>
      </c>
      <c r="B66" s="10" t="s">
        <v>196</v>
      </c>
      <c r="C66" s="10" t="s">
        <v>141</v>
      </c>
      <c r="D66" s="10" t="s">
        <v>33</v>
      </c>
      <c r="E66" s="10" t="s">
        <v>34</v>
      </c>
      <c r="F66" s="10" t="s">
        <v>144</v>
      </c>
      <c r="G66" s="8" t="s">
        <v>60</v>
      </c>
      <c r="H66" s="12">
        <v>1</v>
      </c>
      <c r="I66" s="12">
        <v>1</v>
      </c>
      <c r="J66" s="15">
        <v>10000.0</v>
      </c>
      <c r="K66" s="15"/>
      <c r="L66" s="17">
        <f>IF(J66&gt;0, K66/J66, 0)</f>
        <v>0</v>
      </c>
      <c r="M66" s="15">
        <v>10000.0</v>
      </c>
      <c r="N66" s="15"/>
      <c r="O66" s="15">
        <f>M66-N66</f>
        <v>10000</v>
      </c>
      <c r="P66" s="10" t="s">
        <v>42</v>
      </c>
      <c r="Q66" s="10" t="s">
        <v>43</v>
      </c>
      <c r="R66" s="10" t="s">
        <v>44</v>
      </c>
      <c r="S66" s="8" t="s">
        <v>2068</v>
      </c>
      <c r="T66" s="8" t="s">
        <v>146</v>
      </c>
    </row>
    <row r="67" spans="1:20">
      <c r="A67" s="11">
        <v>60</v>
      </c>
      <c r="B67" s="11" t="s">
        <v>197</v>
      </c>
      <c r="C67" s="11" t="s">
        <v>141</v>
      </c>
      <c r="D67" s="11" t="s">
        <v>33</v>
      </c>
      <c r="E67" s="11" t="s">
        <v>34</v>
      </c>
      <c r="F67" s="11" t="s">
        <v>144</v>
      </c>
      <c r="G67" s="9" t="s">
        <v>60</v>
      </c>
      <c r="H67" s="13">
        <v>1</v>
      </c>
      <c r="I67" s="13">
        <v>2</v>
      </c>
      <c r="J67" s="16">
        <v>30000.0</v>
      </c>
      <c r="K67" s="16"/>
      <c r="L67" s="18">
        <f>IF(J67&gt;0, K67/J67, 0)</f>
        <v>0</v>
      </c>
      <c r="M67" s="16">
        <v>30000.0</v>
      </c>
      <c r="N67" s="16"/>
      <c r="O67" s="16">
        <f>M67-N67</f>
        <v>30000</v>
      </c>
      <c r="P67" s="11" t="s">
        <v>42</v>
      </c>
      <c r="Q67" s="11" t="s">
        <v>43</v>
      </c>
      <c r="R67" s="11" t="s">
        <v>44</v>
      </c>
      <c r="S67" s="9" t="s">
        <v>2069</v>
      </c>
      <c r="T67" s="9" t="s">
        <v>146</v>
      </c>
    </row>
    <row r="68" spans="1:20">
      <c r="A68" s="10">
        <v>61</v>
      </c>
      <c r="B68" s="10" t="s">
        <v>199</v>
      </c>
      <c r="C68" s="10" t="s">
        <v>200</v>
      </c>
      <c r="D68" s="10" t="s">
        <v>201</v>
      </c>
      <c r="E68" s="10" t="s">
        <v>34</v>
      </c>
      <c r="F68" s="10" t="s">
        <v>35</v>
      </c>
      <c r="G68" s="8" t="s">
        <v>60</v>
      </c>
      <c r="H68" s="12">
        <v>1</v>
      </c>
      <c r="I68" s="12">
        <v>1</v>
      </c>
      <c r="J68" s="15">
        <v>8500.0</v>
      </c>
      <c r="K68" s="15"/>
      <c r="L68" s="17">
        <f>IF(J68&gt;0, K68/J68, 0)</f>
        <v>0</v>
      </c>
      <c r="M68" s="15">
        <v>8500.0</v>
      </c>
      <c r="N68" s="15"/>
      <c r="O68" s="15">
        <f>M68-N68</f>
        <v>8500</v>
      </c>
      <c r="P68" s="10" t="s">
        <v>42</v>
      </c>
      <c r="Q68" s="10" t="s">
        <v>43</v>
      </c>
      <c r="R68" s="10" t="s">
        <v>44</v>
      </c>
      <c r="S68" s="8" t="s">
        <v>2045</v>
      </c>
      <c r="T68" s="8" t="s">
        <v>44</v>
      </c>
    </row>
    <row r="69" spans="1:20">
      <c r="A69" s="11">
        <v>62</v>
      </c>
      <c r="B69" s="11" t="s">
        <v>202</v>
      </c>
      <c r="C69" s="11" t="s">
        <v>200</v>
      </c>
      <c r="D69" s="11" t="s">
        <v>201</v>
      </c>
      <c r="E69" s="11" t="s">
        <v>34</v>
      </c>
      <c r="F69" s="11" t="s">
        <v>35</v>
      </c>
      <c r="G69" s="9" t="s">
        <v>60</v>
      </c>
      <c r="H69" s="13">
        <v>1</v>
      </c>
      <c r="I69" s="13">
        <v>1</v>
      </c>
      <c r="J69" s="16">
        <v>8500.0</v>
      </c>
      <c r="K69" s="16"/>
      <c r="L69" s="18">
        <f>IF(J69&gt;0, K69/J69, 0)</f>
        <v>0</v>
      </c>
      <c r="M69" s="16">
        <v>8500.0</v>
      </c>
      <c r="N69" s="16"/>
      <c r="O69" s="16">
        <f>M69-N69</f>
        <v>8500</v>
      </c>
      <c r="P69" s="11" t="s">
        <v>42</v>
      </c>
      <c r="Q69" s="11" t="s">
        <v>43</v>
      </c>
      <c r="R69" s="11" t="s">
        <v>44</v>
      </c>
      <c r="S69" s="9" t="s">
        <v>2024</v>
      </c>
      <c r="T69" s="9" t="s">
        <v>44</v>
      </c>
    </row>
    <row r="70" spans="1:20">
      <c r="A70" s="10">
        <v>63</v>
      </c>
      <c r="B70" s="10" t="s">
        <v>203</v>
      </c>
      <c r="C70" s="10" t="s">
        <v>200</v>
      </c>
      <c r="D70" s="10" t="s">
        <v>201</v>
      </c>
      <c r="E70" s="10" t="s">
        <v>34</v>
      </c>
      <c r="F70" s="10" t="s">
        <v>144</v>
      </c>
      <c r="G70" s="8" t="s">
        <v>60</v>
      </c>
      <c r="H70" s="12">
        <v>1</v>
      </c>
      <c r="I70" s="12">
        <v>1</v>
      </c>
      <c r="J70" s="15">
        <v>5000.0</v>
      </c>
      <c r="K70" s="15"/>
      <c r="L70" s="17">
        <f>IF(J70&gt;0, K70/J70, 0)</f>
        <v>0</v>
      </c>
      <c r="M70" s="15">
        <v>5000.0</v>
      </c>
      <c r="N70" s="15"/>
      <c r="O70" s="15">
        <f>M70-N70</f>
        <v>5000</v>
      </c>
      <c r="P70" s="10" t="s">
        <v>42</v>
      </c>
      <c r="Q70" s="10" t="s">
        <v>43</v>
      </c>
      <c r="R70" s="10" t="s">
        <v>44</v>
      </c>
      <c r="S70" s="8" t="s">
        <v>2056</v>
      </c>
      <c r="T70" s="8" t="s">
        <v>146</v>
      </c>
    </row>
    <row r="71" spans="1:20">
      <c r="A71" s="11">
        <v>64</v>
      </c>
      <c r="B71" s="11" t="s">
        <v>205</v>
      </c>
      <c r="C71" s="11" t="s">
        <v>200</v>
      </c>
      <c r="D71" s="11" t="s">
        <v>201</v>
      </c>
      <c r="E71" s="11" t="s">
        <v>34</v>
      </c>
      <c r="F71" s="11" t="s">
        <v>144</v>
      </c>
      <c r="G71" s="9" t="s">
        <v>60</v>
      </c>
      <c r="H71" s="13">
        <v>1</v>
      </c>
      <c r="I71" s="13">
        <v>1</v>
      </c>
      <c r="J71" s="16">
        <v>18000.0</v>
      </c>
      <c r="K71" s="16"/>
      <c r="L71" s="18">
        <f>IF(J71&gt;0, K71/J71, 0)</f>
        <v>0</v>
      </c>
      <c r="M71" s="16">
        <v>18000.0</v>
      </c>
      <c r="N71" s="16"/>
      <c r="O71" s="16">
        <f>M71-N71</f>
        <v>18000</v>
      </c>
      <c r="P71" s="11" t="s">
        <v>42</v>
      </c>
      <c r="Q71" s="11" t="s">
        <v>43</v>
      </c>
      <c r="R71" s="11" t="s">
        <v>44</v>
      </c>
      <c r="S71" s="9" t="s">
        <v>2070</v>
      </c>
      <c r="T71" s="9" t="s">
        <v>146</v>
      </c>
    </row>
    <row r="72" spans="1:20">
      <c r="A72" s="10">
        <v>65</v>
      </c>
      <c r="B72" s="10" t="s">
        <v>207</v>
      </c>
      <c r="C72" s="10" t="s">
        <v>200</v>
      </c>
      <c r="D72" s="10" t="s">
        <v>201</v>
      </c>
      <c r="E72" s="10" t="s">
        <v>34</v>
      </c>
      <c r="F72" s="10" t="s">
        <v>35</v>
      </c>
      <c r="G72" s="8" t="s">
        <v>60</v>
      </c>
      <c r="H72" s="12">
        <v>1</v>
      </c>
      <c r="I72" s="12">
        <v>1</v>
      </c>
      <c r="J72" s="15">
        <v>8500.0</v>
      </c>
      <c r="K72" s="15"/>
      <c r="L72" s="17">
        <f>IF(J72&gt;0, K72/J72, 0)</f>
        <v>0</v>
      </c>
      <c r="M72" s="15">
        <v>8500.0</v>
      </c>
      <c r="N72" s="15"/>
      <c r="O72" s="15">
        <f>M72-N72</f>
        <v>8500</v>
      </c>
      <c r="P72" s="10" t="s">
        <v>42</v>
      </c>
      <c r="Q72" s="10" t="s">
        <v>43</v>
      </c>
      <c r="R72" s="10" t="s">
        <v>44</v>
      </c>
      <c r="S72" s="8" t="s">
        <v>2045</v>
      </c>
      <c r="T72" s="8" t="s">
        <v>44</v>
      </c>
    </row>
    <row r="73" spans="1:20">
      <c r="A73" s="11">
        <v>66</v>
      </c>
      <c r="B73" s="11" t="s">
        <v>208</v>
      </c>
      <c r="C73" s="11" t="s">
        <v>200</v>
      </c>
      <c r="D73" s="11" t="s">
        <v>201</v>
      </c>
      <c r="E73" s="11" t="s">
        <v>34</v>
      </c>
      <c r="F73" s="11" t="s">
        <v>144</v>
      </c>
      <c r="G73" s="9" t="s">
        <v>60</v>
      </c>
      <c r="H73" s="13">
        <v>1</v>
      </c>
      <c r="I73" s="13">
        <v>1</v>
      </c>
      <c r="J73" s="16">
        <v>14000.0</v>
      </c>
      <c r="K73" s="16"/>
      <c r="L73" s="18">
        <f>IF(J73&gt;0, K73/J73, 0)</f>
        <v>0</v>
      </c>
      <c r="M73" s="16">
        <v>14000.0</v>
      </c>
      <c r="N73" s="16"/>
      <c r="O73" s="16">
        <f>M73-N73</f>
        <v>14000</v>
      </c>
      <c r="P73" s="11" t="s">
        <v>42</v>
      </c>
      <c r="Q73" s="11" t="s">
        <v>43</v>
      </c>
      <c r="R73" s="11" t="s">
        <v>44</v>
      </c>
      <c r="S73" s="9" t="s">
        <v>2071</v>
      </c>
      <c r="T73" s="9" t="s">
        <v>146</v>
      </c>
    </row>
    <row r="74" spans="1:20">
      <c r="A74" s="10">
        <v>67</v>
      </c>
      <c r="B74" s="10" t="s">
        <v>209</v>
      </c>
      <c r="C74" s="10" t="s">
        <v>200</v>
      </c>
      <c r="D74" s="10" t="s">
        <v>201</v>
      </c>
      <c r="E74" s="10" t="s">
        <v>34</v>
      </c>
      <c r="F74" s="10" t="s">
        <v>35</v>
      </c>
      <c r="G74" s="8" t="s">
        <v>60</v>
      </c>
      <c r="H74" s="12">
        <v>1</v>
      </c>
      <c r="I74" s="12">
        <v>1</v>
      </c>
      <c r="J74" s="15">
        <v>16500.0</v>
      </c>
      <c r="K74" s="15"/>
      <c r="L74" s="17">
        <f>IF(J74&gt;0, K74/J74, 0)</f>
        <v>0</v>
      </c>
      <c r="M74" s="15">
        <v>16500.0</v>
      </c>
      <c r="N74" s="15"/>
      <c r="O74" s="15">
        <f>M74-N74</f>
        <v>16500</v>
      </c>
      <c r="P74" s="10" t="s">
        <v>42</v>
      </c>
      <c r="Q74" s="10" t="s">
        <v>43</v>
      </c>
      <c r="R74" s="10" t="s">
        <v>44</v>
      </c>
      <c r="S74" s="8" t="s">
        <v>2072</v>
      </c>
      <c r="T74" s="8" t="s">
        <v>44</v>
      </c>
    </row>
    <row r="75" spans="1:20">
      <c r="A75" s="11">
        <v>68</v>
      </c>
      <c r="B75" s="11" t="s">
        <v>211</v>
      </c>
      <c r="C75" s="11" t="s">
        <v>200</v>
      </c>
      <c r="D75" s="11" t="s">
        <v>201</v>
      </c>
      <c r="E75" s="11" t="s">
        <v>34</v>
      </c>
      <c r="F75" s="11" t="s">
        <v>35</v>
      </c>
      <c r="G75" s="9" t="s">
        <v>60</v>
      </c>
      <c r="H75" s="13">
        <v>1</v>
      </c>
      <c r="I75" s="13">
        <v>1</v>
      </c>
      <c r="J75" s="16">
        <v>18000.0</v>
      </c>
      <c r="K75" s="16"/>
      <c r="L75" s="18">
        <f>IF(J75&gt;0, K75/J75, 0)</f>
        <v>0</v>
      </c>
      <c r="M75" s="16">
        <v>18000.0</v>
      </c>
      <c r="N75" s="16"/>
      <c r="O75" s="16">
        <f>M75-N75</f>
        <v>18000</v>
      </c>
      <c r="P75" s="11" t="s">
        <v>42</v>
      </c>
      <c r="Q75" s="11" t="s">
        <v>43</v>
      </c>
      <c r="R75" s="11" t="s">
        <v>44</v>
      </c>
      <c r="S75" s="9" t="s">
        <v>2073</v>
      </c>
      <c r="T75" s="9" t="s">
        <v>44</v>
      </c>
    </row>
    <row r="76" spans="1:20">
      <c r="A76" s="10">
        <v>69</v>
      </c>
      <c r="B76" s="10" t="s">
        <v>213</v>
      </c>
      <c r="C76" s="10" t="s">
        <v>200</v>
      </c>
      <c r="D76" s="10" t="s">
        <v>201</v>
      </c>
      <c r="E76" s="10" t="s">
        <v>70</v>
      </c>
      <c r="F76" s="10" t="s">
        <v>35</v>
      </c>
      <c r="G76" s="8" t="s">
        <v>60</v>
      </c>
      <c r="H76" s="12">
        <v>1</v>
      </c>
      <c r="I76" s="12">
        <v>2</v>
      </c>
      <c r="J76" s="15">
        <v>18000.0</v>
      </c>
      <c r="K76" s="15"/>
      <c r="L76" s="17">
        <f>IF(J76&gt;0, K76/J76, 0)</f>
        <v>0</v>
      </c>
      <c r="M76" s="15">
        <v>18000.0</v>
      </c>
      <c r="N76" s="15"/>
      <c r="O76" s="15">
        <f>M76-N76</f>
        <v>18000</v>
      </c>
      <c r="P76" s="10" t="s">
        <v>42</v>
      </c>
      <c r="Q76" s="10" t="s">
        <v>73</v>
      </c>
      <c r="R76" s="10" t="s">
        <v>44</v>
      </c>
      <c r="S76" s="8" t="s">
        <v>2050</v>
      </c>
      <c r="T76" s="8" t="s">
        <v>44</v>
      </c>
    </row>
    <row r="77" spans="1:20">
      <c r="A77" s="11">
        <v>70</v>
      </c>
      <c r="B77" s="11" t="s">
        <v>214</v>
      </c>
      <c r="C77" s="11" t="s">
        <v>200</v>
      </c>
      <c r="D77" s="11" t="s">
        <v>201</v>
      </c>
      <c r="E77" s="11" t="s">
        <v>34</v>
      </c>
      <c r="F77" s="11" t="s">
        <v>35</v>
      </c>
      <c r="G77" s="9" t="s">
        <v>60</v>
      </c>
      <c r="H77" s="13">
        <v>1</v>
      </c>
      <c r="I77" s="13">
        <v>1</v>
      </c>
      <c r="J77" s="16">
        <v>7500.0</v>
      </c>
      <c r="K77" s="16"/>
      <c r="L77" s="18">
        <f>IF(J77&gt;0, K77/J77, 0)</f>
        <v>0</v>
      </c>
      <c r="M77" s="16">
        <v>7500.0</v>
      </c>
      <c r="N77" s="16"/>
      <c r="O77" s="16">
        <f>M77-N77</f>
        <v>7500</v>
      </c>
      <c r="P77" s="11" t="s">
        <v>42</v>
      </c>
      <c r="Q77" s="11" t="s">
        <v>43</v>
      </c>
      <c r="R77" s="11" t="s">
        <v>44</v>
      </c>
      <c r="S77" s="9" t="s">
        <v>2074</v>
      </c>
      <c r="T77" s="9" t="s">
        <v>44</v>
      </c>
    </row>
    <row r="78" spans="1:20">
      <c r="A78" s="10">
        <v>71</v>
      </c>
      <c r="B78" s="10" t="s">
        <v>216</v>
      </c>
      <c r="C78" s="10" t="s">
        <v>200</v>
      </c>
      <c r="D78" s="10" t="s">
        <v>201</v>
      </c>
      <c r="E78" s="10" t="s">
        <v>34</v>
      </c>
      <c r="F78" s="10" t="s">
        <v>35</v>
      </c>
      <c r="G78" s="8" t="s">
        <v>60</v>
      </c>
      <c r="H78" s="12">
        <v>1</v>
      </c>
      <c r="I78" s="12">
        <v>1</v>
      </c>
      <c r="J78" s="15">
        <v>8500.0</v>
      </c>
      <c r="K78" s="15"/>
      <c r="L78" s="17">
        <f>IF(J78&gt;0, K78/J78, 0)</f>
        <v>0</v>
      </c>
      <c r="M78" s="15">
        <v>8500.0</v>
      </c>
      <c r="N78" s="15"/>
      <c r="O78" s="15">
        <f>M78-N78</f>
        <v>8500</v>
      </c>
      <c r="P78" s="10" t="s">
        <v>42</v>
      </c>
      <c r="Q78" s="10" t="s">
        <v>43</v>
      </c>
      <c r="R78" s="10" t="s">
        <v>44</v>
      </c>
      <c r="S78" s="8" t="s">
        <v>2024</v>
      </c>
      <c r="T78" s="8" t="s">
        <v>44</v>
      </c>
    </row>
    <row r="79" spans="1:20">
      <c r="A79" s="11">
        <v>72</v>
      </c>
      <c r="B79" s="11" t="s">
        <v>217</v>
      </c>
      <c r="C79" s="11" t="s">
        <v>200</v>
      </c>
      <c r="D79" s="11" t="s">
        <v>201</v>
      </c>
      <c r="E79" s="11" t="s">
        <v>34</v>
      </c>
      <c r="F79" s="11" t="s">
        <v>35</v>
      </c>
      <c r="G79" s="9" t="s">
        <v>60</v>
      </c>
      <c r="H79" s="13">
        <v>1</v>
      </c>
      <c r="I79" s="13">
        <v>1</v>
      </c>
      <c r="J79" s="16">
        <v>9000.0</v>
      </c>
      <c r="K79" s="16"/>
      <c r="L79" s="18">
        <f>IF(J79&gt;0, K79/J79, 0)</f>
        <v>0</v>
      </c>
      <c r="M79" s="16">
        <v>9000.0</v>
      </c>
      <c r="N79" s="16"/>
      <c r="O79" s="16">
        <f>M79-N79</f>
        <v>9000</v>
      </c>
      <c r="P79" s="11" t="s">
        <v>42</v>
      </c>
      <c r="Q79" s="11" t="s">
        <v>43</v>
      </c>
      <c r="R79" s="11" t="s">
        <v>44</v>
      </c>
      <c r="S79" s="9" t="s">
        <v>2068</v>
      </c>
      <c r="T79" s="9" t="s">
        <v>44</v>
      </c>
    </row>
    <row r="80" spans="1:20">
      <c r="A80" s="10">
        <v>73</v>
      </c>
      <c r="B80" s="10" t="s">
        <v>218</v>
      </c>
      <c r="C80" s="10" t="s">
        <v>200</v>
      </c>
      <c r="D80" s="10" t="s">
        <v>201</v>
      </c>
      <c r="E80" s="10" t="s">
        <v>34</v>
      </c>
      <c r="F80" s="10" t="s">
        <v>35</v>
      </c>
      <c r="G80" s="8" t="s">
        <v>60</v>
      </c>
      <c r="H80" s="12">
        <v>1</v>
      </c>
      <c r="I80" s="12">
        <v>1</v>
      </c>
      <c r="J80" s="15">
        <v>18000.0</v>
      </c>
      <c r="K80" s="15"/>
      <c r="L80" s="17">
        <f>IF(J80&gt;0, K80/J80, 0)</f>
        <v>0</v>
      </c>
      <c r="M80" s="15">
        <v>18000.0</v>
      </c>
      <c r="N80" s="15"/>
      <c r="O80" s="15">
        <f>M80-N80</f>
        <v>18000</v>
      </c>
      <c r="P80" s="10" t="s">
        <v>42</v>
      </c>
      <c r="Q80" s="10" t="s">
        <v>43</v>
      </c>
      <c r="R80" s="10" t="s">
        <v>44</v>
      </c>
      <c r="S80" s="8" t="s">
        <v>2065</v>
      </c>
      <c r="T80" s="8" t="s">
        <v>44</v>
      </c>
    </row>
    <row r="81" spans="1:20">
      <c r="A81" s="11">
        <v>74</v>
      </c>
      <c r="B81" s="11" t="s">
        <v>219</v>
      </c>
      <c r="C81" s="11" t="s">
        <v>200</v>
      </c>
      <c r="D81" s="11" t="s">
        <v>201</v>
      </c>
      <c r="E81" s="11" t="s">
        <v>34</v>
      </c>
      <c r="F81" s="11" t="s">
        <v>144</v>
      </c>
      <c r="G81" s="9" t="s">
        <v>60</v>
      </c>
      <c r="H81" s="13">
        <v>1</v>
      </c>
      <c r="I81" s="13">
        <v>1</v>
      </c>
      <c r="J81" s="16">
        <v>15000.0</v>
      </c>
      <c r="K81" s="16"/>
      <c r="L81" s="18">
        <f>IF(J81&gt;0, K81/J81, 0)</f>
        <v>0</v>
      </c>
      <c r="M81" s="16">
        <v>15000.0</v>
      </c>
      <c r="N81" s="16"/>
      <c r="O81" s="16">
        <f>M81-N81</f>
        <v>15000</v>
      </c>
      <c r="P81" s="11" t="s">
        <v>42</v>
      </c>
      <c r="Q81" s="11" t="s">
        <v>43</v>
      </c>
      <c r="R81" s="11" t="s">
        <v>44</v>
      </c>
      <c r="S81" s="9" t="s">
        <v>2075</v>
      </c>
      <c r="T81" s="9" t="s">
        <v>146</v>
      </c>
    </row>
    <row r="82" spans="1:20">
      <c r="A82" s="10">
        <v>75</v>
      </c>
      <c r="B82" s="10" t="s">
        <v>221</v>
      </c>
      <c r="C82" s="10" t="s">
        <v>200</v>
      </c>
      <c r="D82" s="10" t="s">
        <v>201</v>
      </c>
      <c r="E82" s="10" t="s">
        <v>34</v>
      </c>
      <c r="F82" s="10" t="s">
        <v>35</v>
      </c>
      <c r="G82" s="8" t="s">
        <v>60</v>
      </c>
      <c r="H82" s="12">
        <v>1</v>
      </c>
      <c r="I82" s="12">
        <v>1</v>
      </c>
      <c r="J82" s="15">
        <v>10000.0</v>
      </c>
      <c r="K82" s="15"/>
      <c r="L82" s="17">
        <f>IF(J82&gt;0, K82/J82, 0)</f>
        <v>0</v>
      </c>
      <c r="M82" s="15">
        <v>10000.0</v>
      </c>
      <c r="N82" s="15"/>
      <c r="O82" s="15">
        <f>M82-N82</f>
        <v>10000</v>
      </c>
      <c r="P82" s="10" t="s">
        <v>42</v>
      </c>
      <c r="Q82" s="10" t="s">
        <v>43</v>
      </c>
      <c r="R82" s="10" t="s">
        <v>44</v>
      </c>
      <c r="S82" s="8" t="s">
        <v>2024</v>
      </c>
      <c r="T82" s="8" t="s">
        <v>44</v>
      </c>
    </row>
    <row r="83" spans="1:20">
      <c r="A83" s="11">
        <v>76</v>
      </c>
      <c r="B83" s="11" t="s">
        <v>222</v>
      </c>
      <c r="C83" s="11" t="s">
        <v>200</v>
      </c>
      <c r="D83" s="11" t="s">
        <v>201</v>
      </c>
      <c r="E83" s="11" t="s">
        <v>34</v>
      </c>
      <c r="F83" s="11" t="s">
        <v>35</v>
      </c>
      <c r="G83" s="9" t="s">
        <v>60</v>
      </c>
      <c r="H83" s="13">
        <v>1</v>
      </c>
      <c r="I83" s="13">
        <v>1</v>
      </c>
      <c r="J83" s="16">
        <v>18000.0</v>
      </c>
      <c r="K83" s="16"/>
      <c r="L83" s="18">
        <f>IF(J83&gt;0, K83/J83, 0)</f>
        <v>0</v>
      </c>
      <c r="M83" s="16">
        <v>18000.0</v>
      </c>
      <c r="N83" s="16"/>
      <c r="O83" s="16">
        <f>M83-N83</f>
        <v>18000</v>
      </c>
      <c r="P83" s="11" t="s">
        <v>42</v>
      </c>
      <c r="Q83" s="11" t="s">
        <v>43</v>
      </c>
      <c r="R83" s="11" t="s">
        <v>44</v>
      </c>
      <c r="S83" s="9" t="s">
        <v>2026</v>
      </c>
      <c r="T83" s="9" t="s">
        <v>44</v>
      </c>
    </row>
    <row r="84" spans="1:20">
      <c r="A84" s="10">
        <v>77</v>
      </c>
      <c r="B84" s="10" t="s">
        <v>223</v>
      </c>
      <c r="C84" s="10" t="s">
        <v>200</v>
      </c>
      <c r="D84" s="10" t="s">
        <v>201</v>
      </c>
      <c r="E84" s="10" t="s">
        <v>34</v>
      </c>
      <c r="F84" s="10" t="s">
        <v>144</v>
      </c>
      <c r="G84" s="8" t="s">
        <v>60</v>
      </c>
      <c r="H84" s="12">
        <v>1</v>
      </c>
      <c r="I84" s="12">
        <v>1</v>
      </c>
      <c r="J84" s="15">
        <v>12000.0</v>
      </c>
      <c r="K84" s="15"/>
      <c r="L84" s="17">
        <f>IF(J84&gt;0, K84/J84, 0)</f>
        <v>0</v>
      </c>
      <c r="M84" s="15">
        <v>12000.0</v>
      </c>
      <c r="N84" s="15"/>
      <c r="O84" s="15">
        <f>M84-N84</f>
        <v>12000</v>
      </c>
      <c r="P84" s="10" t="s">
        <v>42</v>
      </c>
      <c r="Q84" s="10" t="s">
        <v>43</v>
      </c>
      <c r="R84" s="10" t="s">
        <v>44</v>
      </c>
      <c r="S84" s="8" t="s">
        <v>2076</v>
      </c>
      <c r="T84" s="8" t="s">
        <v>146</v>
      </c>
    </row>
    <row r="85" spans="1:20">
      <c r="A85" s="11">
        <v>78</v>
      </c>
      <c r="B85" s="11" t="s">
        <v>225</v>
      </c>
      <c r="C85" s="11" t="s">
        <v>200</v>
      </c>
      <c r="D85" s="11" t="s">
        <v>201</v>
      </c>
      <c r="E85" s="11" t="s">
        <v>34</v>
      </c>
      <c r="F85" s="11" t="s">
        <v>35</v>
      </c>
      <c r="G85" s="9" t="s">
        <v>60</v>
      </c>
      <c r="H85" s="13">
        <v>1</v>
      </c>
      <c r="I85" s="13">
        <v>1</v>
      </c>
      <c r="J85" s="16">
        <v>7000.0</v>
      </c>
      <c r="K85" s="16"/>
      <c r="L85" s="18">
        <f>IF(J85&gt;0, K85/J85, 0)</f>
        <v>0</v>
      </c>
      <c r="M85" s="16">
        <v>7000.0</v>
      </c>
      <c r="N85" s="16"/>
      <c r="O85" s="16">
        <f>M85-N85</f>
        <v>7000</v>
      </c>
      <c r="P85" s="11" t="s">
        <v>42</v>
      </c>
      <c r="Q85" s="11" t="s">
        <v>43</v>
      </c>
      <c r="R85" s="11" t="s">
        <v>44</v>
      </c>
      <c r="S85" s="9" t="s">
        <v>2077</v>
      </c>
      <c r="T85" s="9" t="s">
        <v>44</v>
      </c>
    </row>
    <row r="86" spans="1:20">
      <c r="A86" s="10">
        <v>79</v>
      </c>
      <c r="B86" s="10" t="s">
        <v>227</v>
      </c>
      <c r="C86" s="10" t="s">
        <v>200</v>
      </c>
      <c r="D86" s="10" t="s">
        <v>201</v>
      </c>
      <c r="E86" s="10" t="s">
        <v>34</v>
      </c>
      <c r="F86" s="10" t="s">
        <v>35</v>
      </c>
      <c r="G86" s="8" t="s">
        <v>60</v>
      </c>
      <c r="H86" s="12">
        <v>1</v>
      </c>
      <c r="I86" s="12">
        <v>1</v>
      </c>
      <c r="J86" s="15">
        <v>16000.0</v>
      </c>
      <c r="K86" s="15"/>
      <c r="L86" s="17">
        <f>IF(J86&gt;0, K86/J86, 0)</f>
        <v>0</v>
      </c>
      <c r="M86" s="15">
        <v>16000.0</v>
      </c>
      <c r="N86" s="15"/>
      <c r="O86" s="15">
        <f>M86-N86</f>
        <v>16000</v>
      </c>
      <c r="P86" s="10" t="s">
        <v>42</v>
      </c>
      <c r="Q86" s="10" t="s">
        <v>43</v>
      </c>
      <c r="R86" s="10" t="s">
        <v>44</v>
      </c>
      <c r="S86" s="8" t="s">
        <v>2078</v>
      </c>
      <c r="T86" s="8" t="s">
        <v>44</v>
      </c>
    </row>
    <row r="87" spans="1:20">
      <c r="A87" s="11">
        <v>80</v>
      </c>
      <c r="B87" s="11" t="s">
        <v>229</v>
      </c>
      <c r="C87" s="11" t="s">
        <v>200</v>
      </c>
      <c r="D87" s="11" t="s">
        <v>201</v>
      </c>
      <c r="E87" s="11" t="s">
        <v>34</v>
      </c>
      <c r="F87" s="11" t="s">
        <v>35</v>
      </c>
      <c r="G87" s="9" t="s">
        <v>60</v>
      </c>
      <c r="H87" s="13">
        <v>1</v>
      </c>
      <c r="I87" s="13">
        <v>1</v>
      </c>
      <c r="J87" s="16">
        <v>18000.0</v>
      </c>
      <c r="K87" s="16"/>
      <c r="L87" s="18">
        <f>IF(J87&gt;0, K87/J87, 0)</f>
        <v>0</v>
      </c>
      <c r="M87" s="16">
        <v>18000.0</v>
      </c>
      <c r="N87" s="16"/>
      <c r="O87" s="16">
        <f>M87-N87</f>
        <v>18000</v>
      </c>
      <c r="P87" s="11" t="s">
        <v>42</v>
      </c>
      <c r="Q87" s="11" t="s">
        <v>43</v>
      </c>
      <c r="R87" s="11" t="s">
        <v>44</v>
      </c>
      <c r="S87" s="9" t="s">
        <v>2049</v>
      </c>
      <c r="T87" s="9" t="s">
        <v>44</v>
      </c>
    </row>
    <row r="88" spans="1:20">
      <c r="A88" s="10">
        <v>81</v>
      </c>
      <c r="B88" s="10" t="s">
        <v>230</v>
      </c>
      <c r="C88" s="10" t="s">
        <v>200</v>
      </c>
      <c r="D88" s="10" t="s">
        <v>201</v>
      </c>
      <c r="E88" s="10" t="s">
        <v>34</v>
      </c>
      <c r="F88" s="10" t="s">
        <v>35</v>
      </c>
      <c r="G88" s="8" t="s">
        <v>60</v>
      </c>
      <c r="H88" s="12">
        <v>1</v>
      </c>
      <c r="I88" s="12">
        <v>1</v>
      </c>
      <c r="J88" s="15">
        <v>9000.0</v>
      </c>
      <c r="K88" s="15"/>
      <c r="L88" s="17">
        <f>IF(J88&gt;0, K88/J88, 0)</f>
        <v>0</v>
      </c>
      <c r="M88" s="15">
        <v>9000.0</v>
      </c>
      <c r="N88" s="15"/>
      <c r="O88" s="15">
        <f>M88-N88</f>
        <v>9000</v>
      </c>
      <c r="P88" s="10" t="s">
        <v>42</v>
      </c>
      <c r="Q88" s="10" t="s">
        <v>43</v>
      </c>
      <c r="R88" s="10" t="s">
        <v>44</v>
      </c>
      <c r="S88" s="8" t="s">
        <v>2079</v>
      </c>
      <c r="T88" s="8" t="s">
        <v>44</v>
      </c>
    </row>
    <row r="89" spans="1:20">
      <c r="A89" s="11">
        <v>82</v>
      </c>
      <c r="B89" s="11" t="s">
        <v>232</v>
      </c>
      <c r="C89" s="11" t="s">
        <v>200</v>
      </c>
      <c r="D89" s="11" t="s">
        <v>201</v>
      </c>
      <c r="E89" s="11" t="s">
        <v>34</v>
      </c>
      <c r="F89" s="11" t="s">
        <v>35</v>
      </c>
      <c r="G89" s="9" t="s">
        <v>60</v>
      </c>
      <c r="H89" s="13">
        <v>1</v>
      </c>
      <c r="I89" s="13">
        <v>1</v>
      </c>
      <c r="J89" s="16">
        <v>8000.0</v>
      </c>
      <c r="K89" s="16"/>
      <c r="L89" s="18">
        <f>IF(J89&gt;0, K89/J89, 0)</f>
        <v>0</v>
      </c>
      <c r="M89" s="16">
        <v>8000.0</v>
      </c>
      <c r="N89" s="16"/>
      <c r="O89" s="16">
        <f>M89-N89</f>
        <v>8000</v>
      </c>
      <c r="P89" s="11" t="s">
        <v>42</v>
      </c>
      <c r="Q89" s="11" t="s">
        <v>43</v>
      </c>
      <c r="R89" s="11" t="s">
        <v>44</v>
      </c>
      <c r="S89" s="9" t="s">
        <v>2080</v>
      </c>
      <c r="T89" s="9" t="s">
        <v>44</v>
      </c>
    </row>
    <row r="90" spans="1:20">
      <c r="A90" s="10">
        <v>83</v>
      </c>
      <c r="B90" s="10" t="s">
        <v>234</v>
      </c>
      <c r="C90" s="10" t="s">
        <v>200</v>
      </c>
      <c r="D90" s="10" t="s">
        <v>201</v>
      </c>
      <c r="E90" s="10" t="s">
        <v>34</v>
      </c>
      <c r="F90" s="10" t="s">
        <v>35</v>
      </c>
      <c r="G90" s="8" t="s">
        <v>60</v>
      </c>
      <c r="H90" s="12">
        <v>1</v>
      </c>
      <c r="I90" s="12">
        <v>1</v>
      </c>
      <c r="J90" s="15">
        <v>8000.0</v>
      </c>
      <c r="K90" s="15"/>
      <c r="L90" s="17">
        <f>IF(J90&gt;0, K90/J90, 0)</f>
        <v>0</v>
      </c>
      <c r="M90" s="15">
        <v>8000.0</v>
      </c>
      <c r="N90" s="15"/>
      <c r="O90" s="15">
        <f>M90-N90</f>
        <v>8000</v>
      </c>
      <c r="P90" s="10" t="s">
        <v>42</v>
      </c>
      <c r="Q90" s="10" t="s">
        <v>43</v>
      </c>
      <c r="R90" s="10" t="s">
        <v>44</v>
      </c>
      <c r="S90" s="8" t="s">
        <v>2033</v>
      </c>
      <c r="T90" s="8" t="s">
        <v>44</v>
      </c>
    </row>
    <row r="91" spans="1:20">
      <c r="A91" s="11">
        <v>84</v>
      </c>
      <c r="B91" s="11" t="s">
        <v>235</v>
      </c>
      <c r="C91" s="11" t="s">
        <v>200</v>
      </c>
      <c r="D91" s="11" t="s">
        <v>201</v>
      </c>
      <c r="E91" s="11" t="s">
        <v>34</v>
      </c>
      <c r="F91" s="11" t="s">
        <v>35</v>
      </c>
      <c r="G91" s="9" t="s">
        <v>60</v>
      </c>
      <c r="H91" s="13">
        <v>1</v>
      </c>
      <c r="I91" s="13">
        <v>1</v>
      </c>
      <c r="J91" s="16">
        <v>15000.0</v>
      </c>
      <c r="K91" s="16"/>
      <c r="L91" s="18">
        <f>IF(J91&gt;0, K91/J91, 0)</f>
        <v>0</v>
      </c>
      <c r="M91" s="16">
        <v>15000.0</v>
      </c>
      <c r="N91" s="16"/>
      <c r="O91" s="16">
        <f>M91-N91</f>
        <v>15000</v>
      </c>
      <c r="P91" s="11" t="s">
        <v>42</v>
      </c>
      <c r="Q91" s="11" t="s">
        <v>43</v>
      </c>
      <c r="R91" s="11" t="s">
        <v>44</v>
      </c>
      <c r="S91" s="9" t="s">
        <v>2081</v>
      </c>
      <c r="T91" s="9" t="s">
        <v>44</v>
      </c>
    </row>
    <row r="92" spans="1:20">
      <c r="A92" s="10">
        <v>85</v>
      </c>
      <c r="B92" s="10" t="s">
        <v>237</v>
      </c>
      <c r="C92" s="10" t="s">
        <v>200</v>
      </c>
      <c r="D92" s="10" t="s">
        <v>201</v>
      </c>
      <c r="E92" s="10" t="s">
        <v>34</v>
      </c>
      <c r="F92" s="10" t="s">
        <v>35</v>
      </c>
      <c r="G92" s="8" t="s">
        <v>60</v>
      </c>
      <c r="H92" s="12">
        <v>1</v>
      </c>
      <c r="I92" s="12">
        <v>1</v>
      </c>
      <c r="J92" s="15">
        <v>8500.0</v>
      </c>
      <c r="K92" s="15"/>
      <c r="L92" s="17">
        <f>IF(J92&gt;0, K92/J92, 0)</f>
        <v>0</v>
      </c>
      <c r="M92" s="15">
        <v>8500.0</v>
      </c>
      <c r="N92" s="15"/>
      <c r="O92" s="15">
        <f>M92-N92</f>
        <v>8500</v>
      </c>
      <c r="P92" s="10" t="s">
        <v>42</v>
      </c>
      <c r="Q92" s="10" t="s">
        <v>43</v>
      </c>
      <c r="R92" s="10" t="s">
        <v>44</v>
      </c>
      <c r="S92" s="8" t="s">
        <v>2045</v>
      </c>
      <c r="T92" s="8" t="s">
        <v>44</v>
      </c>
    </row>
    <row r="93" spans="1:20">
      <c r="A93" s="11">
        <v>86</v>
      </c>
      <c r="B93" s="11" t="s">
        <v>238</v>
      </c>
      <c r="C93" s="11" t="s">
        <v>200</v>
      </c>
      <c r="D93" s="11" t="s">
        <v>201</v>
      </c>
      <c r="E93" s="11" t="s">
        <v>34</v>
      </c>
      <c r="F93" s="11" t="s">
        <v>35</v>
      </c>
      <c r="G93" s="9" t="s">
        <v>60</v>
      </c>
      <c r="H93" s="13">
        <v>1</v>
      </c>
      <c r="I93" s="13">
        <v>1</v>
      </c>
      <c r="J93" s="16">
        <v>8500.0</v>
      </c>
      <c r="K93" s="16"/>
      <c r="L93" s="18">
        <f>IF(J93&gt;0, K93/J93, 0)</f>
        <v>0</v>
      </c>
      <c r="M93" s="16">
        <v>8500.0</v>
      </c>
      <c r="N93" s="16"/>
      <c r="O93" s="16">
        <f>M93-N93</f>
        <v>8500</v>
      </c>
      <c r="P93" s="11" t="s">
        <v>42</v>
      </c>
      <c r="Q93" s="11" t="s">
        <v>43</v>
      </c>
      <c r="R93" s="11" t="s">
        <v>44</v>
      </c>
      <c r="S93" s="9" t="s">
        <v>2045</v>
      </c>
      <c r="T93" s="9" t="s">
        <v>44</v>
      </c>
    </row>
    <row r="94" spans="1:20">
      <c r="A94" s="10">
        <v>87</v>
      </c>
      <c r="B94" s="10" t="s">
        <v>239</v>
      </c>
      <c r="C94" s="10" t="s">
        <v>200</v>
      </c>
      <c r="D94" s="10" t="s">
        <v>201</v>
      </c>
      <c r="E94" s="10" t="s">
        <v>34</v>
      </c>
      <c r="F94" s="10" t="s">
        <v>144</v>
      </c>
      <c r="G94" s="8" t="s">
        <v>60</v>
      </c>
      <c r="H94" s="12">
        <v>1</v>
      </c>
      <c r="I94" s="12">
        <v>1</v>
      </c>
      <c r="J94" s="15">
        <v>12000.0</v>
      </c>
      <c r="K94" s="15"/>
      <c r="L94" s="17">
        <f>IF(J94&gt;0, K94/J94, 0)</f>
        <v>0</v>
      </c>
      <c r="M94" s="15">
        <v>12000.0</v>
      </c>
      <c r="N94" s="15"/>
      <c r="O94" s="15">
        <f>M94-N94</f>
        <v>12000</v>
      </c>
      <c r="P94" s="10" t="s">
        <v>42</v>
      </c>
      <c r="Q94" s="10" t="s">
        <v>43</v>
      </c>
      <c r="R94" s="10" t="s">
        <v>44</v>
      </c>
      <c r="S94" s="8" t="s">
        <v>2082</v>
      </c>
      <c r="T94" s="8" t="s">
        <v>146</v>
      </c>
    </row>
    <row r="95" spans="1:20">
      <c r="A95" s="11">
        <v>88</v>
      </c>
      <c r="B95" s="11" t="s">
        <v>242</v>
      </c>
      <c r="C95" s="11" t="s">
        <v>200</v>
      </c>
      <c r="D95" s="11" t="s">
        <v>201</v>
      </c>
      <c r="E95" s="11" t="s">
        <v>34</v>
      </c>
      <c r="F95" s="11" t="s">
        <v>144</v>
      </c>
      <c r="G95" s="9" t="s">
        <v>60</v>
      </c>
      <c r="H95" s="13">
        <v>1</v>
      </c>
      <c r="I95" s="13">
        <v>1</v>
      </c>
      <c r="J95" s="16">
        <v>12000.0</v>
      </c>
      <c r="K95" s="16"/>
      <c r="L95" s="18">
        <f>IF(J95&gt;0, K95/J95, 0)</f>
        <v>0</v>
      </c>
      <c r="M95" s="16">
        <v>12000.0</v>
      </c>
      <c r="N95" s="16"/>
      <c r="O95" s="16">
        <f>M95-N95</f>
        <v>12000</v>
      </c>
      <c r="P95" s="11" t="s">
        <v>42</v>
      </c>
      <c r="Q95" s="11" t="s">
        <v>43</v>
      </c>
      <c r="R95" s="11" t="s">
        <v>44</v>
      </c>
      <c r="S95" s="9" t="s">
        <v>2076</v>
      </c>
      <c r="T95" s="9" t="s">
        <v>146</v>
      </c>
    </row>
    <row r="96" spans="1:20">
      <c r="A96" s="10">
        <v>89</v>
      </c>
      <c r="B96" s="10" t="s">
        <v>243</v>
      </c>
      <c r="C96" s="10" t="s">
        <v>200</v>
      </c>
      <c r="D96" s="10" t="s">
        <v>201</v>
      </c>
      <c r="E96" s="10" t="s">
        <v>34</v>
      </c>
      <c r="F96" s="10" t="s">
        <v>144</v>
      </c>
      <c r="G96" s="8" t="s">
        <v>60</v>
      </c>
      <c r="H96" s="12">
        <v>1</v>
      </c>
      <c r="I96" s="12">
        <v>1</v>
      </c>
      <c r="J96" s="15">
        <v>12000.0</v>
      </c>
      <c r="K96" s="15"/>
      <c r="L96" s="17">
        <f>IF(J96&gt;0, K96/J96, 0)</f>
        <v>0</v>
      </c>
      <c r="M96" s="15">
        <v>12000.0</v>
      </c>
      <c r="N96" s="15"/>
      <c r="O96" s="15">
        <f>M96-N96</f>
        <v>12000</v>
      </c>
      <c r="P96" s="10" t="s">
        <v>42</v>
      </c>
      <c r="Q96" s="10" t="s">
        <v>43</v>
      </c>
      <c r="R96" s="10" t="s">
        <v>44</v>
      </c>
      <c r="S96" s="8" t="s">
        <v>2083</v>
      </c>
      <c r="T96" s="8" t="s">
        <v>146</v>
      </c>
    </row>
    <row r="97" spans="1:20">
      <c r="A97" s="11">
        <v>90</v>
      </c>
      <c r="B97" s="11" t="s">
        <v>245</v>
      </c>
      <c r="C97" s="11" t="s">
        <v>200</v>
      </c>
      <c r="D97" s="11" t="s">
        <v>201</v>
      </c>
      <c r="E97" s="11" t="s">
        <v>34</v>
      </c>
      <c r="F97" s="11" t="s">
        <v>35</v>
      </c>
      <c r="G97" s="9" t="s">
        <v>60</v>
      </c>
      <c r="H97" s="13">
        <v>1</v>
      </c>
      <c r="I97" s="13">
        <v>1</v>
      </c>
      <c r="J97" s="16">
        <v>18000.0</v>
      </c>
      <c r="K97" s="16"/>
      <c r="L97" s="18">
        <f>IF(J97&gt;0, K97/J97, 0)</f>
        <v>0</v>
      </c>
      <c r="M97" s="16">
        <v>18000.0</v>
      </c>
      <c r="N97" s="16"/>
      <c r="O97" s="16">
        <f>M97-N97</f>
        <v>18000</v>
      </c>
      <c r="P97" s="11" t="s">
        <v>42</v>
      </c>
      <c r="Q97" s="11" t="s">
        <v>43</v>
      </c>
      <c r="R97" s="11" t="s">
        <v>44</v>
      </c>
      <c r="S97" s="9" t="s">
        <v>2066</v>
      </c>
      <c r="T97" s="9" t="s">
        <v>44</v>
      </c>
    </row>
    <row r="98" spans="1:20">
      <c r="A98" s="10">
        <v>91</v>
      </c>
      <c r="B98" s="10" t="s">
        <v>246</v>
      </c>
      <c r="C98" s="10" t="s">
        <v>200</v>
      </c>
      <c r="D98" s="10" t="s">
        <v>201</v>
      </c>
      <c r="E98" s="10" t="s">
        <v>34</v>
      </c>
      <c r="F98" s="10" t="s">
        <v>35</v>
      </c>
      <c r="G98" s="8" t="s">
        <v>60</v>
      </c>
      <c r="H98" s="12">
        <v>1</v>
      </c>
      <c r="I98" s="12">
        <v>1</v>
      </c>
      <c r="J98" s="15">
        <v>8000.0</v>
      </c>
      <c r="K98" s="15"/>
      <c r="L98" s="17">
        <f>IF(J98&gt;0, K98/J98, 0)</f>
        <v>0</v>
      </c>
      <c r="M98" s="15">
        <v>8000.0</v>
      </c>
      <c r="N98" s="15"/>
      <c r="O98" s="15">
        <f>M98-N98</f>
        <v>8000</v>
      </c>
      <c r="P98" s="10" t="s">
        <v>42</v>
      </c>
      <c r="Q98" s="10" t="s">
        <v>43</v>
      </c>
      <c r="R98" s="10" t="s">
        <v>44</v>
      </c>
      <c r="S98" s="8" t="s">
        <v>2067</v>
      </c>
      <c r="T98" s="8" t="s">
        <v>44</v>
      </c>
    </row>
    <row r="99" spans="1:20">
      <c r="A99" s="11">
        <v>92</v>
      </c>
      <c r="B99" s="11" t="s">
        <v>247</v>
      </c>
      <c r="C99" s="11" t="s">
        <v>200</v>
      </c>
      <c r="D99" s="11" t="s">
        <v>201</v>
      </c>
      <c r="E99" s="11" t="s">
        <v>34</v>
      </c>
      <c r="F99" s="11" t="s">
        <v>144</v>
      </c>
      <c r="G99" s="9" t="s">
        <v>60</v>
      </c>
      <c r="H99" s="13">
        <v>1</v>
      </c>
      <c r="I99" s="13">
        <v>1</v>
      </c>
      <c r="J99" s="16">
        <v>12000.0</v>
      </c>
      <c r="K99" s="16"/>
      <c r="L99" s="18">
        <f>IF(J99&gt;0, K99/J99, 0)</f>
        <v>0</v>
      </c>
      <c r="M99" s="16">
        <v>12000.0</v>
      </c>
      <c r="N99" s="16"/>
      <c r="O99" s="16">
        <f>M99-N99</f>
        <v>12000</v>
      </c>
      <c r="P99" s="11" t="s">
        <v>42</v>
      </c>
      <c r="Q99" s="11" t="s">
        <v>43</v>
      </c>
      <c r="R99" s="11" t="s">
        <v>44</v>
      </c>
      <c r="S99" s="9" t="s">
        <v>2059</v>
      </c>
      <c r="T99" s="9" t="s">
        <v>146</v>
      </c>
    </row>
    <row r="100" spans="1:20">
      <c r="A100" s="10">
        <v>93</v>
      </c>
      <c r="B100" s="10" t="s">
        <v>248</v>
      </c>
      <c r="C100" s="10" t="s">
        <v>200</v>
      </c>
      <c r="D100" s="10" t="s">
        <v>201</v>
      </c>
      <c r="E100" s="10" t="s">
        <v>34</v>
      </c>
      <c r="F100" s="10" t="s">
        <v>144</v>
      </c>
      <c r="G100" s="8" t="s">
        <v>60</v>
      </c>
      <c r="H100" s="12">
        <v>1</v>
      </c>
      <c r="I100" s="12">
        <v>1</v>
      </c>
      <c r="J100" s="15">
        <v>12000.0</v>
      </c>
      <c r="K100" s="15"/>
      <c r="L100" s="17">
        <f>IF(J100&gt;0, K100/J100, 0)</f>
        <v>0</v>
      </c>
      <c r="M100" s="15">
        <v>12000.0</v>
      </c>
      <c r="N100" s="15"/>
      <c r="O100" s="15">
        <f>M100-N100</f>
        <v>12000</v>
      </c>
      <c r="P100" s="10" t="s">
        <v>42</v>
      </c>
      <c r="Q100" s="10" t="s">
        <v>43</v>
      </c>
      <c r="R100" s="10" t="s">
        <v>44</v>
      </c>
      <c r="S100" s="8" t="s">
        <v>2084</v>
      </c>
      <c r="T100" s="8" t="s">
        <v>146</v>
      </c>
    </row>
    <row r="101" spans="1:20">
      <c r="A101" s="11">
        <v>94</v>
      </c>
      <c r="B101" s="11" t="s">
        <v>250</v>
      </c>
      <c r="C101" s="11" t="s">
        <v>200</v>
      </c>
      <c r="D101" s="11" t="s">
        <v>201</v>
      </c>
      <c r="E101" s="11" t="s">
        <v>34</v>
      </c>
      <c r="F101" s="11" t="s">
        <v>35</v>
      </c>
      <c r="G101" s="9" t="s">
        <v>60</v>
      </c>
      <c r="H101" s="13">
        <v>1</v>
      </c>
      <c r="I101" s="13">
        <v>2</v>
      </c>
      <c r="J101" s="16">
        <v>16000.0</v>
      </c>
      <c r="K101" s="16"/>
      <c r="L101" s="18">
        <f>IF(J101&gt;0, K101/J101, 0)</f>
        <v>0</v>
      </c>
      <c r="M101" s="16">
        <v>16000.0</v>
      </c>
      <c r="N101" s="16"/>
      <c r="O101" s="16">
        <f>M101-N101</f>
        <v>16000</v>
      </c>
      <c r="P101" s="11" t="s">
        <v>42</v>
      </c>
      <c r="Q101" s="11" t="s">
        <v>43</v>
      </c>
      <c r="R101" s="11" t="s">
        <v>44</v>
      </c>
      <c r="S101" s="9" t="s">
        <v>2085</v>
      </c>
      <c r="T101" s="9" t="s">
        <v>44</v>
      </c>
    </row>
    <row r="102" spans="1:20">
      <c r="A102" s="10">
        <v>95</v>
      </c>
      <c r="B102" s="10" t="s">
        <v>251</v>
      </c>
      <c r="C102" s="10" t="s">
        <v>200</v>
      </c>
      <c r="D102" s="10" t="s">
        <v>201</v>
      </c>
      <c r="E102" s="10" t="s">
        <v>34</v>
      </c>
      <c r="F102" s="10" t="s">
        <v>35</v>
      </c>
      <c r="G102" s="8" t="s">
        <v>60</v>
      </c>
      <c r="H102" s="12">
        <v>1</v>
      </c>
      <c r="I102" s="12">
        <v>1</v>
      </c>
      <c r="J102" s="15">
        <v>8000.0</v>
      </c>
      <c r="K102" s="15"/>
      <c r="L102" s="17">
        <f>IF(J102&gt;0, K102/J102, 0)</f>
        <v>0</v>
      </c>
      <c r="M102" s="15">
        <v>8000.0</v>
      </c>
      <c r="N102" s="15"/>
      <c r="O102" s="15">
        <f>M102-N102</f>
        <v>8000</v>
      </c>
      <c r="P102" s="10" t="s">
        <v>42</v>
      </c>
      <c r="Q102" s="10" t="s">
        <v>43</v>
      </c>
      <c r="R102" s="10" t="s">
        <v>44</v>
      </c>
      <c r="S102" s="8" t="s">
        <v>2051</v>
      </c>
      <c r="T102" s="8" t="s">
        <v>44</v>
      </c>
    </row>
    <row r="103" spans="1:20">
      <c r="A103" s="11">
        <v>96</v>
      </c>
      <c r="B103" s="11" t="s">
        <v>252</v>
      </c>
      <c r="C103" s="11" t="s">
        <v>200</v>
      </c>
      <c r="D103" s="11" t="s">
        <v>201</v>
      </c>
      <c r="E103" s="11" t="s">
        <v>70</v>
      </c>
      <c r="F103" s="11" t="s">
        <v>144</v>
      </c>
      <c r="G103" s="9" t="s">
        <v>60</v>
      </c>
      <c r="H103" s="13">
        <v>1</v>
      </c>
      <c r="I103" s="13">
        <v>1</v>
      </c>
      <c r="J103" s="16">
        <v>12000.0</v>
      </c>
      <c r="K103" s="16"/>
      <c r="L103" s="18">
        <f>IF(J103&gt;0, K103/J103, 0)</f>
        <v>0</v>
      </c>
      <c r="M103" s="16">
        <v>12000.0</v>
      </c>
      <c r="N103" s="16"/>
      <c r="O103" s="16">
        <f>M103-N103</f>
        <v>12000</v>
      </c>
      <c r="P103" s="11" t="s">
        <v>42</v>
      </c>
      <c r="Q103" s="11" t="s">
        <v>73</v>
      </c>
      <c r="R103" s="11" t="s">
        <v>44</v>
      </c>
      <c r="S103" s="9" t="s">
        <v>2059</v>
      </c>
      <c r="T103" s="9" t="s">
        <v>146</v>
      </c>
    </row>
    <row r="104" spans="1:20">
      <c r="A104" s="10">
        <v>97</v>
      </c>
      <c r="B104" s="10" t="s">
        <v>253</v>
      </c>
      <c r="C104" s="10" t="s">
        <v>200</v>
      </c>
      <c r="D104" s="10" t="s">
        <v>201</v>
      </c>
      <c r="E104" s="10" t="s">
        <v>34</v>
      </c>
      <c r="F104" s="10" t="s">
        <v>144</v>
      </c>
      <c r="G104" s="8" t="s">
        <v>60</v>
      </c>
      <c r="H104" s="12">
        <v>1</v>
      </c>
      <c r="I104" s="12">
        <v>1</v>
      </c>
      <c r="J104" s="15">
        <v>12000.0</v>
      </c>
      <c r="K104" s="15"/>
      <c r="L104" s="17">
        <f>IF(J104&gt;0, K104/J104, 0)</f>
        <v>0</v>
      </c>
      <c r="M104" s="15">
        <v>12000.0</v>
      </c>
      <c r="N104" s="15"/>
      <c r="O104" s="15">
        <f>M104-N104</f>
        <v>12000</v>
      </c>
      <c r="P104" s="10" t="s">
        <v>42</v>
      </c>
      <c r="Q104" s="10" t="s">
        <v>43</v>
      </c>
      <c r="R104" s="10" t="s">
        <v>44</v>
      </c>
      <c r="S104" s="8" t="s">
        <v>2086</v>
      </c>
      <c r="T104" s="8" t="s">
        <v>146</v>
      </c>
    </row>
    <row r="105" spans="1:20">
      <c r="A105" s="11">
        <v>98</v>
      </c>
      <c r="B105" s="11" t="s">
        <v>255</v>
      </c>
      <c r="C105" s="11" t="s">
        <v>200</v>
      </c>
      <c r="D105" s="11" t="s">
        <v>201</v>
      </c>
      <c r="E105" s="11" t="s">
        <v>34</v>
      </c>
      <c r="F105" s="11" t="s">
        <v>144</v>
      </c>
      <c r="G105" s="9" t="s">
        <v>60</v>
      </c>
      <c r="H105" s="13">
        <v>1</v>
      </c>
      <c r="I105" s="13">
        <v>1</v>
      </c>
      <c r="J105" s="16">
        <v>12000.0</v>
      </c>
      <c r="K105" s="16"/>
      <c r="L105" s="18">
        <f>IF(J105&gt;0, K105/J105, 0)</f>
        <v>0</v>
      </c>
      <c r="M105" s="16">
        <v>12000.0</v>
      </c>
      <c r="N105" s="16"/>
      <c r="O105" s="16">
        <f>M105-N105</f>
        <v>12000</v>
      </c>
      <c r="P105" s="11" t="s">
        <v>42</v>
      </c>
      <c r="Q105" s="11" t="s">
        <v>43</v>
      </c>
      <c r="R105" s="11" t="s">
        <v>44</v>
      </c>
      <c r="S105" s="9" t="s">
        <v>2083</v>
      </c>
      <c r="T105" s="9" t="s">
        <v>146</v>
      </c>
    </row>
    <row r="106" spans="1:20">
      <c r="A106" s="10">
        <v>99</v>
      </c>
      <c r="B106" s="10" t="s">
        <v>256</v>
      </c>
      <c r="C106" s="10" t="s">
        <v>200</v>
      </c>
      <c r="D106" s="10" t="s">
        <v>201</v>
      </c>
      <c r="E106" s="10" t="s">
        <v>34</v>
      </c>
      <c r="F106" s="10" t="s">
        <v>35</v>
      </c>
      <c r="G106" s="8" t="s">
        <v>60</v>
      </c>
      <c r="H106" s="12">
        <v>1</v>
      </c>
      <c r="I106" s="12">
        <v>1</v>
      </c>
      <c r="J106" s="15">
        <v>8000.0</v>
      </c>
      <c r="K106" s="15"/>
      <c r="L106" s="17">
        <f>IF(J106&gt;0, K106/J106, 0)</f>
        <v>0</v>
      </c>
      <c r="M106" s="15">
        <v>8000.0</v>
      </c>
      <c r="N106" s="15"/>
      <c r="O106" s="15">
        <f>M106-N106</f>
        <v>8000</v>
      </c>
      <c r="P106" s="10" t="s">
        <v>42</v>
      </c>
      <c r="Q106" s="10" t="s">
        <v>43</v>
      </c>
      <c r="R106" s="10" t="s">
        <v>44</v>
      </c>
      <c r="S106" s="8" t="s">
        <v>2087</v>
      </c>
      <c r="T106" s="8" t="s">
        <v>44</v>
      </c>
    </row>
    <row r="107" spans="1:20">
      <c r="A107" s="11">
        <v>100</v>
      </c>
      <c r="B107" s="11" t="s">
        <v>258</v>
      </c>
      <c r="C107" s="11" t="s">
        <v>200</v>
      </c>
      <c r="D107" s="11" t="s">
        <v>201</v>
      </c>
      <c r="E107" s="11" t="s">
        <v>34</v>
      </c>
      <c r="F107" s="11" t="s">
        <v>35</v>
      </c>
      <c r="G107" s="9" t="s">
        <v>60</v>
      </c>
      <c r="H107" s="13">
        <v>1</v>
      </c>
      <c r="I107" s="13">
        <v>1</v>
      </c>
      <c r="J107" s="16">
        <v>8000.0</v>
      </c>
      <c r="K107" s="16"/>
      <c r="L107" s="18">
        <f>IF(J107&gt;0, K107/J107, 0)</f>
        <v>0</v>
      </c>
      <c r="M107" s="16">
        <v>8000.0</v>
      </c>
      <c r="N107" s="16"/>
      <c r="O107" s="16">
        <f>M107-N107</f>
        <v>8000</v>
      </c>
      <c r="P107" s="11" t="s">
        <v>42</v>
      </c>
      <c r="Q107" s="11" t="s">
        <v>43</v>
      </c>
      <c r="R107" s="11" t="s">
        <v>44</v>
      </c>
      <c r="S107" s="9" t="s">
        <v>2030</v>
      </c>
      <c r="T107" s="9" t="s">
        <v>44</v>
      </c>
    </row>
    <row r="108" spans="1:20">
      <c r="A108" s="10">
        <v>101</v>
      </c>
      <c r="B108" s="10" t="s">
        <v>259</v>
      </c>
      <c r="C108" s="10" t="s">
        <v>200</v>
      </c>
      <c r="D108" s="10" t="s">
        <v>201</v>
      </c>
      <c r="E108" s="10" t="s">
        <v>34</v>
      </c>
      <c r="F108" s="10" t="s">
        <v>35</v>
      </c>
      <c r="G108" s="8" t="s">
        <v>60</v>
      </c>
      <c r="H108" s="12">
        <v>1</v>
      </c>
      <c r="I108" s="12">
        <v>1</v>
      </c>
      <c r="J108" s="15">
        <v>7000.0</v>
      </c>
      <c r="K108" s="15"/>
      <c r="L108" s="17">
        <f>IF(J108&gt;0, K108/J108, 0)</f>
        <v>0</v>
      </c>
      <c r="M108" s="15">
        <v>7000.0</v>
      </c>
      <c r="N108" s="15"/>
      <c r="O108" s="15">
        <f>M108-N108</f>
        <v>7000</v>
      </c>
      <c r="P108" s="10" t="s">
        <v>42</v>
      </c>
      <c r="Q108" s="10" t="s">
        <v>43</v>
      </c>
      <c r="R108" s="10" t="s">
        <v>44</v>
      </c>
      <c r="S108" s="8" t="s">
        <v>2088</v>
      </c>
      <c r="T108" s="8" t="s">
        <v>44</v>
      </c>
    </row>
    <row r="109" spans="1:20">
      <c r="A109" s="11">
        <v>102</v>
      </c>
      <c r="B109" s="11" t="s">
        <v>261</v>
      </c>
      <c r="C109" s="11" t="s">
        <v>200</v>
      </c>
      <c r="D109" s="11" t="s">
        <v>201</v>
      </c>
      <c r="E109" s="11" t="s">
        <v>34</v>
      </c>
      <c r="F109" s="11" t="s">
        <v>35</v>
      </c>
      <c r="G109" s="9" t="s">
        <v>60</v>
      </c>
      <c r="H109" s="13">
        <v>1</v>
      </c>
      <c r="I109" s="13">
        <v>1</v>
      </c>
      <c r="J109" s="16">
        <v>7000.0</v>
      </c>
      <c r="K109" s="16"/>
      <c r="L109" s="18">
        <f>IF(J109&gt;0, K109/J109, 0)</f>
        <v>0</v>
      </c>
      <c r="M109" s="16">
        <v>7000.0</v>
      </c>
      <c r="N109" s="16"/>
      <c r="O109" s="16">
        <f>M109-N109</f>
        <v>7000</v>
      </c>
      <c r="P109" s="11" t="s">
        <v>42</v>
      </c>
      <c r="Q109" s="11" t="s">
        <v>43</v>
      </c>
      <c r="R109" s="11" t="s">
        <v>44</v>
      </c>
      <c r="S109" s="9" t="s">
        <v>2038</v>
      </c>
      <c r="T109" s="9" t="s">
        <v>44</v>
      </c>
    </row>
    <row r="110" spans="1:20">
      <c r="A110" s="10">
        <v>103</v>
      </c>
      <c r="B110" s="10" t="s">
        <v>262</v>
      </c>
      <c r="C110" s="10" t="s">
        <v>200</v>
      </c>
      <c r="D110" s="10" t="s">
        <v>201</v>
      </c>
      <c r="E110" s="10" t="s">
        <v>34</v>
      </c>
      <c r="F110" s="10" t="s">
        <v>144</v>
      </c>
      <c r="G110" s="8" t="s">
        <v>60</v>
      </c>
      <c r="H110" s="12">
        <v>1</v>
      </c>
      <c r="I110" s="12">
        <v>1</v>
      </c>
      <c r="J110" s="15">
        <v>18000.0</v>
      </c>
      <c r="K110" s="15"/>
      <c r="L110" s="17">
        <f>IF(J110&gt;0, K110/J110, 0)</f>
        <v>0</v>
      </c>
      <c r="M110" s="15">
        <v>18000.0</v>
      </c>
      <c r="N110" s="15"/>
      <c r="O110" s="15">
        <f>M110-N110</f>
        <v>18000</v>
      </c>
      <c r="P110" s="10" t="s">
        <v>42</v>
      </c>
      <c r="Q110" s="10" t="s">
        <v>43</v>
      </c>
      <c r="R110" s="10" t="s">
        <v>44</v>
      </c>
      <c r="S110" s="8" t="s">
        <v>2039</v>
      </c>
      <c r="T110" s="8" t="s">
        <v>146</v>
      </c>
    </row>
    <row r="111" spans="1:20">
      <c r="A111" s="11">
        <v>104</v>
      </c>
      <c r="B111" s="11" t="s">
        <v>264</v>
      </c>
      <c r="C111" s="11" t="s">
        <v>200</v>
      </c>
      <c r="D111" s="11" t="s">
        <v>201</v>
      </c>
      <c r="E111" s="11" t="s">
        <v>34</v>
      </c>
      <c r="F111" s="11" t="s">
        <v>144</v>
      </c>
      <c r="G111" s="9" t="s">
        <v>60</v>
      </c>
      <c r="H111" s="13">
        <v>1</v>
      </c>
      <c r="I111" s="13">
        <v>2</v>
      </c>
      <c r="J111" s="16">
        <v>20000.0</v>
      </c>
      <c r="K111" s="16"/>
      <c r="L111" s="18">
        <f>IF(J111&gt;0, K111/J111, 0)</f>
        <v>0</v>
      </c>
      <c r="M111" s="16">
        <v>20000.0</v>
      </c>
      <c r="N111" s="16"/>
      <c r="O111" s="16">
        <f>M111-N111</f>
        <v>20000</v>
      </c>
      <c r="P111" s="11" t="s">
        <v>42</v>
      </c>
      <c r="Q111" s="11" t="s">
        <v>43</v>
      </c>
      <c r="R111" s="11" t="s">
        <v>44</v>
      </c>
      <c r="S111" s="9" t="s">
        <v>2089</v>
      </c>
      <c r="T111" s="9" t="s">
        <v>146</v>
      </c>
    </row>
    <row r="112" spans="1:20">
      <c r="A112" s="10">
        <v>105</v>
      </c>
      <c r="B112" s="10" t="s">
        <v>266</v>
      </c>
      <c r="C112" s="10" t="s">
        <v>200</v>
      </c>
      <c r="D112" s="10" t="s">
        <v>201</v>
      </c>
      <c r="E112" s="10" t="s">
        <v>34</v>
      </c>
      <c r="F112" s="10" t="s">
        <v>35</v>
      </c>
      <c r="G112" s="8" t="s">
        <v>60</v>
      </c>
      <c r="H112" s="12">
        <v>1</v>
      </c>
      <c r="I112" s="12">
        <v>1</v>
      </c>
      <c r="J112" s="15">
        <v>16000.0</v>
      </c>
      <c r="K112" s="15"/>
      <c r="L112" s="17">
        <f>IF(J112&gt;0, K112/J112, 0)</f>
        <v>0</v>
      </c>
      <c r="M112" s="15">
        <v>16000.0</v>
      </c>
      <c r="N112" s="15"/>
      <c r="O112" s="15">
        <f>M112-N112</f>
        <v>16000</v>
      </c>
      <c r="P112" s="10" t="s">
        <v>42</v>
      </c>
      <c r="Q112" s="10" t="s">
        <v>43</v>
      </c>
      <c r="R112" s="10" t="s">
        <v>44</v>
      </c>
      <c r="S112" s="8" t="s">
        <v>2090</v>
      </c>
      <c r="T112" s="8" t="s">
        <v>44</v>
      </c>
    </row>
    <row r="113" spans="1:20">
      <c r="A113" s="11">
        <v>106</v>
      </c>
      <c r="B113" s="11" t="s">
        <v>268</v>
      </c>
      <c r="C113" s="11" t="s">
        <v>200</v>
      </c>
      <c r="D113" s="11" t="s">
        <v>201</v>
      </c>
      <c r="E113" s="11" t="s">
        <v>34</v>
      </c>
      <c r="F113" s="11" t="s">
        <v>35</v>
      </c>
      <c r="G113" s="9" t="s">
        <v>60</v>
      </c>
      <c r="H113" s="13">
        <v>1</v>
      </c>
      <c r="I113" s="13">
        <v>1</v>
      </c>
      <c r="J113" s="16">
        <v>18000.0</v>
      </c>
      <c r="K113" s="16"/>
      <c r="L113" s="18">
        <f>IF(J113&gt;0, K113/J113, 0)</f>
        <v>0</v>
      </c>
      <c r="M113" s="16">
        <v>18000.0</v>
      </c>
      <c r="N113" s="16"/>
      <c r="O113" s="16">
        <f>M113-N113</f>
        <v>18000</v>
      </c>
      <c r="P113" s="11" t="s">
        <v>42</v>
      </c>
      <c r="Q113" s="11" t="s">
        <v>43</v>
      </c>
      <c r="R113" s="11" t="s">
        <v>44</v>
      </c>
      <c r="S113" s="9" t="s">
        <v>2049</v>
      </c>
      <c r="T113" s="9" t="s">
        <v>44</v>
      </c>
    </row>
    <row r="114" spans="1:20">
      <c r="A114" s="10">
        <v>107</v>
      </c>
      <c r="B114" s="10" t="s">
        <v>269</v>
      </c>
      <c r="C114" s="10" t="s">
        <v>200</v>
      </c>
      <c r="D114" s="10" t="s">
        <v>201</v>
      </c>
      <c r="E114" s="10" t="s">
        <v>34</v>
      </c>
      <c r="F114" s="10" t="s">
        <v>144</v>
      </c>
      <c r="G114" s="8" t="s">
        <v>60</v>
      </c>
      <c r="H114" s="12">
        <v>1</v>
      </c>
      <c r="I114" s="12">
        <v>2</v>
      </c>
      <c r="J114" s="15">
        <v>20000.0</v>
      </c>
      <c r="K114" s="15"/>
      <c r="L114" s="17">
        <f>IF(J114&gt;0, K114/J114, 0)</f>
        <v>0</v>
      </c>
      <c r="M114" s="15">
        <v>20000.0</v>
      </c>
      <c r="N114" s="15"/>
      <c r="O114" s="15">
        <f>M114-N114</f>
        <v>20000</v>
      </c>
      <c r="P114" s="10" t="s">
        <v>42</v>
      </c>
      <c r="Q114" s="10" t="s">
        <v>43</v>
      </c>
      <c r="R114" s="10" t="s">
        <v>44</v>
      </c>
      <c r="S114" s="8" t="s">
        <v>2091</v>
      </c>
      <c r="T114" s="8" t="s">
        <v>146</v>
      </c>
    </row>
    <row r="115" spans="1:20">
      <c r="A115" s="11">
        <v>108</v>
      </c>
      <c r="B115" s="11" t="s">
        <v>270</v>
      </c>
      <c r="C115" s="11" t="s">
        <v>200</v>
      </c>
      <c r="D115" s="11" t="s">
        <v>201</v>
      </c>
      <c r="E115" s="11" t="s">
        <v>34</v>
      </c>
      <c r="F115" s="11" t="s">
        <v>35</v>
      </c>
      <c r="G115" s="9" t="s">
        <v>60</v>
      </c>
      <c r="H115" s="13">
        <v>1</v>
      </c>
      <c r="I115" s="13">
        <v>3</v>
      </c>
      <c r="J115" s="16">
        <v>21000.0</v>
      </c>
      <c r="K115" s="16"/>
      <c r="L115" s="18">
        <f>IF(J115&gt;0, K115/J115, 0)</f>
        <v>0</v>
      </c>
      <c r="M115" s="16">
        <v>21000.0</v>
      </c>
      <c r="N115" s="16"/>
      <c r="O115" s="16">
        <f>M115-N115</f>
        <v>21000</v>
      </c>
      <c r="P115" s="11" t="s">
        <v>42</v>
      </c>
      <c r="Q115" s="11" t="s">
        <v>43</v>
      </c>
      <c r="R115" s="11" t="s">
        <v>44</v>
      </c>
      <c r="S115" s="9" t="s">
        <v>2092</v>
      </c>
      <c r="T115" s="9" t="s">
        <v>44</v>
      </c>
    </row>
    <row r="116" spans="1:20">
      <c r="A116" s="10">
        <v>109</v>
      </c>
      <c r="B116" s="10" t="s">
        <v>271</v>
      </c>
      <c r="C116" s="10" t="s">
        <v>200</v>
      </c>
      <c r="D116" s="10" t="s">
        <v>201</v>
      </c>
      <c r="E116" s="10" t="s">
        <v>34</v>
      </c>
      <c r="F116" s="10" t="s">
        <v>35</v>
      </c>
      <c r="G116" s="8" t="s">
        <v>60</v>
      </c>
      <c r="H116" s="12">
        <v>1</v>
      </c>
      <c r="I116" s="12">
        <v>1</v>
      </c>
      <c r="J116" s="15">
        <v>10000.0</v>
      </c>
      <c r="K116" s="15"/>
      <c r="L116" s="17">
        <f>IF(J116&gt;0, K116/J116, 0)</f>
        <v>0</v>
      </c>
      <c r="M116" s="15">
        <v>10000.0</v>
      </c>
      <c r="N116" s="15"/>
      <c r="O116" s="15">
        <f>M116-N116</f>
        <v>10000</v>
      </c>
      <c r="P116" s="10" t="s">
        <v>42</v>
      </c>
      <c r="Q116" s="10" t="s">
        <v>43</v>
      </c>
      <c r="R116" s="10" t="s">
        <v>44</v>
      </c>
      <c r="S116" s="8" t="s">
        <v>2051</v>
      </c>
      <c r="T116" s="8" t="s">
        <v>44</v>
      </c>
    </row>
    <row r="117" spans="1:20">
      <c r="A117" s="11">
        <v>110</v>
      </c>
      <c r="B117" s="11" t="s">
        <v>272</v>
      </c>
      <c r="C117" s="11" t="s">
        <v>200</v>
      </c>
      <c r="D117" s="11" t="s">
        <v>201</v>
      </c>
      <c r="E117" s="11" t="s">
        <v>34</v>
      </c>
      <c r="F117" s="11" t="s">
        <v>35</v>
      </c>
      <c r="G117" s="9" t="s">
        <v>60</v>
      </c>
      <c r="H117" s="13">
        <v>1</v>
      </c>
      <c r="I117" s="13">
        <v>1</v>
      </c>
      <c r="J117" s="16">
        <v>16000.0</v>
      </c>
      <c r="K117" s="16"/>
      <c r="L117" s="18">
        <f>IF(J117&gt;0, K117/J117, 0)</f>
        <v>0</v>
      </c>
      <c r="M117" s="16">
        <v>16000.0</v>
      </c>
      <c r="N117" s="16"/>
      <c r="O117" s="16">
        <f>M117-N117</f>
        <v>16000</v>
      </c>
      <c r="P117" s="11" t="s">
        <v>42</v>
      </c>
      <c r="Q117" s="11" t="s">
        <v>43</v>
      </c>
      <c r="R117" s="11" t="s">
        <v>44</v>
      </c>
      <c r="S117" s="9" t="s">
        <v>2073</v>
      </c>
      <c r="T117" s="9" t="s">
        <v>44</v>
      </c>
    </row>
    <row r="118" spans="1:20">
      <c r="A118" s="10">
        <v>111</v>
      </c>
      <c r="B118" s="10" t="s">
        <v>273</v>
      </c>
      <c r="C118" s="10" t="s">
        <v>200</v>
      </c>
      <c r="D118" s="10" t="s">
        <v>201</v>
      </c>
      <c r="E118" s="10" t="s">
        <v>34</v>
      </c>
      <c r="F118" s="10" t="s">
        <v>35</v>
      </c>
      <c r="G118" s="8" t="s">
        <v>60</v>
      </c>
      <c r="H118" s="12">
        <v>1</v>
      </c>
      <c r="I118" s="12">
        <v>1</v>
      </c>
      <c r="J118" s="15">
        <v>7500.0</v>
      </c>
      <c r="K118" s="15"/>
      <c r="L118" s="17">
        <f>IF(J118&gt;0, K118/J118, 0)</f>
        <v>0</v>
      </c>
      <c r="M118" s="15">
        <v>7500.0</v>
      </c>
      <c r="N118" s="15"/>
      <c r="O118" s="15">
        <f>M118-N118</f>
        <v>7500</v>
      </c>
      <c r="P118" s="10" t="s">
        <v>42</v>
      </c>
      <c r="Q118" s="10" t="s">
        <v>43</v>
      </c>
      <c r="R118" s="10" t="s">
        <v>44</v>
      </c>
      <c r="S118" s="8" t="s">
        <v>2023</v>
      </c>
      <c r="T118" s="8" t="s">
        <v>44</v>
      </c>
    </row>
    <row r="119" spans="1:20">
      <c r="A119" s="11">
        <v>112</v>
      </c>
      <c r="B119" s="11" t="s">
        <v>274</v>
      </c>
      <c r="C119" s="11" t="s">
        <v>200</v>
      </c>
      <c r="D119" s="11" t="s">
        <v>201</v>
      </c>
      <c r="E119" s="11" t="s">
        <v>34</v>
      </c>
      <c r="F119" s="11" t="s">
        <v>35</v>
      </c>
      <c r="G119" s="9" t="s">
        <v>60</v>
      </c>
      <c r="H119" s="13">
        <v>1</v>
      </c>
      <c r="I119" s="13">
        <v>1</v>
      </c>
      <c r="J119" s="16">
        <v>8500.0</v>
      </c>
      <c r="K119" s="16"/>
      <c r="L119" s="18">
        <f>IF(J119&gt;0, K119/J119, 0)</f>
        <v>0</v>
      </c>
      <c r="M119" s="16">
        <v>8500.0</v>
      </c>
      <c r="N119" s="16"/>
      <c r="O119" s="16">
        <f>M119-N119</f>
        <v>8500</v>
      </c>
      <c r="P119" s="11" t="s">
        <v>42</v>
      </c>
      <c r="Q119" s="11" t="s">
        <v>43</v>
      </c>
      <c r="R119" s="11" t="s">
        <v>44</v>
      </c>
      <c r="S119" s="9" t="s">
        <v>2045</v>
      </c>
      <c r="T119" s="9" t="s">
        <v>44</v>
      </c>
    </row>
    <row r="120" spans="1:20">
      <c r="A120" s="10">
        <v>113</v>
      </c>
      <c r="B120" s="10" t="s">
        <v>275</v>
      </c>
      <c r="C120" s="10" t="s">
        <v>200</v>
      </c>
      <c r="D120" s="10" t="s">
        <v>201</v>
      </c>
      <c r="E120" s="10" t="s">
        <v>34</v>
      </c>
      <c r="F120" s="10" t="s">
        <v>144</v>
      </c>
      <c r="G120" s="8" t="s">
        <v>60</v>
      </c>
      <c r="H120" s="12">
        <v>1</v>
      </c>
      <c r="I120" s="12">
        <v>1</v>
      </c>
      <c r="J120" s="15">
        <v>12000.0</v>
      </c>
      <c r="K120" s="15">
        <v>1200.0</v>
      </c>
      <c r="L120" s="17">
        <f>IF(J120&gt;0, K120/J120, 0)</f>
        <v>0.1</v>
      </c>
      <c r="M120" s="15">
        <v>10800.0</v>
      </c>
      <c r="N120" s="15"/>
      <c r="O120" s="15">
        <f>M120-N120</f>
        <v>10800</v>
      </c>
      <c r="P120" s="10" t="s">
        <v>42</v>
      </c>
      <c r="Q120" s="10" t="s">
        <v>43</v>
      </c>
      <c r="R120" s="10" t="s">
        <v>44</v>
      </c>
      <c r="S120" s="8" t="s">
        <v>2084</v>
      </c>
      <c r="T120" s="8" t="s">
        <v>146</v>
      </c>
    </row>
    <row r="121" spans="1:20">
      <c r="A121" s="11">
        <v>114</v>
      </c>
      <c r="B121" s="11" t="s">
        <v>276</v>
      </c>
      <c r="C121" s="11" t="s">
        <v>200</v>
      </c>
      <c r="D121" s="11" t="s">
        <v>201</v>
      </c>
      <c r="E121" s="11" t="s">
        <v>34</v>
      </c>
      <c r="F121" s="11" t="s">
        <v>35</v>
      </c>
      <c r="G121" s="9" t="s">
        <v>60</v>
      </c>
      <c r="H121" s="13">
        <v>1</v>
      </c>
      <c r="I121" s="13">
        <v>2</v>
      </c>
      <c r="J121" s="16">
        <v>16000.0</v>
      </c>
      <c r="K121" s="16"/>
      <c r="L121" s="18">
        <f>IF(J121&gt;0, K121/J121, 0)</f>
        <v>0</v>
      </c>
      <c r="M121" s="16">
        <v>16000.0</v>
      </c>
      <c r="N121" s="16"/>
      <c r="O121" s="16">
        <f>M121-N121</f>
        <v>16000</v>
      </c>
      <c r="P121" s="11" t="s">
        <v>42</v>
      </c>
      <c r="Q121" s="11" t="s">
        <v>43</v>
      </c>
      <c r="R121" s="11" t="s">
        <v>44</v>
      </c>
      <c r="S121" s="9" t="s">
        <v>2085</v>
      </c>
      <c r="T121" s="9" t="s">
        <v>44</v>
      </c>
    </row>
    <row r="122" spans="1:20">
      <c r="A122" s="10">
        <v>115</v>
      </c>
      <c r="B122" s="10" t="s">
        <v>277</v>
      </c>
      <c r="C122" s="10" t="s">
        <v>200</v>
      </c>
      <c r="D122" s="10" t="s">
        <v>201</v>
      </c>
      <c r="E122" s="10" t="s">
        <v>34</v>
      </c>
      <c r="F122" s="10" t="s">
        <v>144</v>
      </c>
      <c r="G122" s="8" t="s">
        <v>60</v>
      </c>
      <c r="H122" s="12">
        <v>1</v>
      </c>
      <c r="I122" s="12">
        <v>1</v>
      </c>
      <c r="J122" s="15">
        <v>12000.0</v>
      </c>
      <c r="K122" s="15"/>
      <c r="L122" s="17">
        <f>IF(J122&gt;0, K122/J122, 0)</f>
        <v>0</v>
      </c>
      <c r="M122" s="15">
        <v>12000.0</v>
      </c>
      <c r="N122" s="15"/>
      <c r="O122" s="15">
        <f>M122-N122</f>
        <v>12000</v>
      </c>
      <c r="P122" s="10" t="s">
        <v>42</v>
      </c>
      <c r="Q122" s="10" t="s">
        <v>43</v>
      </c>
      <c r="R122" s="10" t="s">
        <v>44</v>
      </c>
      <c r="S122" s="8" t="s">
        <v>2084</v>
      </c>
      <c r="T122" s="8" t="s">
        <v>278</v>
      </c>
    </row>
    <row r="123" spans="1:20">
      <c r="A123" s="11">
        <v>116</v>
      </c>
      <c r="B123" s="11" t="s">
        <v>279</v>
      </c>
      <c r="C123" s="11" t="s">
        <v>200</v>
      </c>
      <c r="D123" s="11" t="s">
        <v>201</v>
      </c>
      <c r="E123" s="11" t="s">
        <v>34</v>
      </c>
      <c r="F123" s="11" t="s">
        <v>144</v>
      </c>
      <c r="G123" s="9" t="s">
        <v>60</v>
      </c>
      <c r="H123" s="13">
        <v>1</v>
      </c>
      <c r="I123" s="13">
        <v>1</v>
      </c>
      <c r="J123" s="16">
        <v>5000.0</v>
      </c>
      <c r="K123" s="16"/>
      <c r="L123" s="18">
        <f>IF(J123&gt;0, K123/J123, 0)</f>
        <v>0</v>
      </c>
      <c r="M123" s="16">
        <v>5000.0</v>
      </c>
      <c r="N123" s="16"/>
      <c r="O123" s="16">
        <f>M123-N123</f>
        <v>5000</v>
      </c>
      <c r="P123" s="11" t="s">
        <v>42</v>
      </c>
      <c r="Q123" s="11" t="s">
        <v>43</v>
      </c>
      <c r="R123" s="11" t="s">
        <v>44</v>
      </c>
      <c r="S123" s="9" t="s">
        <v>2056</v>
      </c>
      <c r="T123" s="9" t="s">
        <v>146</v>
      </c>
    </row>
    <row r="124" spans="1:20">
      <c r="A124" s="10">
        <v>117</v>
      </c>
      <c r="B124" s="10" t="s">
        <v>281</v>
      </c>
      <c r="C124" s="10" t="s">
        <v>200</v>
      </c>
      <c r="D124" s="10" t="s">
        <v>201</v>
      </c>
      <c r="E124" s="10" t="s">
        <v>34</v>
      </c>
      <c r="F124" s="10" t="s">
        <v>35</v>
      </c>
      <c r="G124" s="8" t="s">
        <v>60</v>
      </c>
      <c r="H124" s="12">
        <v>1</v>
      </c>
      <c r="I124" s="12">
        <v>2</v>
      </c>
      <c r="J124" s="15">
        <v>16000.0</v>
      </c>
      <c r="K124" s="15"/>
      <c r="L124" s="17">
        <f>IF(J124&gt;0, K124/J124, 0)</f>
        <v>0</v>
      </c>
      <c r="M124" s="15">
        <v>16000.0</v>
      </c>
      <c r="N124" s="15"/>
      <c r="O124" s="15">
        <f>M124-N124</f>
        <v>16000</v>
      </c>
      <c r="P124" s="10" t="s">
        <v>42</v>
      </c>
      <c r="Q124" s="10" t="s">
        <v>43</v>
      </c>
      <c r="R124" s="10" t="s">
        <v>44</v>
      </c>
      <c r="S124" s="8" t="s">
        <v>2093</v>
      </c>
      <c r="T124" s="8" t="s">
        <v>44</v>
      </c>
    </row>
    <row r="125" spans="1:20">
      <c r="A125" s="11">
        <v>118</v>
      </c>
      <c r="B125" s="11" t="s">
        <v>283</v>
      </c>
      <c r="C125" s="11" t="s">
        <v>200</v>
      </c>
      <c r="D125" s="11" t="s">
        <v>201</v>
      </c>
      <c r="E125" s="11" t="s">
        <v>34</v>
      </c>
      <c r="F125" s="11" t="s">
        <v>35</v>
      </c>
      <c r="G125" s="9" t="s">
        <v>60</v>
      </c>
      <c r="H125" s="13">
        <v>1</v>
      </c>
      <c r="I125" s="13">
        <v>2</v>
      </c>
      <c r="J125" s="16">
        <v>16000.0</v>
      </c>
      <c r="K125" s="16"/>
      <c r="L125" s="18">
        <f>IF(J125&gt;0, K125/J125, 0)</f>
        <v>0</v>
      </c>
      <c r="M125" s="16">
        <v>16000.0</v>
      </c>
      <c r="N125" s="16"/>
      <c r="O125" s="16">
        <f>M125-N125</f>
        <v>16000</v>
      </c>
      <c r="P125" s="11" t="s">
        <v>42</v>
      </c>
      <c r="Q125" s="11" t="s">
        <v>43</v>
      </c>
      <c r="R125" s="11" t="s">
        <v>44</v>
      </c>
      <c r="S125" s="9" t="s">
        <v>2094</v>
      </c>
      <c r="T125" s="9" t="s">
        <v>44</v>
      </c>
    </row>
    <row r="126" spans="1:20">
      <c r="A126" s="10">
        <v>119</v>
      </c>
      <c r="B126" s="10" t="s">
        <v>285</v>
      </c>
      <c r="C126" s="10" t="s">
        <v>200</v>
      </c>
      <c r="D126" s="10" t="s">
        <v>201</v>
      </c>
      <c r="E126" s="10" t="s">
        <v>34</v>
      </c>
      <c r="F126" s="10" t="s">
        <v>144</v>
      </c>
      <c r="G126" s="8" t="s">
        <v>60</v>
      </c>
      <c r="H126" s="12">
        <v>1</v>
      </c>
      <c r="I126" s="12">
        <v>1</v>
      </c>
      <c r="J126" s="15">
        <v>18000.0</v>
      </c>
      <c r="K126" s="15"/>
      <c r="L126" s="17">
        <f>IF(J126&gt;0, K126/J126, 0)</f>
        <v>0</v>
      </c>
      <c r="M126" s="15">
        <v>18000.0</v>
      </c>
      <c r="N126" s="15"/>
      <c r="O126" s="15">
        <f>M126-N126</f>
        <v>18000</v>
      </c>
      <c r="P126" s="10" t="s">
        <v>42</v>
      </c>
      <c r="Q126" s="10" t="s">
        <v>43</v>
      </c>
      <c r="R126" s="10" t="s">
        <v>44</v>
      </c>
      <c r="S126" s="8" t="s">
        <v>2095</v>
      </c>
      <c r="T126" s="8" t="s">
        <v>146</v>
      </c>
    </row>
    <row r="127" spans="1:20">
      <c r="A127" s="11">
        <v>120</v>
      </c>
      <c r="B127" s="11" t="s">
        <v>288</v>
      </c>
      <c r="C127" s="11" t="s">
        <v>200</v>
      </c>
      <c r="D127" s="11" t="s">
        <v>201</v>
      </c>
      <c r="E127" s="11" t="s">
        <v>34</v>
      </c>
      <c r="F127" s="11" t="s">
        <v>35</v>
      </c>
      <c r="G127" s="9" t="s">
        <v>60</v>
      </c>
      <c r="H127" s="13">
        <v>1</v>
      </c>
      <c r="I127" s="13">
        <v>1</v>
      </c>
      <c r="J127" s="16">
        <v>8500.0</v>
      </c>
      <c r="K127" s="16"/>
      <c r="L127" s="18">
        <f>IF(J127&gt;0, K127/J127, 0)</f>
        <v>0</v>
      </c>
      <c r="M127" s="16">
        <v>8500.0</v>
      </c>
      <c r="N127" s="16"/>
      <c r="O127" s="16">
        <f>M127-N127</f>
        <v>8500</v>
      </c>
      <c r="P127" s="11" t="s">
        <v>42</v>
      </c>
      <c r="Q127" s="11" t="s">
        <v>43</v>
      </c>
      <c r="R127" s="11" t="s">
        <v>44</v>
      </c>
      <c r="S127" s="9" t="s">
        <v>2045</v>
      </c>
      <c r="T127" s="9" t="s">
        <v>44</v>
      </c>
    </row>
    <row r="128" spans="1:20">
      <c r="A128" s="10">
        <v>121</v>
      </c>
      <c r="B128" s="10" t="s">
        <v>289</v>
      </c>
      <c r="C128" s="10" t="s">
        <v>200</v>
      </c>
      <c r="D128" s="10" t="s">
        <v>201</v>
      </c>
      <c r="E128" s="10" t="s">
        <v>34</v>
      </c>
      <c r="F128" s="10" t="s">
        <v>35</v>
      </c>
      <c r="G128" s="8" t="s">
        <v>60</v>
      </c>
      <c r="H128" s="12">
        <v>1</v>
      </c>
      <c r="I128" s="12">
        <v>1</v>
      </c>
      <c r="J128" s="15">
        <v>8000.0</v>
      </c>
      <c r="K128" s="15"/>
      <c r="L128" s="17">
        <f>IF(J128&gt;0, K128/J128, 0)</f>
        <v>0</v>
      </c>
      <c r="M128" s="15">
        <v>8000.0</v>
      </c>
      <c r="N128" s="15"/>
      <c r="O128" s="15">
        <f>M128-N128</f>
        <v>8000</v>
      </c>
      <c r="P128" s="10" t="s">
        <v>42</v>
      </c>
      <c r="Q128" s="10" t="s">
        <v>43</v>
      </c>
      <c r="R128" s="10" t="s">
        <v>44</v>
      </c>
      <c r="S128" s="8" t="s">
        <v>2068</v>
      </c>
      <c r="T128" s="8" t="s">
        <v>44</v>
      </c>
    </row>
    <row r="129" spans="1:20">
      <c r="A129" s="11">
        <v>122</v>
      </c>
      <c r="B129" s="11" t="s">
        <v>290</v>
      </c>
      <c r="C129" s="11" t="s">
        <v>200</v>
      </c>
      <c r="D129" s="11" t="s">
        <v>201</v>
      </c>
      <c r="E129" s="11" t="s">
        <v>34</v>
      </c>
      <c r="F129" s="11" t="s">
        <v>35</v>
      </c>
      <c r="G129" s="9" t="s">
        <v>60</v>
      </c>
      <c r="H129" s="13">
        <v>1</v>
      </c>
      <c r="I129" s="13">
        <v>1</v>
      </c>
      <c r="J129" s="16">
        <v>8500.0</v>
      </c>
      <c r="K129" s="16"/>
      <c r="L129" s="18">
        <f>IF(J129&gt;0, K129/J129, 0)</f>
        <v>0</v>
      </c>
      <c r="M129" s="16">
        <v>8500.0</v>
      </c>
      <c r="N129" s="16"/>
      <c r="O129" s="16">
        <f>M129-N129</f>
        <v>8500</v>
      </c>
      <c r="P129" s="11" t="s">
        <v>42</v>
      </c>
      <c r="Q129" s="11" t="s">
        <v>43</v>
      </c>
      <c r="R129" s="11" t="s">
        <v>44</v>
      </c>
      <c r="S129" s="9" t="s">
        <v>2024</v>
      </c>
      <c r="T129" s="9" t="s">
        <v>44</v>
      </c>
    </row>
    <row r="130" spans="1:20">
      <c r="A130" s="10">
        <v>123</v>
      </c>
      <c r="B130" s="10" t="s">
        <v>291</v>
      </c>
      <c r="C130" s="10" t="s">
        <v>200</v>
      </c>
      <c r="D130" s="10" t="s">
        <v>201</v>
      </c>
      <c r="E130" s="10" t="s">
        <v>34</v>
      </c>
      <c r="F130" s="10" t="s">
        <v>35</v>
      </c>
      <c r="G130" s="8" t="s">
        <v>60</v>
      </c>
      <c r="H130" s="12">
        <v>1</v>
      </c>
      <c r="I130" s="12">
        <v>3</v>
      </c>
      <c r="J130" s="15">
        <v>21000.0</v>
      </c>
      <c r="K130" s="15"/>
      <c r="L130" s="17">
        <f>IF(J130&gt;0, K130/J130, 0)</f>
        <v>0</v>
      </c>
      <c r="M130" s="15">
        <v>21000.0</v>
      </c>
      <c r="N130" s="15"/>
      <c r="O130" s="15">
        <f>M130-N130</f>
        <v>21000</v>
      </c>
      <c r="P130" s="10" t="s">
        <v>42</v>
      </c>
      <c r="Q130" s="10" t="s">
        <v>43</v>
      </c>
      <c r="R130" s="10" t="s">
        <v>44</v>
      </c>
      <c r="S130" s="8" t="s">
        <v>2096</v>
      </c>
      <c r="T130" s="8" t="s">
        <v>44</v>
      </c>
    </row>
    <row r="131" spans="1:20">
      <c r="A131" s="11">
        <v>124</v>
      </c>
      <c r="B131" s="11" t="s">
        <v>292</v>
      </c>
      <c r="C131" s="11" t="s">
        <v>200</v>
      </c>
      <c r="D131" s="11" t="s">
        <v>201</v>
      </c>
      <c r="E131" s="11" t="s">
        <v>34</v>
      </c>
      <c r="F131" s="11" t="s">
        <v>35</v>
      </c>
      <c r="G131" s="9" t="s">
        <v>60</v>
      </c>
      <c r="H131" s="13">
        <v>1</v>
      </c>
      <c r="I131" s="13">
        <v>1</v>
      </c>
      <c r="J131" s="16">
        <v>18000.0</v>
      </c>
      <c r="K131" s="16"/>
      <c r="L131" s="18">
        <f>IF(J131&gt;0, K131/J131, 0)</f>
        <v>0</v>
      </c>
      <c r="M131" s="16">
        <v>18000.0</v>
      </c>
      <c r="N131" s="16"/>
      <c r="O131" s="16">
        <f>M131-N131</f>
        <v>18000</v>
      </c>
      <c r="P131" s="11" t="s">
        <v>42</v>
      </c>
      <c r="Q131" s="11" t="s">
        <v>43</v>
      </c>
      <c r="R131" s="11" t="s">
        <v>44</v>
      </c>
      <c r="S131" s="9" t="s">
        <v>2066</v>
      </c>
      <c r="T131" s="9" t="s">
        <v>44</v>
      </c>
    </row>
    <row r="132" spans="1:20">
      <c r="A132" s="10">
        <v>125</v>
      </c>
      <c r="B132" s="10" t="s">
        <v>293</v>
      </c>
      <c r="C132" s="10" t="s">
        <v>200</v>
      </c>
      <c r="D132" s="10" t="s">
        <v>201</v>
      </c>
      <c r="E132" s="10" t="s">
        <v>70</v>
      </c>
      <c r="F132" s="10" t="s">
        <v>35</v>
      </c>
      <c r="G132" s="8" t="s">
        <v>60</v>
      </c>
      <c r="H132" s="12">
        <v>1</v>
      </c>
      <c r="I132" s="12">
        <v>2</v>
      </c>
      <c r="J132" s="15">
        <v>22000.0</v>
      </c>
      <c r="K132" s="15"/>
      <c r="L132" s="17">
        <f>IF(J132&gt;0, K132/J132, 0)</f>
        <v>0</v>
      </c>
      <c r="M132" s="15">
        <v>22000.0</v>
      </c>
      <c r="N132" s="15"/>
      <c r="O132" s="15">
        <f>M132-N132</f>
        <v>22000</v>
      </c>
      <c r="P132" s="10" t="s">
        <v>42</v>
      </c>
      <c r="Q132" s="10" t="s">
        <v>73</v>
      </c>
      <c r="R132" s="10" t="s">
        <v>44</v>
      </c>
      <c r="S132" s="8" t="s">
        <v>2097</v>
      </c>
      <c r="T132" s="8" t="s">
        <v>44</v>
      </c>
    </row>
    <row r="133" spans="1:20">
      <c r="A133" s="11">
        <v>126</v>
      </c>
      <c r="B133" s="11" t="s">
        <v>295</v>
      </c>
      <c r="C133" s="11" t="s">
        <v>200</v>
      </c>
      <c r="D133" s="11" t="s">
        <v>201</v>
      </c>
      <c r="E133" s="11" t="s">
        <v>34</v>
      </c>
      <c r="F133" s="11" t="s">
        <v>144</v>
      </c>
      <c r="G133" s="9" t="s">
        <v>60</v>
      </c>
      <c r="H133" s="13">
        <v>1</v>
      </c>
      <c r="I133" s="13">
        <v>1</v>
      </c>
      <c r="J133" s="16">
        <v>18000.0</v>
      </c>
      <c r="K133" s="16"/>
      <c r="L133" s="18">
        <f>IF(J133&gt;0, K133/J133, 0)</f>
        <v>0</v>
      </c>
      <c r="M133" s="16">
        <v>18000.0</v>
      </c>
      <c r="N133" s="16"/>
      <c r="O133" s="16">
        <f>M133-N133</f>
        <v>18000</v>
      </c>
      <c r="P133" s="11" t="s">
        <v>42</v>
      </c>
      <c r="Q133" s="11" t="s">
        <v>43</v>
      </c>
      <c r="R133" s="11" t="s">
        <v>44</v>
      </c>
      <c r="S133" s="9" t="s">
        <v>2039</v>
      </c>
      <c r="T133" s="9" t="s">
        <v>146</v>
      </c>
    </row>
    <row r="134" spans="1:20">
      <c r="A134" s="10">
        <v>127</v>
      </c>
      <c r="B134" s="10" t="s">
        <v>296</v>
      </c>
      <c r="C134" s="10" t="s">
        <v>200</v>
      </c>
      <c r="D134" s="10" t="s">
        <v>201</v>
      </c>
      <c r="E134" s="10" t="s">
        <v>34</v>
      </c>
      <c r="F134" s="10" t="s">
        <v>144</v>
      </c>
      <c r="G134" s="8" t="s">
        <v>60</v>
      </c>
      <c r="H134" s="12">
        <v>1</v>
      </c>
      <c r="I134" s="12">
        <v>1</v>
      </c>
      <c r="J134" s="15">
        <v>5000.0</v>
      </c>
      <c r="K134" s="15"/>
      <c r="L134" s="17">
        <f>IF(J134&gt;0, K134/J134, 0)</f>
        <v>0</v>
      </c>
      <c r="M134" s="15">
        <v>5000.0</v>
      </c>
      <c r="N134" s="15"/>
      <c r="O134" s="15">
        <f>M134-N134</f>
        <v>5000</v>
      </c>
      <c r="P134" s="10" t="s">
        <v>42</v>
      </c>
      <c r="Q134" s="10" t="s">
        <v>43</v>
      </c>
      <c r="R134" s="10" t="s">
        <v>44</v>
      </c>
      <c r="S134" s="8" t="s">
        <v>2056</v>
      </c>
      <c r="T134" s="8" t="s">
        <v>146</v>
      </c>
    </row>
    <row r="135" spans="1:20">
      <c r="A135" s="11">
        <v>128</v>
      </c>
      <c r="B135" s="11" t="s">
        <v>298</v>
      </c>
      <c r="C135" s="11" t="s">
        <v>200</v>
      </c>
      <c r="D135" s="11" t="s">
        <v>201</v>
      </c>
      <c r="E135" s="11" t="s">
        <v>70</v>
      </c>
      <c r="F135" s="11" t="s">
        <v>35</v>
      </c>
      <c r="G135" s="9" t="s">
        <v>60</v>
      </c>
      <c r="H135" s="13">
        <v>1</v>
      </c>
      <c r="I135" s="13">
        <v>1</v>
      </c>
      <c r="J135" s="16">
        <v>18000.0</v>
      </c>
      <c r="K135" s="16"/>
      <c r="L135" s="18">
        <f>IF(J135&gt;0, K135/J135, 0)</f>
        <v>0</v>
      </c>
      <c r="M135" s="16">
        <v>18000.0</v>
      </c>
      <c r="N135" s="16"/>
      <c r="O135" s="16">
        <f>M135-N135</f>
        <v>18000</v>
      </c>
      <c r="P135" s="11" t="s">
        <v>42</v>
      </c>
      <c r="Q135" s="11" t="s">
        <v>73</v>
      </c>
      <c r="R135" s="11" t="s">
        <v>44</v>
      </c>
      <c r="S135" s="9" t="s">
        <v>2026</v>
      </c>
      <c r="T135" s="9" t="s">
        <v>44</v>
      </c>
    </row>
    <row r="136" spans="1:20">
      <c r="A136" s="10">
        <v>129</v>
      </c>
      <c r="B136" s="10" t="s">
        <v>299</v>
      </c>
      <c r="C136" s="10" t="s">
        <v>200</v>
      </c>
      <c r="D136" s="10" t="s">
        <v>201</v>
      </c>
      <c r="E136" s="10" t="s">
        <v>70</v>
      </c>
      <c r="F136" s="10" t="s">
        <v>35</v>
      </c>
      <c r="G136" s="8" t="s">
        <v>60</v>
      </c>
      <c r="H136" s="12">
        <v>1</v>
      </c>
      <c r="I136" s="12">
        <v>1</v>
      </c>
      <c r="J136" s="15">
        <v>10000.0</v>
      </c>
      <c r="K136" s="15"/>
      <c r="L136" s="17">
        <f>IF(J136&gt;0, K136/J136, 0)</f>
        <v>0</v>
      </c>
      <c r="M136" s="15">
        <v>10000.0</v>
      </c>
      <c r="N136" s="15"/>
      <c r="O136" s="15">
        <f>M136-N136</f>
        <v>10000</v>
      </c>
      <c r="P136" s="10" t="s">
        <v>42</v>
      </c>
      <c r="Q136" s="10" t="s">
        <v>73</v>
      </c>
      <c r="R136" s="10" t="s">
        <v>44</v>
      </c>
      <c r="S136" s="8" t="s">
        <v>2020</v>
      </c>
      <c r="T136" s="8" t="s">
        <v>44</v>
      </c>
    </row>
    <row r="137" spans="1:20">
      <c r="A137" s="11">
        <v>130</v>
      </c>
      <c r="B137" s="11" t="s">
        <v>300</v>
      </c>
      <c r="C137" s="11" t="s">
        <v>200</v>
      </c>
      <c r="D137" s="11" t="s">
        <v>201</v>
      </c>
      <c r="E137" s="11" t="s">
        <v>34</v>
      </c>
      <c r="F137" s="11" t="s">
        <v>35</v>
      </c>
      <c r="G137" s="9" t="s">
        <v>60</v>
      </c>
      <c r="H137" s="13">
        <v>1</v>
      </c>
      <c r="I137" s="13">
        <v>1</v>
      </c>
      <c r="J137" s="16">
        <v>9000.0</v>
      </c>
      <c r="K137" s="16"/>
      <c r="L137" s="18">
        <f>IF(J137&gt;0, K137/J137, 0)</f>
        <v>0</v>
      </c>
      <c r="M137" s="16">
        <v>9000.0</v>
      </c>
      <c r="N137" s="16"/>
      <c r="O137" s="16">
        <f>M137-N137</f>
        <v>9000</v>
      </c>
      <c r="P137" s="11" t="s">
        <v>42</v>
      </c>
      <c r="Q137" s="11" t="s">
        <v>43</v>
      </c>
      <c r="R137" s="11" t="s">
        <v>44</v>
      </c>
      <c r="S137" s="9" t="s">
        <v>2046</v>
      </c>
      <c r="T137" s="9" t="s">
        <v>44</v>
      </c>
    </row>
    <row r="138" spans="1:20">
      <c r="A138" s="10">
        <v>131</v>
      </c>
      <c r="B138" s="10" t="s">
        <v>301</v>
      </c>
      <c r="C138" s="10" t="s">
        <v>200</v>
      </c>
      <c r="D138" s="10" t="s">
        <v>201</v>
      </c>
      <c r="E138" s="10" t="s">
        <v>34</v>
      </c>
      <c r="F138" s="10" t="s">
        <v>35</v>
      </c>
      <c r="G138" s="8" t="s">
        <v>60</v>
      </c>
      <c r="H138" s="12">
        <v>1</v>
      </c>
      <c r="I138" s="12">
        <v>1</v>
      </c>
      <c r="J138" s="15">
        <v>10000.0</v>
      </c>
      <c r="K138" s="15"/>
      <c r="L138" s="17">
        <f>IF(J138&gt;0, K138/J138, 0)</f>
        <v>0</v>
      </c>
      <c r="M138" s="15">
        <v>10000.0</v>
      </c>
      <c r="N138" s="15"/>
      <c r="O138" s="15">
        <f>M138-N138</f>
        <v>10000</v>
      </c>
      <c r="P138" s="10" t="s">
        <v>42</v>
      </c>
      <c r="Q138" s="10" t="s">
        <v>43</v>
      </c>
      <c r="R138" s="10" t="s">
        <v>44</v>
      </c>
      <c r="S138" s="8" t="s">
        <v>2024</v>
      </c>
      <c r="T138" s="8" t="s">
        <v>44</v>
      </c>
    </row>
    <row r="139" spans="1:20">
      <c r="A139" s="11">
        <v>132</v>
      </c>
      <c r="B139" s="11" t="s">
        <v>302</v>
      </c>
      <c r="C139" s="11" t="s">
        <v>303</v>
      </c>
      <c r="D139" s="11" t="s">
        <v>201</v>
      </c>
      <c r="E139" s="11" t="s">
        <v>34</v>
      </c>
      <c r="F139" s="11" t="s">
        <v>35</v>
      </c>
      <c r="G139" s="9" t="s">
        <v>60</v>
      </c>
      <c r="H139" s="13">
        <v>1</v>
      </c>
      <c r="I139" s="13">
        <v>1</v>
      </c>
      <c r="J139" s="16">
        <v>16500.0</v>
      </c>
      <c r="K139" s="16"/>
      <c r="L139" s="18">
        <f>IF(J139&gt;0, K139/J139, 0)</f>
        <v>0</v>
      </c>
      <c r="M139" s="16">
        <v>16500.0</v>
      </c>
      <c r="N139" s="16"/>
      <c r="O139" s="16">
        <f>M139-N139</f>
        <v>16500</v>
      </c>
      <c r="P139" s="11" t="s">
        <v>42</v>
      </c>
      <c r="Q139" s="11" t="s">
        <v>43</v>
      </c>
      <c r="R139" s="11" t="s">
        <v>44</v>
      </c>
      <c r="S139" s="9" t="s">
        <v>2072</v>
      </c>
      <c r="T139" s="9" t="s">
        <v>44</v>
      </c>
    </row>
    <row r="140" spans="1:20">
      <c r="A140" s="10">
        <v>133</v>
      </c>
      <c r="B140" s="10" t="s">
        <v>304</v>
      </c>
      <c r="C140" s="10" t="s">
        <v>303</v>
      </c>
      <c r="D140" s="10" t="s">
        <v>201</v>
      </c>
      <c r="E140" s="10" t="s">
        <v>34</v>
      </c>
      <c r="F140" s="10" t="s">
        <v>35</v>
      </c>
      <c r="G140" s="8" t="s">
        <v>60</v>
      </c>
      <c r="H140" s="12">
        <v>1</v>
      </c>
      <c r="I140" s="12">
        <v>1</v>
      </c>
      <c r="J140" s="15">
        <v>8500.0</v>
      </c>
      <c r="K140" s="15"/>
      <c r="L140" s="17">
        <f>IF(J140&gt;0, K140/J140, 0)</f>
        <v>0</v>
      </c>
      <c r="M140" s="15">
        <v>8500.0</v>
      </c>
      <c r="N140" s="15"/>
      <c r="O140" s="15">
        <f>M140-N140</f>
        <v>8500</v>
      </c>
      <c r="P140" s="10" t="s">
        <v>42</v>
      </c>
      <c r="Q140" s="10" t="s">
        <v>43</v>
      </c>
      <c r="R140" s="10" t="s">
        <v>44</v>
      </c>
      <c r="S140" s="8" t="s">
        <v>2098</v>
      </c>
      <c r="T140" s="8" t="s">
        <v>44</v>
      </c>
    </row>
    <row r="141" spans="1:20">
      <c r="A141" s="11">
        <v>134</v>
      </c>
      <c r="B141" s="11" t="s">
        <v>306</v>
      </c>
      <c r="C141" s="11" t="s">
        <v>303</v>
      </c>
      <c r="D141" s="11" t="s">
        <v>201</v>
      </c>
      <c r="E141" s="11" t="s">
        <v>34</v>
      </c>
      <c r="F141" s="11" t="s">
        <v>35</v>
      </c>
      <c r="G141" s="9" t="s">
        <v>60</v>
      </c>
      <c r="H141" s="13">
        <v>1</v>
      </c>
      <c r="I141" s="13">
        <v>1</v>
      </c>
      <c r="J141" s="16">
        <v>8000.0</v>
      </c>
      <c r="K141" s="16"/>
      <c r="L141" s="18">
        <f>IF(J141&gt;0, K141/J141, 0)</f>
        <v>0</v>
      </c>
      <c r="M141" s="16">
        <v>8000.0</v>
      </c>
      <c r="N141" s="16"/>
      <c r="O141" s="16">
        <f>M141-N141</f>
        <v>8000</v>
      </c>
      <c r="P141" s="11" t="s">
        <v>42</v>
      </c>
      <c r="Q141" s="11" t="s">
        <v>43</v>
      </c>
      <c r="R141" s="11" t="s">
        <v>44</v>
      </c>
      <c r="S141" s="9" t="s">
        <v>2068</v>
      </c>
      <c r="T141" s="9" t="s">
        <v>44</v>
      </c>
    </row>
    <row r="142" spans="1:20">
      <c r="A142" s="10">
        <v>135</v>
      </c>
      <c r="B142" s="10" t="s">
        <v>307</v>
      </c>
      <c r="C142" s="10" t="s">
        <v>303</v>
      </c>
      <c r="D142" s="10" t="s">
        <v>201</v>
      </c>
      <c r="E142" s="10" t="s">
        <v>34</v>
      </c>
      <c r="F142" s="10" t="s">
        <v>35</v>
      </c>
      <c r="G142" s="8" t="s">
        <v>60</v>
      </c>
      <c r="H142" s="12">
        <v>1</v>
      </c>
      <c r="I142" s="12">
        <v>1</v>
      </c>
      <c r="J142" s="15">
        <v>8000.0</v>
      </c>
      <c r="K142" s="15"/>
      <c r="L142" s="17">
        <f>IF(J142&gt;0, K142/J142, 0)</f>
        <v>0</v>
      </c>
      <c r="M142" s="15">
        <v>8000.0</v>
      </c>
      <c r="N142" s="15"/>
      <c r="O142" s="15">
        <f>M142-N142</f>
        <v>8000</v>
      </c>
      <c r="P142" s="10" t="s">
        <v>42</v>
      </c>
      <c r="Q142" s="10" t="s">
        <v>43</v>
      </c>
      <c r="R142" s="10" t="s">
        <v>44</v>
      </c>
      <c r="S142" s="8" t="s">
        <v>2020</v>
      </c>
      <c r="T142" s="8" t="s">
        <v>44</v>
      </c>
    </row>
    <row r="143" spans="1:20">
      <c r="A143" s="11">
        <v>136</v>
      </c>
      <c r="B143" s="11" t="s">
        <v>308</v>
      </c>
      <c r="C143" s="11" t="s">
        <v>303</v>
      </c>
      <c r="D143" s="11" t="s">
        <v>201</v>
      </c>
      <c r="E143" s="11" t="s">
        <v>34</v>
      </c>
      <c r="F143" s="11" t="s">
        <v>144</v>
      </c>
      <c r="G143" s="9" t="s">
        <v>60</v>
      </c>
      <c r="H143" s="13">
        <v>1</v>
      </c>
      <c r="I143" s="13">
        <v>1</v>
      </c>
      <c r="J143" s="16">
        <v>11000.0</v>
      </c>
      <c r="K143" s="16"/>
      <c r="L143" s="18">
        <f>IF(J143&gt;0, K143/J143, 0)</f>
        <v>0</v>
      </c>
      <c r="M143" s="16">
        <v>11000.0</v>
      </c>
      <c r="N143" s="16"/>
      <c r="O143" s="16">
        <f>M143-N143</f>
        <v>11000</v>
      </c>
      <c r="P143" s="11" t="s">
        <v>42</v>
      </c>
      <c r="Q143" s="11" t="s">
        <v>43</v>
      </c>
      <c r="R143" s="11" t="s">
        <v>44</v>
      </c>
      <c r="S143" s="9" t="s">
        <v>2052</v>
      </c>
      <c r="T143" s="9" t="s">
        <v>146</v>
      </c>
    </row>
    <row r="144" spans="1:20">
      <c r="A144" s="10">
        <v>137</v>
      </c>
      <c r="B144" s="10" t="s">
        <v>309</v>
      </c>
      <c r="C144" s="10" t="s">
        <v>303</v>
      </c>
      <c r="D144" s="10" t="s">
        <v>201</v>
      </c>
      <c r="E144" s="10" t="s">
        <v>34</v>
      </c>
      <c r="F144" s="10" t="s">
        <v>144</v>
      </c>
      <c r="G144" s="8" t="s">
        <v>60</v>
      </c>
      <c r="H144" s="12">
        <v>1</v>
      </c>
      <c r="I144" s="12">
        <v>1</v>
      </c>
      <c r="J144" s="15">
        <v>10000.0</v>
      </c>
      <c r="K144" s="15"/>
      <c r="L144" s="17">
        <f>IF(J144&gt;0, K144/J144, 0)</f>
        <v>0</v>
      </c>
      <c r="M144" s="15">
        <v>10000.0</v>
      </c>
      <c r="N144" s="15"/>
      <c r="O144" s="15">
        <f>M144-N144</f>
        <v>10000</v>
      </c>
      <c r="P144" s="10" t="s">
        <v>42</v>
      </c>
      <c r="Q144" s="10" t="s">
        <v>43</v>
      </c>
      <c r="R144" s="10" t="s">
        <v>44</v>
      </c>
      <c r="S144" s="8" t="s">
        <v>2071</v>
      </c>
      <c r="T144" s="8" t="s">
        <v>146</v>
      </c>
    </row>
    <row r="145" spans="1:20">
      <c r="A145" s="11">
        <v>138</v>
      </c>
      <c r="B145" s="11" t="s">
        <v>310</v>
      </c>
      <c r="C145" s="11" t="s">
        <v>311</v>
      </c>
      <c r="D145" s="11" t="s">
        <v>201</v>
      </c>
      <c r="E145" s="11" t="s">
        <v>34</v>
      </c>
      <c r="F145" s="11" t="s">
        <v>144</v>
      </c>
      <c r="G145" s="9" t="s">
        <v>60</v>
      </c>
      <c r="H145" s="13">
        <v>1</v>
      </c>
      <c r="I145" s="13">
        <v>2</v>
      </c>
      <c r="J145" s="16">
        <v>20000.0</v>
      </c>
      <c r="K145" s="16"/>
      <c r="L145" s="18">
        <f>IF(J145&gt;0, K145/J145, 0)</f>
        <v>0</v>
      </c>
      <c r="M145" s="16">
        <v>20000.0</v>
      </c>
      <c r="N145" s="16"/>
      <c r="O145" s="16">
        <f>M145-N145</f>
        <v>20000</v>
      </c>
      <c r="P145" s="11" t="s">
        <v>42</v>
      </c>
      <c r="Q145" s="11" t="s">
        <v>43</v>
      </c>
      <c r="R145" s="11" t="s">
        <v>44</v>
      </c>
      <c r="S145" s="9" t="s">
        <v>2099</v>
      </c>
      <c r="T145" s="9" t="s">
        <v>146</v>
      </c>
    </row>
    <row r="146" spans="1:20">
      <c r="A146" s="10">
        <v>139</v>
      </c>
      <c r="B146" s="10" t="s">
        <v>312</v>
      </c>
      <c r="C146" s="10" t="s">
        <v>311</v>
      </c>
      <c r="D146" s="10" t="s">
        <v>201</v>
      </c>
      <c r="E146" s="10" t="s">
        <v>34</v>
      </c>
      <c r="F146" s="10" t="s">
        <v>35</v>
      </c>
      <c r="G146" s="8" t="s">
        <v>60</v>
      </c>
      <c r="H146" s="12">
        <v>1</v>
      </c>
      <c r="I146" s="12">
        <v>1</v>
      </c>
      <c r="J146" s="15">
        <v>7000.0</v>
      </c>
      <c r="K146" s="15"/>
      <c r="L146" s="17">
        <f>IF(J146&gt;0, K146/J146, 0)</f>
        <v>0</v>
      </c>
      <c r="M146" s="15">
        <v>7000.0</v>
      </c>
      <c r="N146" s="15"/>
      <c r="O146" s="15">
        <f>M146-N146</f>
        <v>7000</v>
      </c>
      <c r="P146" s="10" t="s">
        <v>42</v>
      </c>
      <c r="Q146" s="10" t="s">
        <v>43</v>
      </c>
      <c r="R146" s="10" t="s">
        <v>44</v>
      </c>
      <c r="S146" s="8" t="s">
        <v>2088</v>
      </c>
      <c r="T146" s="8" t="s">
        <v>44</v>
      </c>
    </row>
    <row r="147" spans="1:20">
      <c r="A147" s="11">
        <v>140</v>
      </c>
      <c r="B147" s="11" t="s">
        <v>313</v>
      </c>
      <c r="C147" s="11" t="s">
        <v>311</v>
      </c>
      <c r="D147" s="11" t="s">
        <v>201</v>
      </c>
      <c r="E147" s="11" t="s">
        <v>70</v>
      </c>
      <c r="F147" s="11" t="s">
        <v>35</v>
      </c>
      <c r="G147" s="9" t="s">
        <v>60</v>
      </c>
      <c r="H147" s="13">
        <v>1</v>
      </c>
      <c r="I147" s="13">
        <v>1</v>
      </c>
      <c r="J147" s="16">
        <v>8000.0</v>
      </c>
      <c r="K147" s="16"/>
      <c r="L147" s="18">
        <f>IF(J147&gt;0, K147/J147, 0)</f>
        <v>0</v>
      </c>
      <c r="M147" s="16">
        <v>8000.0</v>
      </c>
      <c r="N147" s="16"/>
      <c r="O147" s="16">
        <f>M147-N147</f>
        <v>8000</v>
      </c>
      <c r="P147" s="11" t="s">
        <v>42</v>
      </c>
      <c r="Q147" s="11" t="s">
        <v>73</v>
      </c>
      <c r="R147" s="11" t="s">
        <v>44</v>
      </c>
      <c r="S147" s="9" t="s">
        <v>2100</v>
      </c>
      <c r="T147" s="9" t="s">
        <v>44</v>
      </c>
    </row>
    <row r="148" spans="1:20">
      <c r="A148" s="10">
        <v>141</v>
      </c>
      <c r="B148" s="10" t="s">
        <v>315</v>
      </c>
      <c r="C148" s="10" t="s">
        <v>311</v>
      </c>
      <c r="D148" s="10" t="s">
        <v>201</v>
      </c>
      <c r="E148" s="10" t="s">
        <v>34</v>
      </c>
      <c r="F148" s="10" t="s">
        <v>144</v>
      </c>
      <c r="G148" s="8" t="s">
        <v>60</v>
      </c>
      <c r="H148" s="12">
        <v>1</v>
      </c>
      <c r="I148" s="12">
        <v>1</v>
      </c>
      <c r="J148" s="15">
        <v>5000.0</v>
      </c>
      <c r="K148" s="15"/>
      <c r="L148" s="17">
        <f>IF(J148&gt;0, K148/J148, 0)</f>
        <v>0</v>
      </c>
      <c r="M148" s="15">
        <v>5000.0</v>
      </c>
      <c r="N148" s="15"/>
      <c r="O148" s="15">
        <f>M148-N148</f>
        <v>5000</v>
      </c>
      <c r="P148" s="10" t="s">
        <v>42</v>
      </c>
      <c r="Q148" s="10" t="s">
        <v>43</v>
      </c>
      <c r="R148" s="10" t="s">
        <v>44</v>
      </c>
      <c r="S148" s="8" t="s">
        <v>2056</v>
      </c>
      <c r="T148" s="8" t="s">
        <v>146</v>
      </c>
    </row>
    <row r="149" spans="1:20">
      <c r="A149" s="11">
        <v>142</v>
      </c>
      <c r="B149" s="11" t="s">
        <v>317</v>
      </c>
      <c r="C149" s="11" t="s">
        <v>311</v>
      </c>
      <c r="D149" s="11" t="s">
        <v>201</v>
      </c>
      <c r="E149" s="11" t="s">
        <v>34</v>
      </c>
      <c r="F149" s="11" t="s">
        <v>35</v>
      </c>
      <c r="G149" s="9" t="s">
        <v>60</v>
      </c>
      <c r="H149" s="13">
        <v>1</v>
      </c>
      <c r="I149" s="13">
        <v>1</v>
      </c>
      <c r="J149" s="16">
        <v>5000.0</v>
      </c>
      <c r="K149" s="16"/>
      <c r="L149" s="18">
        <f>IF(J149&gt;0, K149/J149, 0)</f>
        <v>0</v>
      </c>
      <c r="M149" s="16">
        <v>5000.0</v>
      </c>
      <c r="N149" s="16"/>
      <c r="O149" s="16">
        <f>M149-N149</f>
        <v>5000</v>
      </c>
      <c r="P149" s="11" t="s">
        <v>42</v>
      </c>
      <c r="Q149" s="11" t="s">
        <v>43</v>
      </c>
      <c r="R149" s="11" t="s">
        <v>44</v>
      </c>
      <c r="S149" s="9" t="s">
        <v>2056</v>
      </c>
      <c r="T149" s="9" t="s">
        <v>44</v>
      </c>
    </row>
    <row r="150" spans="1:20">
      <c r="A150" s="10">
        <v>143</v>
      </c>
      <c r="B150" s="10" t="s">
        <v>318</v>
      </c>
      <c r="C150" s="10" t="s">
        <v>311</v>
      </c>
      <c r="D150" s="10" t="s">
        <v>201</v>
      </c>
      <c r="E150" s="10" t="s">
        <v>34</v>
      </c>
      <c r="F150" s="10" t="s">
        <v>35</v>
      </c>
      <c r="G150" s="8" t="s">
        <v>60</v>
      </c>
      <c r="H150" s="12">
        <v>1</v>
      </c>
      <c r="I150" s="12">
        <v>1</v>
      </c>
      <c r="J150" s="15">
        <v>8000.0</v>
      </c>
      <c r="K150" s="15"/>
      <c r="L150" s="17">
        <f>IF(J150&gt;0, K150/J150, 0)</f>
        <v>0</v>
      </c>
      <c r="M150" s="15">
        <v>8000.0</v>
      </c>
      <c r="N150" s="15"/>
      <c r="O150" s="15">
        <f>M150-N150</f>
        <v>8000</v>
      </c>
      <c r="P150" s="10" t="s">
        <v>42</v>
      </c>
      <c r="Q150" s="10" t="s">
        <v>43</v>
      </c>
      <c r="R150" s="10" t="s">
        <v>44</v>
      </c>
      <c r="S150" s="8" t="s">
        <v>2067</v>
      </c>
      <c r="T150" s="8" t="s">
        <v>44</v>
      </c>
    </row>
    <row r="151" spans="1:20">
      <c r="A151" s="11">
        <v>144</v>
      </c>
      <c r="B151" s="11" t="s">
        <v>319</v>
      </c>
      <c r="C151" s="11" t="s">
        <v>311</v>
      </c>
      <c r="D151" s="11" t="s">
        <v>201</v>
      </c>
      <c r="E151" s="11" t="s">
        <v>34</v>
      </c>
      <c r="F151" s="11" t="s">
        <v>35</v>
      </c>
      <c r="G151" s="9" t="s">
        <v>60</v>
      </c>
      <c r="H151" s="13">
        <v>1</v>
      </c>
      <c r="I151" s="13">
        <v>1</v>
      </c>
      <c r="J151" s="16">
        <v>7000.0</v>
      </c>
      <c r="K151" s="16"/>
      <c r="L151" s="18">
        <f>IF(J151&gt;0, K151/J151, 0)</f>
        <v>0</v>
      </c>
      <c r="M151" s="16">
        <v>7000.0</v>
      </c>
      <c r="N151" s="16"/>
      <c r="O151" s="16">
        <f>M151-N151</f>
        <v>7000</v>
      </c>
      <c r="P151" s="11" t="s">
        <v>42</v>
      </c>
      <c r="Q151" s="11" t="s">
        <v>43</v>
      </c>
      <c r="R151" s="11" t="s">
        <v>44</v>
      </c>
      <c r="S151" s="9" t="s">
        <v>2101</v>
      </c>
      <c r="T151" s="9" t="s">
        <v>44</v>
      </c>
    </row>
    <row r="152" spans="1:20">
      <c r="A152" s="10">
        <v>145</v>
      </c>
      <c r="B152" s="10" t="s">
        <v>320</v>
      </c>
      <c r="C152" s="10" t="s">
        <v>311</v>
      </c>
      <c r="D152" s="10" t="s">
        <v>201</v>
      </c>
      <c r="E152" s="10" t="s">
        <v>34</v>
      </c>
      <c r="F152" s="10" t="s">
        <v>35</v>
      </c>
      <c r="G152" s="8" t="s">
        <v>60</v>
      </c>
      <c r="H152" s="12">
        <v>1</v>
      </c>
      <c r="I152" s="12">
        <v>1</v>
      </c>
      <c r="J152" s="15">
        <v>18000.0</v>
      </c>
      <c r="K152" s="15"/>
      <c r="L152" s="17">
        <f>IF(J152&gt;0, K152/J152, 0)</f>
        <v>0</v>
      </c>
      <c r="M152" s="15">
        <v>18000.0</v>
      </c>
      <c r="N152" s="15"/>
      <c r="O152" s="15">
        <f>M152-N152</f>
        <v>18000</v>
      </c>
      <c r="P152" s="10" t="s">
        <v>42</v>
      </c>
      <c r="Q152" s="10" t="s">
        <v>43</v>
      </c>
      <c r="R152" s="10" t="s">
        <v>44</v>
      </c>
      <c r="S152" s="8" t="s">
        <v>2102</v>
      </c>
      <c r="T152" s="8" t="s">
        <v>44</v>
      </c>
    </row>
    <row r="153" spans="1:20">
      <c r="A153" s="11">
        <v>146</v>
      </c>
      <c r="B153" s="11" t="s">
        <v>322</v>
      </c>
      <c r="C153" s="11" t="s">
        <v>311</v>
      </c>
      <c r="D153" s="11" t="s">
        <v>201</v>
      </c>
      <c r="E153" s="11" t="s">
        <v>34</v>
      </c>
      <c r="F153" s="11" t="s">
        <v>35</v>
      </c>
      <c r="G153" s="9" t="s">
        <v>60</v>
      </c>
      <c r="H153" s="13">
        <v>1</v>
      </c>
      <c r="I153" s="13">
        <v>1</v>
      </c>
      <c r="J153" s="16">
        <v>7500.0</v>
      </c>
      <c r="K153" s="16"/>
      <c r="L153" s="18">
        <f>IF(J153&gt;0, K153/J153, 0)</f>
        <v>0</v>
      </c>
      <c r="M153" s="16">
        <v>7500.0</v>
      </c>
      <c r="N153" s="16"/>
      <c r="O153" s="16">
        <f>M153-N153</f>
        <v>7500</v>
      </c>
      <c r="P153" s="11" t="s">
        <v>42</v>
      </c>
      <c r="Q153" s="11" t="s">
        <v>43</v>
      </c>
      <c r="R153" s="11" t="s">
        <v>44</v>
      </c>
      <c r="S153" s="9" t="s">
        <v>2023</v>
      </c>
      <c r="T153" s="9" t="s">
        <v>44</v>
      </c>
    </row>
    <row r="154" spans="1:20">
      <c r="A154" s="10">
        <v>147</v>
      </c>
      <c r="B154" s="10" t="s">
        <v>323</v>
      </c>
      <c r="C154" s="10" t="s">
        <v>311</v>
      </c>
      <c r="D154" s="10" t="s">
        <v>201</v>
      </c>
      <c r="E154" s="10" t="s">
        <v>34</v>
      </c>
      <c r="F154" s="10" t="s">
        <v>35</v>
      </c>
      <c r="G154" s="8" t="s">
        <v>60</v>
      </c>
      <c r="H154" s="12">
        <v>1</v>
      </c>
      <c r="I154" s="12">
        <v>1</v>
      </c>
      <c r="J154" s="15">
        <v>8500.0</v>
      </c>
      <c r="K154" s="15"/>
      <c r="L154" s="17">
        <f>IF(J154&gt;0, K154/J154, 0)</f>
        <v>0</v>
      </c>
      <c r="M154" s="15">
        <v>8500.0</v>
      </c>
      <c r="N154" s="15"/>
      <c r="O154" s="15">
        <f>M154-N154</f>
        <v>8500</v>
      </c>
      <c r="P154" s="10" t="s">
        <v>42</v>
      </c>
      <c r="Q154" s="10" t="s">
        <v>43</v>
      </c>
      <c r="R154" s="10" t="s">
        <v>44</v>
      </c>
      <c r="S154" s="8" t="s">
        <v>2103</v>
      </c>
      <c r="T154" s="8" t="s">
        <v>44</v>
      </c>
    </row>
    <row r="155" spans="1:20">
      <c r="A155" s="11">
        <v>148</v>
      </c>
      <c r="B155" s="11" t="s">
        <v>325</v>
      </c>
      <c r="C155" s="11" t="s">
        <v>311</v>
      </c>
      <c r="D155" s="11" t="s">
        <v>201</v>
      </c>
      <c r="E155" s="11" t="s">
        <v>34</v>
      </c>
      <c r="F155" s="11" t="s">
        <v>144</v>
      </c>
      <c r="G155" s="9" t="s">
        <v>60</v>
      </c>
      <c r="H155" s="13">
        <v>1</v>
      </c>
      <c r="I155" s="13">
        <v>1</v>
      </c>
      <c r="J155" s="16">
        <v>12000.0</v>
      </c>
      <c r="K155" s="16"/>
      <c r="L155" s="18">
        <f>IF(J155&gt;0, K155/J155, 0)</f>
        <v>0</v>
      </c>
      <c r="M155" s="16">
        <v>12000.0</v>
      </c>
      <c r="N155" s="16"/>
      <c r="O155" s="16">
        <f>M155-N155</f>
        <v>12000</v>
      </c>
      <c r="P155" s="11" t="s">
        <v>42</v>
      </c>
      <c r="Q155" s="11" t="s">
        <v>43</v>
      </c>
      <c r="R155" s="11" t="s">
        <v>44</v>
      </c>
      <c r="S155" s="9" t="s">
        <v>2071</v>
      </c>
      <c r="T155" s="9" t="s">
        <v>146</v>
      </c>
    </row>
    <row r="156" spans="1:20">
      <c r="A156" s="10">
        <v>149</v>
      </c>
      <c r="B156" s="10" t="s">
        <v>326</v>
      </c>
      <c r="C156" s="10" t="s">
        <v>311</v>
      </c>
      <c r="D156" s="10" t="s">
        <v>201</v>
      </c>
      <c r="E156" s="10" t="s">
        <v>34</v>
      </c>
      <c r="F156" s="10" t="s">
        <v>35</v>
      </c>
      <c r="G156" s="8" t="s">
        <v>60</v>
      </c>
      <c r="H156" s="12">
        <v>1</v>
      </c>
      <c r="I156" s="12">
        <v>1</v>
      </c>
      <c r="J156" s="15">
        <v>8500.0</v>
      </c>
      <c r="K156" s="15"/>
      <c r="L156" s="17">
        <f>IF(J156&gt;0, K156/J156, 0)</f>
        <v>0</v>
      </c>
      <c r="M156" s="15">
        <v>8500.0</v>
      </c>
      <c r="N156" s="15"/>
      <c r="O156" s="15">
        <f>M156-N156</f>
        <v>8500</v>
      </c>
      <c r="P156" s="10" t="s">
        <v>42</v>
      </c>
      <c r="Q156" s="10" t="s">
        <v>43</v>
      </c>
      <c r="R156" s="10" t="s">
        <v>44</v>
      </c>
      <c r="S156" s="8" t="s">
        <v>2087</v>
      </c>
      <c r="T156" s="8" t="s">
        <v>44</v>
      </c>
    </row>
    <row r="157" spans="1:20">
      <c r="A157" s="11">
        <v>150</v>
      </c>
      <c r="B157" s="11" t="s">
        <v>328</v>
      </c>
      <c r="C157" s="11" t="s">
        <v>311</v>
      </c>
      <c r="D157" s="11" t="s">
        <v>201</v>
      </c>
      <c r="E157" s="11" t="s">
        <v>70</v>
      </c>
      <c r="F157" s="11" t="s">
        <v>35</v>
      </c>
      <c r="G157" s="9" t="s">
        <v>60</v>
      </c>
      <c r="H157" s="13">
        <v>1</v>
      </c>
      <c r="I157" s="13">
        <v>1</v>
      </c>
      <c r="J157" s="16">
        <v>12000.0</v>
      </c>
      <c r="K157" s="16"/>
      <c r="L157" s="18">
        <f>IF(J157&gt;0, K157/J157, 0)</f>
        <v>0</v>
      </c>
      <c r="M157" s="16">
        <v>12000.0</v>
      </c>
      <c r="N157" s="16"/>
      <c r="O157" s="16">
        <f>M157-N157</f>
        <v>12000</v>
      </c>
      <c r="P157" s="11" t="s">
        <v>42</v>
      </c>
      <c r="Q157" s="11" t="s">
        <v>73</v>
      </c>
      <c r="R157" s="11" t="s">
        <v>44</v>
      </c>
      <c r="S157" s="9" t="s">
        <v>2059</v>
      </c>
      <c r="T157" s="9" t="s">
        <v>44</v>
      </c>
    </row>
    <row r="158" spans="1:20">
      <c r="A158" s="10">
        <v>151</v>
      </c>
      <c r="B158" s="10" t="s">
        <v>329</v>
      </c>
      <c r="C158" s="10" t="s">
        <v>311</v>
      </c>
      <c r="D158" s="10" t="s">
        <v>201</v>
      </c>
      <c r="E158" s="10" t="s">
        <v>70</v>
      </c>
      <c r="F158" s="10" t="s">
        <v>35</v>
      </c>
      <c r="G158" s="8" t="s">
        <v>60</v>
      </c>
      <c r="H158" s="12">
        <v>1</v>
      </c>
      <c r="I158" s="12">
        <v>1</v>
      </c>
      <c r="J158" s="15">
        <v>10000.0</v>
      </c>
      <c r="K158" s="15"/>
      <c r="L158" s="17">
        <f>IF(J158&gt;0, K158/J158, 0)</f>
        <v>0</v>
      </c>
      <c r="M158" s="15">
        <v>10000.0</v>
      </c>
      <c r="N158" s="15"/>
      <c r="O158" s="15">
        <f>M158-N158</f>
        <v>10000</v>
      </c>
      <c r="P158" s="10" t="s">
        <v>42</v>
      </c>
      <c r="Q158" s="10" t="s">
        <v>73</v>
      </c>
      <c r="R158" s="10" t="s">
        <v>44</v>
      </c>
      <c r="S158" s="8" t="s">
        <v>2058</v>
      </c>
      <c r="T158" s="8" t="s">
        <v>44</v>
      </c>
    </row>
    <row r="159" spans="1:20">
      <c r="A159" s="11">
        <v>152</v>
      </c>
      <c r="B159" s="11" t="s">
        <v>330</v>
      </c>
      <c r="C159" s="11" t="s">
        <v>331</v>
      </c>
      <c r="D159" s="11" t="s">
        <v>201</v>
      </c>
      <c r="E159" s="11" t="s">
        <v>34</v>
      </c>
      <c r="F159" s="11" t="s">
        <v>35</v>
      </c>
      <c r="G159" s="9" t="s">
        <v>60</v>
      </c>
      <c r="H159" s="13">
        <v>1</v>
      </c>
      <c r="I159" s="13">
        <v>1</v>
      </c>
      <c r="J159" s="16">
        <v>7500.0</v>
      </c>
      <c r="K159" s="16"/>
      <c r="L159" s="18">
        <f>IF(J159&gt;0, K159/J159, 0)</f>
        <v>0</v>
      </c>
      <c r="M159" s="16">
        <v>7500.0</v>
      </c>
      <c r="N159" s="16"/>
      <c r="O159" s="16">
        <f>M159-N159</f>
        <v>7500</v>
      </c>
      <c r="P159" s="11" t="s">
        <v>42</v>
      </c>
      <c r="Q159" s="11" t="s">
        <v>43</v>
      </c>
      <c r="R159" s="11" t="s">
        <v>44</v>
      </c>
      <c r="S159" s="9" t="s">
        <v>2100</v>
      </c>
      <c r="T159" s="9" t="s">
        <v>44</v>
      </c>
    </row>
    <row r="160" spans="1:20">
      <c r="A160" s="10">
        <v>153</v>
      </c>
      <c r="B160" s="10" t="s">
        <v>333</v>
      </c>
      <c r="C160" s="10" t="s">
        <v>331</v>
      </c>
      <c r="D160" s="10" t="s">
        <v>201</v>
      </c>
      <c r="E160" s="10" t="s">
        <v>34</v>
      </c>
      <c r="F160" s="10" t="s">
        <v>35</v>
      </c>
      <c r="G160" s="8" t="s">
        <v>60</v>
      </c>
      <c r="H160" s="12">
        <v>1</v>
      </c>
      <c r="I160" s="12">
        <v>1</v>
      </c>
      <c r="J160" s="15">
        <v>8500.0</v>
      </c>
      <c r="K160" s="15"/>
      <c r="L160" s="17">
        <f>IF(J160&gt;0, K160/J160, 0)</f>
        <v>0</v>
      </c>
      <c r="M160" s="15">
        <v>8500.0</v>
      </c>
      <c r="N160" s="15"/>
      <c r="O160" s="15">
        <f>M160-N160</f>
        <v>8500</v>
      </c>
      <c r="P160" s="10" t="s">
        <v>42</v>
      </c>
      <c r="Q160" s="10" t="s">
        <v>43</v>
      </c>
      <c r="R160" s="10" t="s">
        <v>44</v>
      </c>
      <c r="S160" s="8" t="s">
        <v>2045</v>
      </c>
      <c r="T160" s="8" t="s">
        <v>44</v>
      </c>
    </row>
    <row r="161" spans="1:20">
      <c r="A161" s="11">
        <v>154</v>
      </c>
      <c r="B161" s="11" t="s">
        <v>334</v>
      </c>
      <c r="C161" s="11" t="s">
        <v>331</v>
      </c>
      <c r="D161" s="11" t="s">
        <v>201</v>
      </c>
      <c r="E161" s="11" t="s">
        <v>34</v>
      </c>
      <c r="F161" s="11" t="s">
        <v>35</v>
      </c>
      <c r="G161" s="9" t="s">
        <v>60</v>
      </c>
      <c r="H161" s="13">
        <v>1</v>
      </c>
      <c r="I161" s="13">
        <v>1</v>
      </c>
      <c r="J161" s="16">
        <v>5000.0</v>
      </c>
      <c r="K161" s="16"/>
      <c r="L161" s="18">
        <f>IF(J161&gt;0, K161/J161, 0)</f>
        <v>0</v>
      </c>
      <c r="M161" s="16">
        <v>5000.0</v>
      </c>
      <c r="N161" s="16"/>
      <c r="O161" s="16">
        <f>M161-N161</f>
        <v>5000</v>
      </c>
      <c r="P161" s="11" t="s">
        <v>42</v>
      </c>
      <c r="Q161" s="11" t="s">
        <v>43</v>
      </c>
      <c r="R161" s="11" t="s">
        <v>44</v>
      </c>
      <c r="S161" s="9" t="s">
        <v>2104</v>
      </c>
      <c r="T161" s="9" t="s">
        <v>44</v>
      </c>
    </row>
    <row r="162" spans="1:20">
      <c r="A162" s="10">
        <v>155</v>
      </c>
      <c r="B162" s="10" t="s">
        <v>336</v>
      </c>
      <c r="C162" s="10" t="s">
        <v>331</v>
      </c>
      <c r="D162" s="10" t="s">
        <v>201</v>
      </c>
      <c r="E162" s="10" t="s">
        <v>34</v>
      </c>
      <c r="F162" s="10" t="s">
        <v>144</v>
      </c>
      <c r="G162" s="8" t="s">
        <v>60</v>
      </c>
      <c r="H162" s="12">
        <v>1</v>
      </c>
      <c r="I162" s="12">
        <v>1</v>
      </c>
      <c r="J162" s="15">
        <v>10000.0</v>
      </c>
      <c r="K162" s="15"/>
      <c r="L162" s="17">
        <f>IF(J162&gt;0, K162/J162, 0)</f>
        <v>0</v>
      </c>
      <c r="M162" s="15">
        <v>10000.0</v>
      </c>
      <c r="N162" s="15"/>
      <c r="O162" s="15">
        <f>M162-N162</f>
        <v>10000</v>
      </c>
      <c r="P162" s="10" t="s">
        <v>42</v>
      </c>
      <c r="Q162" s="10" t="s">
        <v>43</v>
      </c>
      <c r="R162" s="10" t="s">
        <v>44</v>
      </c>
      <c r="S162" s="8" t="s">
        <v>2083</v>
      </c>
      <c r="T162" s="8" t="s">
        <v>146</v>
      </c>
    </row>
    <row r="163" spans="1:20">
      <c r="A163" s="11">
        <v>156</v>
      </c>
      <c r="B163" s="11" t="s">
        <v>337</v>
      </c>
      <c r="C163" s="11" t="s">
        <v>331</v>
      </c>
      <c r="D163" s="11" t="s">
        <v>201</v>
      </c>
      <c r="E163" s="11" t="s">
        <v>34</v>
      </c>
      <c r="F163" s="11" t="s">
        <v>35</v>
      </c>
      <c r="G163" s="9" t="s">
        <v>60</v>
      </c>
      <c r="H163" s="13">
        <v>1</v>
      </c>
      <c r="I163" s="13">
        <v>1</v>
      </c>
      <c r="J163" s="16">
        <v>8000.0</v>
      </c>
      <c r="K163" s="16"/>
      <c r="L163" s="18">
        <f>IF(J163&gt;0, K163/J163, 0)</f>
        <v>0</v>
      </c>
      <c r="M163" s="16">
        <v>8000.0</v>
      </c>
      <c r="N163" s="16"/>
      <c r="O163" s="16">
        <f>M163-N163</f>
        <v>8000</v>
      </c>
      <c r="P163" s="11" t="s">
        <v>42</v>
      </c>
      <c r="Q163" s="11" t="s">
        <v>43</v>
      </c>
      <c r="R163" s="11" t="s">
        <v>44</v>
      </c>
      <c r="S163" s="9" t="s">
        <v>2105</v>
      </c>
      <c r="T163" s="9" t="s">
        <v>44</v>
      </c>
    </row>
    <row r="164" spans="1:20">
      <c r="A164" s="10">
        <v>157</v>
      </c>
      <c r="B164" s="10" t="s">
        <v>339</v>
      </c>
      <c r="C164" s="10" t="s">
        <v>331</v>
      </c>
      <c r="D164" s="10" t="s">
        <v>201</v>
      </c>
      <c r="E164" s="10" t="s">
        <v>34</v>
      </c>
      <c r="F164" s="10" t="s">
        <v>35</v>
      </c>
      <c r="G164" s="8" t="s">
        <v>60</v>
      </c>
      <c r="H164" s="12">
        <v>1</v>
      </c>
      <c r="I164" s="12">
        <v>1</v>
      </c>
      <c r="J164" s="15">
        <v>8500.0</v>
      </c>
      <c r="K164" s="15"/>
      <c r="L164" s="17">
        <f>IF(J164&gt;0, K164/J164, 0)</f>
        <v>0</v>
      </c>
      <c r="M164" s="15">
        <v>8500.0</v>
      </c>
      <c r="N164" s="15"/>
      <c r="O164" s="15">
        <f>M164-N164</f>
        <v>8500</v>
      </c>
      <c r="P164" s="10" t="s">
        <v>42</v>
      </c>
      <c r="Q164" s="10" t="s">
        <v>43</v>
      </c>
      <c r="R164" s="10" t="s">
        <v>44</v>
      </c>
      <c r="S164" s="8" t="s">
        <v>2103</v>
      </c>
      <c r="T164" s="8" t="s">
        <v>44</v>
      </c>
    </row>
    <row r="165" spans="1:20">
      <c r="A165" s="11">
        <v>158</v>
      </c>
      <c r="B165" s="11" t="s">
        <v>340</v>
      </c>
      <c r="C165" s="11" t="s">
        <v>331</v>
      </c>
      <c r="D165" s="11" t="s">
        <v>201</v>
      </c>
      <c r="E165" s="11" t="s">
        <v>34</v>
      </c>
      <c r="F165" s="11" t="s">
        <v>144</v>
      </c>
      <c r="G165" s="9" t="s">
        <v>60</v>
      </c>
      <c r="H165" s="13">
        <v>1</v>
      </c>
      <c r="I165" s="13">
        <v>1</v>
      </c>
      <c r="J165" s="16">
        <v>10000.0</v>
      </c>
      <c r="K165" s="16"/>
      <c r="L165" s="18">
        <f>IF(J165&gt;0, K165/J165, 0)</f>
        <v>0</v>
      </c>
      <c r="M165" s="16">
        <v>10000.0</v>
      </c>
      <c r="N165" s="16"/>
      <c r="O165" s="16">
        <f>M165-N165</f>
        <v>10000</v>
      </c>
      <c r="P165" s="11" t="s">
        <v>42</v>
      </c>
      <c r="Q165" s="11" t="s">
        <v>43</v>
      </c>
      <c r="R165" s="11" t="s">
        <v>44</v>
      </c>
      <c r="S165" s="9" t="s">
        <v>2058</v>
      </c>
      <c r="T165" s="9" t="s">
        <v>146</v>
      </c>
    </row>
    <row r="166" spans="1:20">
      <c r="A166" s="10">
        <v>159</v>
      </c>
      <c r="B166" s="10" t="s">
        <v>341</v>
      </c>
      <c r="C166" s="10" t="s">
        <v>331</v>
      </c>
      <c r="D166" s="10" t="s">
        <v>201</v>
      </c>
      <c r="E166" s="10" t="s">
        <v>34</v>
      </c>
      <c r="F166" s="10" t="s">
        <v>144</v>
      </c>
      <c r="G166" s="8" t="s">
        <v>60</v>
      </c>
      <c r="H166" s="12">
        <v>1</v>
      </c>
      <c r="I166" s="12">
        <v>1</v>
      </c>
      <c r="J166" s="15">
        <v>12000.0</v>
      </c>
      <c r="K166" s="15"/>
      <c r="L166" s="17">
        <f>IF(J166&gt;0, K166/J166, 0)</f>
        <v>0</v>
      </c>
      <c r="M166" s="15">
        <v>12000.0</v>
      </c>
      <c r="N166" s="15"/>
      <c r="O166" s="15">
        <f>M166-N166</f>
        <v>12000</v>
      </c>
      <c r="P166" s="10" t="s">
        <v>42</v>
      </c>
      <c r="Q166" s="10" t="s">
        <v>43</v>
      </c>
      <c r="R166" s="10" t="s">
        <v>44</v>
      </c>
      <c r="S166" s="8" t="s">
        <v>2071</v>
      </c>
      <c r="T166" s="8" t="s">
        <v>146</v>
      </c>
    </row>
    <row r="167" spans="1:20">
      <c r="A167" s="11">
        <v>160</v>
      </c>
      <c r="B167" s="11" t="s">
        <v>342</v>
      </c>
      <c r="C167" s="11" t="s">
        <v>331</v>
      </c>
      <c r="D167" s="11" t="s">
        <v>201</v>
      </c>
      <c r="E167" s="11" t="s">
        <v>34</v>
      </c>
      <c r="F167" s="11" t="s">
        <v>35</v>
      </c>
      <c r="G167" s="9" t="s">
        <v>60</v>
      </c>
      <c r="H167" s="13">
        <v>1</v>
      </c>
      <c r="I167" s="13">
        <v>1</v>
      </c>
      <c r="J167" s="16">
        <v>8000.0</v>
      </c>
      <c r="K167" s="16"/>
      <c r="L167" s="18">
        <f>IF(J167&gt;0, K167/J167, 0)</f>
        <v>0</v>
      </c>
      <c r="M167" s="16">
        <v>8000.0</v>
      </c>
      <c r="N167" s="16"/>
      <c r="O167" s="16">
        <f>M167-N167</f>
        <v>8000</v>
      </c>
      <c r="P167" s="11" t="s">
        <v>42</v>
      </c>
      <c r="Q167" s="11" t="s">
        <v>43</v>
      </c>
      <c r="R167" s="11" t="s">
        <v>44</v>
      </c>
      <c r="S167" s="9" t="s">
        <v>2106</v>
      </c>
      <c r="T167" s="9" t="s">
        <v>44</v>
      </c>
    </row>
    <row r="168" spans="1:20">
      <c r="A168" s="10">
        <v>161</v>
      </c>
      <c r="B168" s="10" t="s">
        <v>344</v>
      </c>
      <c r="C168" s="10" t="s">
        <v>331</v>
      </c>
      <c r="D168" s="10" t="s">
        <v>201</v>
      </c>
      <c r="E168" s="10" t="s">
        <v>34</v>
      </c>
      <c r="F168" s="10" t="s">
        <v>35</v>
      </c>
      <c r="G168" s="8" t="s">
        <v>60</v>
      </c>
      <c r="H168" s="12">
        <v>1</v>
      </c>
      <c r="I168" s="12">
        <v>1</v>
      </c>
      <c r="J168" s="15">
        <v>16000.0</v>
      </c>
      <c r="K168" s="15"/>
      <c r="L168" s="17">
        <f>IF(J168&gt;0, K168/J168, 0)</f>
        <v>0</v>
      </c>
      <c r="M168" s="15">
        <v>16000.0</v>
      </c>
      <c r="N168" s="15"/>
      <c r="O168" s="15">
        <f>M168-N168</f>
        <v>16000</v>
      </c>
      <c r="P168" s="10" t="s">
        <v>42</v>
      </c>
      <c r="Q168" s="10" t="s">
        <v>43</v>
      </c>
      <c r="R168" s="10" t="s">
        <v>44</v>
      </c>
      <c r="S168" s="8" t="s">
        <v>2073</v>
      </c>
      <c r="T168" s="8" t="s">
        <v>44</v>
      </c>
    </row>
    <row r="169" spans="1:20">
      <c r="A169" s="11">
        <v>162</v>
      </c>
      <c r="B169" s="11" t="s">
        <v>345</v>
      </c>
      <c r="C169" s="11" t="s">
        <v>331</v>
      </c>
      <c r="D169" s="11" t="s">
        <v>201</v>
      </c>
      <c r="E169" s="11" t="s">
        <v>34</v>
      </c>
      <c r="F169" s="11" t="s">
        <v>144</v>
      </c>
      <c r="G169" s="9" t="s">
        <v>60</v>
      </c>
      <c r="H169" s="13">
        <v>1</v>
      </c>
      <c r="I169" s="13">
        <v>1</v>
      </c>
      <c r="J169" s="16">
        <v>18000.0</v>
      </c>
      <c r="K169" s="16"/>
      <c r="L169" s="18">
        <f>IF(J169&gt;0, K169/J169, 0)</f>
        <v>0</v>
      </c>
      <c r="M169" s="16">
        <v>18000.0</v>
      </c>
      <c r="N169" s="16"/>
      <c r="O169" s="16">
        <f>M169-N169</f>
        <v>18000</v>
      </c>
      <c r="P169" s="11" t="s">
        <v>42</v>
      </c>
      <c r="Q169" s="11" t="s">
        <v>43</v>
      </c>
      <c r="R169" s="11" t="s">
        <v>44</v>
      </c>
      <c r="S169" s="9" t="s">
        <v>2026</v>
      </c>
      <c r="T169" s="9" t="s">
        <v>146</v>
      </c>
    </row>
    <row r="170" spans="1:20">
      <c r="A170" s="10">
        <v>163</v>
      </c>
      <c r="B170" s="10" t="s">
        <v>346</v>
      </c>
      <c r="C170" s="10" t="s">
        <v>331</v>
      </c>
      <c r="D170" s="10" t="s">
        <v>201</v>
      </c>
      <c r="E170" s="10" t="s">
        <v>34</v>
      </c>
      <c r="F170" s="10" t="s">
        <v>35</v>
      </c>
      <c r="G170" s="8" t="s">
        <v>60</v>
      </c>
      <c r="H170" s="12">
        <v>1</v>
      </c>
      <c r="I170" s="12">
        <v>1</v>
      </c>
      <c r="J170" s="15">
        <v>16000.0</v>
      </c>
      <c r="K170" s="15"/>
      <c r="L170" s="17">
        <f>IF(J170&gt;0, K170/J170, 0)</f>
        <v>0</v>
      </c>
      <c r="M170" s="15">
        <v>16000.0</v>
      </c>
      <c r="N170" s="15"/>
      <c r="O170" s="15">
        <f>M170-N170</f>
        <v>16000</v>
      </c>
      <c r="P170" s="10" t="s">
        <v>42</v>
      </c>
      <c r="Q170" s="10" t="s">
        <v>43</v>
      </c>
      <c r="R170" s="10" t="s">
        <v>44</v>
      </c>
      <c r="S170" s="8" t="s">
        <v>2072</v>
      </c>
      <c r="T170" s="8" t="s">
        <v>44</v>
      </c>
    </row>
    <row r="171" spans="1:20">
      <c r="A171" s="11">
        <v>164</v>
      </c>
      <c r="B171" s="11" t="s">
        <v>347</v>
      </c>
      <c r="C171" s="11" t="s">
        <v>331</v>
      </c>
      <c r="D171" s="11" t="s">
        <v>201</v>
      </c>
      <c r="E171" s="11" t="s">
        <v>34</v>
      </c>
      <c r="F171" s="11" t="s">
        <v>35</v>
      </c>
      <c r="G171" s="9" t="s">
        <v>60</v>
      </c>
      <c r="H171" s="13">
        <v>1</v>
      </c>
      <c r="I171" s="13">
        <v>1</v>
      </c>
      <c r="J171" s="16">
        <v>18000.0</v>
      </c>
      <c r="K171" s="16"/>
      <c r="L171" s="18">
        <f>IF(J171&gt;0, K171/J171, 0)</f>
        <v>0</v>
      </c>
      <c r="M171" s="16">
        <v>18000.0</v>
      </c>
      <c r="N171" s="16"/>
      <c r="O171" s="16">
        <f>M171-N171</f>
        <v>18000</v>
      </c>
      <c r="P171" s="11" t="s">
        <v>42</v>
      </c>
      <c r="Q171" s="11" t="s">
        <v>43</v>
      </c>
      <c r="R171" s="11" t="s">
        <v>44</v>
      </c>
      <c r="S171" s="9" t="s">
        <v>2107</v>
      </c>
      <c r="T171" s="9" t="s">
        <v>44</v>
      </c>
    </row>
    <row r="172" spans="1:20">
      <c r="A172" s="10">
        <v>165</v>
      </c>
      <c r="B172" s="10" t="s">
        <v>349</v>
      </c>
      <c r="C172" s="10" t="s">
        <v>331</v>
      </c>
      <c r="D172" s="10" t="s">
        <v>201</v>
      </c>
      <c r="E172" s="10" t="s">
        <v>34</v>
      </c>
      <c r="F172" s="10" t="s">
        <v>35</v>
      </c>
      <c r="G172" s="8" t="s">
        <v>60</v>
      </c>
      <c r="H172" s="12">
        <v>1</v>
      </c>
      <c r="I172" s="12">
        <v>1</v>
      </c>
      <c r="J172" s="15">
        <v>8500.0</v>
      </c>
      <c r="K172" s="15"/>
      <c r="L172" s="17">
        <f>IF(J172&gt;0, K172/J172, 0)</f>
        <v>0</v>
      </c>
      <c r="M172" s="15">
        <v>8500.0</v>
      </c>
      <c r="N172" s="15"/>
      <c r="O172" s="15">
        <f>M172-N172</f>
        <v>8500</v>
      </c>
      <c r="P172" s="10" t="s">
        <v>42</v>
      </c>
      <c r="Q172" s="10" t="s">
        <v>43</v>
      </c>
      <c r="R172" s="10" t="s">
        <v>44</v>
      </c>
      <c r="S172" s="8" t="s">
        <v>2024</v>
      </c>
      <c r="T172" s="8" t="s">
        <v>44</v>
      </c>
    </row>
    <row r="173" spans="1:20">
      <c r="A173" s="11">
        <v>166</v>
      </c>
      <c r="B173" s="11" t="s">
        <v>350</v>
      </c>
      <c r="C173" s="11" t="s">
        <v>331</v>
      </c>
      <c r="D173" s="11" t="s">
        <v>201</v>
      </c>
      <c r="E173" s="11" t="s">
        <v>34</v>
      </c>
      <c r="F173" s="11" t="s">
        <v>35</v>
      </c>
      <c r="G173" s="9" t="s">
        <v>60</v>
      </c>
      <c r="H173" s="13">
        <v>1</v>
      </c>
      <c r="I173" s="13">
        <v>2</v>
      </c>
      <c r="J173" s="16">
        <v>14000.0</v>
      </c>
      <c r="K173" s="16"/>
      <c r="L173" s="18">
        <f>IF(J173&gt;0, K173/J173, 0)</f>
        <v>0</v>
      </c>
      <c r="M173" s="16">
        <v>14000.0</v>
      </c>
      <c r="N173" s="16"/>
      <c r="O173" s="16">
        <f>M173-N173</f>
        <v>14000</v>
      </c>
      <c r="P173" s="11" t="s">
        <v>42</v>
      </c>
      <c r="Q173" s="11" t="s">
        <v>43</v>
      </c>
      <c r="R173" s="11" t="s">
        <v>44</v>
      </c>
      <c r="S173" s="9" t="s">
        <v>2050</v>
      </c>
      <c r="T173" s="9" t="s">
        <v>44</v>
      </c>
    </row>
    <row r="174" spans="1:20">
      <c r="A174" s="10">
        <v>167</v>
      </c>
      <c r="B174" s="10" t="s">
        <v>351</v>
      </c>
      <c r="C174" s="10" t="s">
        <v>352</v>
      </c>
      <c r="D174" s="10" t="s">
        <v>201</v>
      </c>
      <c r="E174" s="10" t="s">
        <v>34</v>
      </c>
      <c r="F174" s="10" t="s">
        <v>35</v>
      </c>
      <c r="G174" s="8" t="s">
        <v>41</v>
      </c>
      <c r="H174" s="12">
        <v>1</v>
      </c>
      <c r="I174" s="12">
        <v>1</v>
      </c>
      <c r="J174" s="15">
        <v>16000.0</v>
      </c>
      <c r="K174" s="15"/>
      <c r="L174" s="17">
        <f>IF(J174&gt;0, K174/J174, 0)</f>
        <v>0</v>
      </c>
      <c r="M174" s="15">
        <v>16000.0</v>
      </c>
      <c r="N174" s="15"/>
      <c r="O174" s="15">
        <f>M174-N174</f>
        <v>16000</v>
      </c>
      <c r="P174" s="10" t="s">
        <v>42</v>
      </c>
      <c r="Q174" s="10" t="s">
        <v>43</v>
      </c>
      <c r="R174" s="10" t="s">
        <v>44</v>
      </c>
      <c r="S174" s="8" t="s">
        <v>2072</v>
      </c>
      <c r="T174" s="8" t="s">
        <v>44</v>
      </c>
    </row>
    <row r="175" spans="1:20">
      <c r="A175" s="11">
        <v>168</v>
      </c>
      <c r="B175" s="11" t="s">
        <v>354</v>
      </c>
      <c r="C175" s="11" t="s">
        <v>352</v>
      </c>
      <c r="D175" s="11" t="s">
        <v>201</v>
      </c>
      <c r="E175" s="11" t="s">
        <v>34</v>
      </c>
      <c r="F175" s="11" t="s">
        <v>35</v>
      </c>
      <c r="G175" s="9" t="s">
        <v>41</v>
      </c>
      <c r="H175" s="13">
        <v>1</v>
      </c>
      <c r="I175" s="13">
        <v>1</v>
      </c>
      <c r="J175" s="16">
        <v>8000.0</v>
      </c>
      <c r="K175" s="16"/>
      <c r="L175" s="18">
        <f>IF(J175&gt;0, K175/J175, 0)</f>
        <v>0</v>
      </c>
      <c r="M175" s="16">
        <v>8000.0</v>
      </c>
      <c r="N175" s="16"/>
      <c r="O175" s="16">
        <f>M175-N175</f>
        <v>8000</v>
      </c>
      <c r="P175" s="11" t="s">
        <v>42</v>
      </c>
      <c r="Q175" s="11" t="s">
        <v>43</v>
      </c>
      <c r="R175" s="11" t="s">
        <v>44</v>
      </c>
      <c r="S175" s="9" t="s">
        <v>2108</v>
      </c>
      <c r="T175" s="9" t="s">
        <v>44</v>
      </c>
    </row>
    <row r="176" spans="1:20">
      <c r="A176" s="10">
        <v>169</v>
      </c>
      <c r="B176" s="10" t="s">
        <v>356</v>
      </c>
      <c r="C176" s="10" t="s">
        <v>352</v>
      </c>
      <c r="D176" s="10" t="s">
        <v>201</v>
      </c>
      <c r="E176" s="10" t="s">
        <v>34</v>
      </c>
      <c r="F176" s="10" t="s">
        <v>35</v>
      </c>
      <c r="G176" s="8" t="s">
        <v>41</v>
      </c>
      <c r="H176" s="12">
        <v>1</v>
      </c>
      <c r="I176" s="12">
        <v>1</v>
      </c>
      <c r="J176" s="15">
        <v>9000.0</v>
      </c>
      <c r="K176" s="15"/>
      <c r="L176" s="17">
        <f>IF(J176&gt;0, K176/J176, 0)</f>
        <v>0</v>
      </c>
      <c r="M176" s="15">
        <v>9000.0</v>
      </c>
      <c r="N176" s="15"/>
      <c r="O176" s="15">
        <f>M176-N176</f>
        <v>9000</v>
      </c>
      <c r="P176" s="10" t="s">
        <v>42</v>
      </c>
      <c r="Q176" s="10" t="s">
        <v>43</v>
      </c>
      <c r="R176" s="10" t="s">
        <v>44</v>
      </c>
      <c r="S176" s="8" t="s">
        <v>2109</v>
      </c>
      <c r="T176" s="8" t="s">
        <v>44</v>
      </c>
    </row>
    <row r="177" spans="1:20">
      <c r="A177" s="11">
        <v>170</v>
      </c>
      <c r="B177" s="11" t="s">
        <v>358</v>
      </c>
      <c r="C177" s="11" t="s">
        <v>352</v>
      </c>
      <c r="D177" s="11" t="s">
        <v>201</v>
      </c>
      <c r="E177" s="11" t="s">
        <v>34</v>
      </c>
      <c r="F177" s="11" t="s">
        <v>35</v>
      </c>
      <c r="G177" s="9" t="s">
        <v>41</v>
      </c>
      <c r="H177" s="13">
        <v>1</v>
      </c>
      <c r="I177" s="13">
        <v>1</v>
      </c>
      <c r="J177" s="16">
        <v>8500.0</v>
      </c>
      <c r="K177" s="16"/>
      <c r="L177" s="18">
        <f>IF(J177&gt;0, K177/J177, 0)</f>
        <v>0</v>
      </c>
      <c r="M177" s="16">
        <v>8500.0</v>
      </c>
      <c r="N177" s="16"/>
      <c r="O177" s="16">
        <f>M177-N177</f>
        <v>8500</v>
      </c>
      <c r="P177" s="11" t="s">
        <v>42</v>
      </c>
      <c r="Q177" s="11" t="s">
        <v>43</v>
      </c>
      <c r="R177" s="11" t="s">
        <v>44</v>
      </c>
      <c r="S177" s="9" t="s">
        <v>2103</v>
      </c>
      <c r="T177" s="9" t="s">
        <v>44</v>
      </c>
    </row>
    <row r="178" spans="1:20">
      <c r="A178" s="10">
        <v>171</v>
      </c>
      <c r="B178" s="10" t="s">
        <v>359</v>
      </c>
      <c r="C178" s="10" t="s">
        <v>352</v>
      </c>
      <c r="D178" s="10" t="s">
        <v>201</v>
      </c>
      <c r="E178" s="10" t="s">
        <v>70</v>
      </c>
      <c r="F178" s="10" t="s">
        <v>35</v>
      </c>
      <c r="G178" s="8" t="s">
        <v>41</v>
      </c>
      <c r="H178" s="12">
        <v>1</v>
      </c>
      <c r="I178" s="12">
        <v>1</v>
      </c>
      <c r="J178" s="15">
        <v>10000.0</v>
      </c>
      <c r="K178" s="15"/>
      <c r="L178" s="17">
        <f>IF(J178&gt;0, K178/J178, 0)</f>
        <v>0</v>
      </c>
      <c r="M178" s="15">
        <v>10000.0</v>
      </c>
      <c r="N178" s="15"/>
      <c r="O178" s="15">
        <f>M178-N178</f>
        <v>10000</v>
      </c>
      <c r="P178" s="10" t="s">
        <v>42</v>
      </c>
      <c r="Q178" s="10" t="s">
        <v>73</v>
      </c>
      <c r="R178" s="10" t="s">
        <v>44</v>
      </c>
      <c r="S178" s="8" t="s">
        <v>2083</v>
      </c>
      <c r="T178" s="8" t="s">
        <v>44</v>
      </c>
    </row>
    <row r="179" spans="1:20">
      <c r="A179" s="11">
        <v>172</v>
      </c>
      <c r="B179" s="11" t="s">
        <v>360</v>
      </c>
      <c r="C179" s="11" t="s">
        <v>352</v>
      </c>
      <c r="D179" s="11" t="s">
        <v>201</v>
      </c>
      <c r="E179" s="11" t="s">
        <v>70</v>
      </c>
      <c r="F179" s="11" t="s">
        <v>35</v>
      </c>
      <c r="G179" s="9" t="s">
        <v>41</v>
      </c>
      <c r="H179" s="13">
        <v>1</v>
      </c>
      <c r="I179" s="13">
        <v>1</v>
      </c>
      <c r="J179" s="16">
        <v>5000.0</v>
      </c>
      <c r="K179" s="16"/>
      <c r="L179" s="18">
        <f>IF(J179&gt;0, K179/J179, 0)</f>
        <v>0</v>
      </c>
      <c r="M179" s="16">
        <v>5000.0</v>
      </c>
      <c r="N179" s="16"/>
      <c r="O179" s="16">
        <f>M179-N179</f>
        <v>5000</v>
      </c>
      <c r="P179" s="11" t="s">
        <v>42</v>
      </c>
      <c r="Q179" s="11" t="s">
        <v>73</v>
      </c>
      <c r="R179" s="11" t="s">
        <v>44</v>
      </c>
      <c r="S179" s="9" t="s">
        <v>2110</v>
      </c>
      <c r="T179" s="9" t="s">
        <v>44</v>
      </c>
    </row>
    <row r="180" spans="1:20">
      <c r="A180" s="10">
        <v>173</v>
      </c>
      <c r="B180" s="10" t="s">
        <v>362</v>
      </c>
      <c r="C180" s="10" t="s">
        <v>352</v>
      </c>
      <c r="D180" s="10" t="s">
        <v>201</v>
      </c>
      <c r="E180" s="10" t="s">
        <v>70</v>
      </c>
      <c r="F180" s="10" t="s">
        <v>35</v>
      </c>
      <c r="G180" s="8" t="s">
        <v>41</v>
      </c>
      <c r="H180" s="12">
        <v>1</v>
      </c>
      <c r="I180" s="12">
        <v>1</v>
      </c>
      <c r="J180" s="15">
        <v>10000.0</v>
      </c>
      <c r="K180" s="15"/>
      <c r="L180" s="17">
        <f>IF(J180&gt;0, K180/J180, 0)</f>
        <v>0</v>
      </c>
      <c r="M180" s="15">
        <v>10000.0</v>
      </c>
      <c r="N180" s="15"/>
      <c r="O180" s="15">
        <f>M180-N180</f>
        <v>10000</v>
      </c>
      <c r="P180" s="10" t="s">
        <v>42</v>
      </c>
      <c r="Q180" s="10" t="s">
        <v>73</v>
      </c>
      <c r="R180" s="10" t="s">
        <v>44</v>
      </c>
      <c r="S180" s="8" t="s">
        <v>2058</v>
      </c>
      <c r="T180" s="8" t="s">
        <v>44</v>
      </c>
    </row>
    <row r="181" spans="1:20">
      <c r="A181" s="11">
        <v>174</v>
      </c>
      <c r="B181" s="11" t="s">
        <v>363</v>
      </c>
      <c r="C181" s="11" t="s">
        <v>352</v>
      </c>
      <c r="D181" s="11" t="s">
        <v>201</v>
      </c>
      <c r="E181" s="11" t="s">
        <v>34</v>
      </c>
      <c r="F181" s="11" t="s">
        <v>35</v>
      </c>
      <c r="G181" s="9" t="s">
        <v>41</v>
      </c>
      <c r="H181" s="13">
        <v>1</v>
      </c>
      <c r="I181" s="13">
        <v>1</v>
      </c>
      <c r="J181" s="16">
        <v>8000.0</v>
      </c>
      <c r="K181" s="16"/>
      <c r="L181" s="18">
        <f>IF(J181&gt;0, K181/J181, 0)</f>
        <v>0</v>
      </c>
      <c r="M181" s="16">
        <v>8000.0</v>
      </c>
      <c r="N181" s="16"/>
      <c r="O181" s="16">
        <f>M181-N181</f>
        <v>8000</v>
      </c>
      <c r="P181" s="11" t="s">
        <v>42</v>
      </c>
      <c r="Q181" s="11" t="s">
        <v>43</v>
      </c>
      <c r="R181" s="11" t="s">
        <v>44</v>
      </c>
      <c r="S181" s="9" t="s">
        <v>2111</v>
      </c>
      <c r="T181" s="9" t="s">
        <v>44</v>
      </c>
    </row>
    <row r="182" spans="1:20">
      <c r="A182" s="10">
        <v>175</v>
      </c>
      <c r="B182" s="10" t="s">
        <v>364</v>
      </c>
      <c r="C182" s="10" t="s">
        <v>352</v>
      </c>
      <c r="D182" s="10" t="s">
        <v>201</v>
      </c>
      <c r="E182" s="10" t="s">
        <v>34</v>
      </c>
      <c r="F182" s="10" t="s">
        <v>35</v>
      </c>
      <c r="G182" s="8" t="s">
        <v>41</v>
      </c>
      <c r="H182" s="12">
        <v>1</v>
      </c>
      <c r="I182" s="12">
        <v>1</v>
      </c>
      <c r="J182" s="15">
        <v>7000.0</v>
      </c>
      <c r="K182" s="15"/>
      <c r="L182" s="17">
        <f>IF(J182&gt;0, K182/J182, 0)</f>
        <v>0</v>
      </c>
      <c r="M182" s="15">
        <v>7000.0</v>
      </c>
      <c r="N182" s="15"/>
      <c r="O182" s="15">
        <f>M182-N182</f>
        <v>7000</v>
      </c>
      <c r="P182" s="10" t="s">
        <v>42</v>
      </c>
      <c r="Q182" s="10" t="s">
        <v>43</v>
      </c>
      <c r="R182" s="10" t="s">
        <v>44</v>
      </c>
      <c r="S182" s="8" t="s">
        <v>2077</v>
      </c>
      <c r="T182" s="8" t="s">
        <v>44</v>
      </c>
    </row>
    <row r="183" spans="1:20">
      <c r="A183" s="11">
        <v>176</v>
      </c>
      <c r="B183" s="11" t="s">
        <v>365</v>
      </c>
      <c r="C183" s="11" t="s">
        <v>352</v>
      </c>
      <c r="D183" s="11" t="s">
        <v>201</v>
      </c>
      <c r="E183" s="11" t="s">
        <v>34</v>
      </c>
      <c r="F183" s="11" t="s">
        <v>35</v>
      </c>
      <c r="G183" s="9" t="s">
        <v>41</v>
      </c>
      <c r="H183" s="13">
        <v>1</v>
      </c>
      <c r="I183" s="13">
        <v>1</v>
      </c>
      <c r="J183" s="16">
        <v>8500.0</v>
      </c>
      <c r="K183" s="16"/>
      <c r="L183" s="18">
        <f>IF(J183&gt;0, K183/J183, 0)</f>
        <v>0</v>
      </c>
      <c r="M183" s="16">
        <v>8500.0</v>
      </c>
      <c r="N183" s="16"/>
      <c r="O183" s="16">
        <f>M183-N183</f>
        <v>8500</v>
      </c>
      <c r="P183" s="11" t="s">
        <v>42</v>
      </c>
      <c r="Q183" s="11" t="s">
        <v>43</v>
      </c>
      <c r="R183" s="11" t="s">
        <v>44</v>
      </c>
      <c r="S183" s="9" t="s">
        <v>2024</v>
      </c>
      <c r="T183" s="9" t="s">
        <v>44</v>
      </c>
    </row>
    <row r="184" spans="1:20">
      <c r="A184" s="10">
        <v>177</v>
      </c>
      <c r="B184" s="10" t="s">
        <v>366</v>
      </c>
      <c r="C184" s="10" t="s">
        <v>352</v>
      </c>
      <c r="D184" s="10" t="s">
        <v>201</v>
      </c>
      <c r="E184" s="10" t="s">
        <v>34</v>
      </c>
      <c r="F184" s="10" t="s">
        <v>35</v>
      </c>
      <c r="G184" s="8" t="s">
        <v>41</v>
      </c>
      <c r="H184" s="12">
        <v>1</v>
      </c>
      <c r="I184" s="12">
        <v>1</v>
      </c>
      <c r="J184" s="15">
        <v>7500.0</v>
      </c>
      <c r="K184" s="15"/>
      <c r="L184" s="17">
        <f>IF(J184&gt;0, K184/J184, 0)</f>
        <v>0</v>
      </c>
      <c r="M184" s="15">
        <v>7500.0</v>
      </c>
      <c r="N184" s="15"/>
      <c r="O184" s="15">
        <f>M184-N184</f>
        <v>7500</v>
      </c>
      <c r="P184" s="10" t="s">
        <v>42</v>
      </c>
      <c r="Q184" s="10" t="s">
        <v>43</v>
      </c>
      <c r="R184" s="10" t="s">
        <v>44</v>
      </c>
      <c r="S184" s="8" t="s">
        <v>2023</v>
      </c>
      <c r="T184" s="8" t="s">
        <v>44</v>
      </c>
    </row>
    <row r="185" spans="1:20">
      <c r="A185" s="11">
        <v>178</v>
      </c>
      <c r="B185" s="11" t="s">
        <v>367</v>
      </c>
      <c r="C185" s="11" t="s">
        <v>352</v>
      </c>
      <c r="D185" s="11" t="s">
        <v>201</v>
      </c>
      <c r="E185" s="11" t="s">
        <v>70</v>
      </c>
      <c r="F185" s="11" t="s">
        <v>35</v>
      </c>
      <c r="G185" s="9" t="s">
        <v>41</v>
      </c>
      <c r="H185" s="13">
        <v>1</v>
      </c>
      <c r="I185" s="13">
        <v>1</v>
      </c>
      <c r="J185" s="16">
        <v>12000.0</v>
      </c>
      <c r="K185" s="16"/>
      <c r="L185" s="18">
        <f>IF(J185&gt;0, K185/J185, 0)</f>
        <v>0</v>
      </c>
      <c r="M185" s="16">
        <v>12000.0</v>
      </c>
      <c r="N185" s="16"/>
      <c r="O185" s="16">
        <f>M185-N185</f>
        <v>12000</v>
      </c>
      <c r="P185" s="11" t="s">
        <v>42</v>
      </c>
      <c r="Q185" s="11" t="s">
        <v>73</v>
      </c>
      <c r="R185" s="11" t="s">
        <v>44</v>
      </c>
      <c r="S185" s="9" t="s">
        <v>2075</v>
      </c>
      <c r="T185" s="9" t="s">
        <v>44</v>
      </c>
    </row>
    <row r="186" spans="1:20">
      <c r="A186" s="10">
        <v>179</v>
      </c>
      <c r="B186" s="10" t="s">
        <v>369</v>
      </c>
      <c r="C186" s="10" t="s">
        <v>352</v>
      </c>
      <c r="D186" s="10" t="s">
        <v>201</v>
      </c>
      <c r="E186" s="10" t="s">
        <v>70</v>
      </c>
      <c r="F186" s="10" t="s">
        <v>35</v>
      </c>
      <c r="G186" s="8" t="s">
        <v>41</v>
      </c>
      <c r="H186" s="12">
        <v>1</v>
      </c>
      <c r="I186" s="12">
        <v>1</v>
      </c>
      <c r="J186" s="15">
        <v>10000.0</v>
      </c>
      <c r="K186" s="15"/>
      <c r="L186" s="17">
        <f>IF(J186&gt;0, K186/J186, 0)</f>
        <v>0</v>
      </c>
      <c r="M186" s="15">
        <v>10000.0</v>
      </c>
      <c r="N186" s="15"/>
      <c r="O186" s="15">
        <f>M186-N186</f>
        <v>10000</v>
      </c>
      <c r="P186" s="10" t="s">
        <v>42</v>
      </c>
      <c r="Q186" s="10" t="s">
        <v>73</v>
      </c>
      <c r="R186" s="10" t="s">
        <v>44</v>
      </c>
      <c r="S186" s="8" t="s">
        <v>2045</v>
      </c>
      <c r="T186" s="8" t="s">
        <v>44</v>
      </c>
    </row>
    <row r="187" spans="1:20">
      <c r="A187" s="11">
        <v>180</v>
      </c>
      <c r="B187" s="11" t="s">
        <v>370</v>
      </c>
      <c r="C187" s="11" t="s">
        <v>352</v>
      </c>
      <c r="D187" s="11" t="s">
        <v>201</v>
      </c>
      <c r="E187" s="11" t="s">
        <v>34</v>
      </c>
      <c r="F187" s="11" t="s">
        <v>35</v>
      </c>
      <c r="G187" s="9" t="s">
        <v>41</v>
      </c>
      <c r="H187" s="13">
        <v>1</v>
      </c>
      <c r="I187" s="13">
        <v>1</v>
      </c>
      <c r="J187" s="16">
        <v>11000.0</v>
      </c>
      <c r="K187" s="16"/>
      <c r="L187" s="18">
        <f>IF(J187&gt;0, K187/J187, 0)</f>
        <v>0</v>
      </c>
      <c r="M187" s="16">
        <v>11000.0</v>
      </c>
      <c r="N187" s="16"/>
      <c r="O187" s="16">
        <f>M187-N187</f>
        <v>11000</v>
      </c>
      <c r="P187" s="11" t="s">
        <v>42</v>
      </c>
      <c r="Q187" s="11" t="s">
        <v>43</v>
      </c>
      <c r="R187" s="11" t="s">
        <v>44</v>
      </c>
      <c r="S187" s="9" t="s">
        <v>2112</v>
      </c>
      <c r="T187" s="9" t="s">
        <v>44</v>
      </c>
    </row>
    <row r="188" spans="1:20">
      <c r="A188" s="10">
        <v>181</v>
      </c>
      <c r="B188" s="10" t="s">
        <v>372</v>
      </c>
      <c r="C188" s="10" t="s">
        <v>352</v>
      </c>
      <c r="D188" s="10" t="s">
        <v>201</v>
      </c>
      <c r="E188" s="10" t="s">
        <v>34</v>
      </c>
      <c r="F188" s="10" t="s">
        <v>35</v>
      </c>
      <c r="G188" s="8" t="s">
        <v>41</v>
      </c>
      <c r="H188" s="12">
        <v>1</v>
      </c>
      <c r="I188" s="12">
        <v>1</v>
      </c>
      <c r="J188" s="15">
        <v>7500.0</v>
      </c>
      <c r="K188" s="15"/>
      <c r="L188" s="17">
        <f>IF(J188&gt;0, K188/J188, 0)</f>
        <v>0</v>
      </c>
      <c r="M188" s="15">
        <v>7500.0</v>
      </c>
      <c r="N188" s="15"/>
      <c r="O188" s="15">
        <f>M188-N188</f>
        <v>7500</v>
      </c>
      <c r="P188" s="10" t="s">
        <v>42</v>
      </c>
      <c r="Q188" s="10" t="s">
        <v>43</v>
      </c>
      <c r="R188" s="10" t="s">
        <v>44</v>
      </c>
      <c r="S188" s="8" t="s">
        <v>2046</v>
      </c>
      <c r="T188" s="8" t="s">
        <v>44</v>
      </c>
    </row>
    <row r="189" spans="1:20">
      <c r="A189" s="11">
        <v>182</v>
      </c>
      <c r="B189" s="11" t="s">
        <v>373</v>
      </c>
      <c r="C189" s="11" t="s">
        <v>352</v>
      </c>
      <c r="D189" s="11" t="s">
        <v>201</v>
      </c>
      <c r="E189" s="11" t="s">
        <v>34</v>
      </c>
      <c r="F189" s="11" t="s">
        <v>35</v>
      </c>
      <c r="G189" s="9" t="s">
        <v>41</v>
      </c>
      <c r="H189" s="13">
        <v>1</v>
      </c>
      <c r="I189" s="13">
        <v>2</v>
      </c>
      <c r="J189" s="16">
        <v>36000.0</v>
      </c>
      <c r="K189" s="16"/>
      <c r="L189" s="18">
        <f>IF(J189&gt;0, K189/J189, 0)</f>
        <v>0</v>
      </c>
      <c r="M189" s="16">
        <v>36000.0</v>
      </c>
      <c r="N189" s="16"/>
      <c r="O189" s="16">
        <f>M189-N189</f>
        <v>36000</v>
      </c>
      <c r="P189" s="11" t="s">
        <v>42</v>
      </c>
      <c r="Q189" s="11" t="s">
        <v>43</v>
      </c>
      <c r="R189" s="11" t="s">
        <v>44</v>
      </c>
      <c r="S189" s="9" t="s">
        <v>2113</v>
      </c>
      <c r="T189" s="9" t="s">
        <v>44</v>
      </c>
    </row>
    <row r="190" spans="1:20">
      <c r="A190" s="10">
        <v>183</v>
      </c>
      <c r="B190" s="10" t="s">
        <v>374</v>
      </c>
      <c r="C190" s="10" t="s">
        <v>375</v>
      </c>
      <c r="D190" s="10" t="s">
        <v>201</v>
      </c>
      <c r="E190" s="10" t="s">
        <v>34</v>
      </c>
      <c r="F190" s="10" t="s">
        <v>35</v>
      </c>
      <c r="G190" s="8" t="s">
        <v>41</v>
      </c>
      <c r="H190" s="12">
        <v>1</v>
      </c>
      <c r="I190" s="12">
        <v>1</v>
      </c>
      <c r="J190" s="15">
        <v>8000.0</v>
      </c>
      <c r="K190" s="15"/>
      <c r="L190" s="17">
        <f>IF(J190&gt;0, K190/J190, 0)</f>
        <v>0</v>
      </c>
      <c r="M190" s="15">
        <v>8000.0</v>
      </c>
      <c r="N190" s="15"/>
      <c r="O190" s="15">
        <f>M190-N190</f>
        <v>8000</v>
      </c>
      <c r="P190" s="10" t="s">
        <v>42</v>
      </c>
      <c r="Q190" s="10" t="s">
        <v>43</v>
      </c>
      <c r="R190" s="10" t="s">
        <v>44</v>
      </c>
      <c r="S190" s="8" t="s">
        <v>2067</v>
      </c>
      <c r="T190" s="8" t="s">
        <v>44</v>
      </c>
    </row>
    <row r="191" spans="1:20">
      <c r="A191" s="11">
        <v>184</v>
      </c>
      <c r="B191" s="11" t="s">
        <v>376</v>
      </c>
      <c r="C191" s="11" t="s">
        <v>375</v>
      </c>
      <c r="D191" s="11" t="s">
        <v>201</v>
      </c>
      <c r="E191" s="11" t="s">
        <v>34</v>
      </c>
      <c r="F191" s="11" t="s">
        <v>35</v>
      </c>
      <c r="G191" s="9" t="s">
        <v>41</v>
      </c>
      <c r="H191" s="13">
        <v>1</v>
      </c>
      <c r="I191" s="13">
        <v>1</v>
      </c>
      <c r="J191" s="16">
        <v>7000.0</v>
      </c>
      <c r="K191" s="16"/>
      <c r="L191" s="18">
        <f>IF(J191&gt;0, K191/J191, 0)</f>
        <v>0</v>
      </c>
      <c r="M191" s="16">
        <v>7000.0</v>
      </c>
      <c r="N191" s="16"/>
      <c r="O191" s="16">
        <f>M191-N191</f>
        <v>7000</v>
      </c>
      <c r="P191" s="11" t="s">
        <v>42</v>
      </c>
      <c r="Q191" s="11" t="s">
        <v>43</v>
      </c>
      <c r="R191" s="11" t="s">
        <v>44</v>
      </c>
      <c r="S191" s="9" t="s">
        <v>2101</v>
      </c>
      <c r="T191" s="9" t="s">
        <v>44</v>
      </c>
    </row>
    <row r="192" spans="1:20">
      <c r="A192" s="10">
        <v>185</v>
      </c>
      <c r="B192" s="10" t="s">
        <v>377</v>
      </c>
      <c r="C192" s="10" t="s">
        <v>375</v>
      </c>
      <c r="D192" s="10" t="s">
        <v>201</v>
      </c>
      <c r="E192" s="10" t="s">
        <v>34</v>
      </c>
      <c r="F192" s="10" t="s">
        <v>35</v>
      </c>
      <c r="G192" s="8" t="s">
        <v>41</v>
      </c>
      <c r="H192" s="12">
        <v>1</v>
      </c>
      <c r="I192" s="12">
        <v>1</v>
      </c>
      <c r="J192" s="15">
        <v>8000.0</v>
      </c>
      <c r="K192" s="15"/>
      <c r="L192" s="17">
        <f>IF(J192&gt;0, K192/J192, 0)</f>
        <v>0</v>
      </c>
      <c r="M192" s="15">
        <v>8000.0</v>
      </c>
      <c r="N192" s="15"/>
      <c r="O192" s="15">
        <f>M192-N192</f>
        <v>8000</v>
      </c>
      <c r="P192" s="10" t="s">
        <v>42</v>
      </c>
      <c r="Q192" s="10" t="s">
        <v>43</v>
      </c>
      <c r="R192" s="10" t="s">
        <v>44</v>
      </c>
      <c r="S192" s="8" t="s">
        <v>2068</v>
      </c>
      <c r="T192" s="8" t="s">
        <v>44</v>
      </c>
    </row>
    <row r="193" spans="1:20">
      <c r="A193" s="11">
        <v>186</v>
      </c>
      <c r="B193" s="11" t="s">
        <v>378</v>
      </c>
      <c r="C193" s="11" t="s">
        <v>375</v>
      </c>
      <c r="D193" s="11" t="s">
        <v>201</v>
      </c>
      <c r="E193" s="11" t="s">
        <v>34</v>
      </c>
      <c r="F193" s="11" t="s">
        <v>35</v>
      </c>
      <c r="G193" s="9" t="s">
        <v>41</v>
      </c>
      <c r="H193" s="13">
        <v>1</v>
      </c>
      <c r="I193" s="13">
        <v>1</v>
      </c>
      <c r="J193" s="16">
        <v>18000.0</v>
      </c>
      <c r="K193" s="16"/>
      <c r="L193" s="18">
        <f>IF(J193&gt;0, K193/J193, 0)</f>
        <v>0</v>
      </c>
      <c r="M193" s="16">
        <v>18000.0</v>
      </c>
      <c r="N193" s="16"/>
      <c r="O193" s="16">
        <f>M193-N193</f>
        <v>18000</v>
      </c>
      <c r="P193" s="11" t="s">
        <v>42</v>
      </c>
      <c r="Q193" s="11" t="s">
        <v>43</v>
      </c>
      <c r="R193" s="11" t="s">
        <v>44</v>
      </c>
      <c r="S193" s="9" t="s">
        <v>2114</v>
      </c>
      <c r="T193" s="9" t="s">
        <v>44</v>
      </c>
    </row>
    <row r="194" spans="1:20">
      <c r="A194" s="10">
        <v>187</v>
      </c>
      <c r="B194" s="10" t="s">
        <v>380</v>
      </c>
      <c r="C194" s="10" t="s">
        <v>375</v>
      </c>
      <c r="D194" s="10" t="s">
        <v>201</v>
      </c>
      <c r="E194" s="10" t="s">
        <v>34</v>
      </c>
      <c r="F194" s="10" t="s">
        <v>35</v>
      </c>
      <c r="G194" s="8" t="s">
        <v>41</v>
      </c>
      <c r="H194" s="12">
        <v>1</v>
      </c>
      <c r="I194" s="12">
        <v>2</v>
      </c>
      <c r="J194" s="15">
        <v>14000.0</v>
      </c>
      <c r="K194" s="15"/>
      <c r="L194" s="17">
        <f>IF(J194&gt;0, K194/J194, 0)</f>
        <v>0</v>
      </c>
      <c r="M194" s="15">
        <v>14000.0</v>
      </c>
      <c r="N194" s="15"/>
      <c r="O194" s="15">
        <f>M194-N194</f>
        <v>14000</v>
      </c>
      <c r="P194" s="10" t="s">
        <v>42</v>
      </c>
      <c r="Q194" s="10" t="s">
        <v>43</v>
      </c>
      <c r="R194" s="10" t="s">
        <v>44</v>
      </c>
      <c r="S194" s="8" t="s">
        <v>2063</v>
      </c>
      <c r="T194" s="8" t="s">
        <v>44</v>
      </c>
    </row>
    <row r="195" spans="1:20">
      <c r="A195" s="11">
        <v>188</v>
      </c>
      <c r="B195" s="11" t="s">
        <v>381</v>
      </c>
      <c r="C195" s="11" t="s">
        <v>375</v>
      </c>
      <c r="D195" s="11" t="s">
        <v>201</v>
      </c>
      <c r="E195" s="11" t="s">
        <v>70</v>
      </c>
      <c r="F195" s="11" t="s">
        <v>35</v>
      </c>
      <c r="G195" s="9" t="s">
        <v>41</v>
      </c>
      <c r="H195" s="13">
        <v>1</v>
      </c>
      <c r="I195" s="13">
        <v>1</v>
      </c>
      <c r="J195" s="16">
        <v>10000.0</v>
      </c>
      <c r="K195" s="16"/>
      <c r="L195" s="18">
        <f>IF(J195&gt;0, K195/J195, 0)</f>
        <v>0</v>
      </c>
      <c r="M195" s="16">
        <v>10000.0</v>
      </c>
      <c r="N195" s="16"/>
      <c r="O195" s="16">
        <f>M195-N195</f>
        <v>10000</v>
      </c>
      <c r="P195" s="11" t="s">
        <v>42</v>
      </c>
      <c r="Q195" s="11" t="s">
        <v>73</v>
      </c>
      <c r="R195" s="11" t="s">
        <v>44</v>
      </c>
      <c r="S195" s="9" t="s">
        <v>2059</v>
      </c>
      <c r="T195" s="9" t="s">
        <v>44</v>
      </c>
    </row>
    <row r="196" spans="1:20">
      <c r="A196" s="10">
        <v>189</v>
      </c>
      <c r="B196" s="10" t="s">
        <v>382</v>
      </c>
      <c r="C196" s="10" t="s">
        <v>375</v>
      </c>
      <c r="D196" s="10" t="s">
        <v>201</v>
      </c>
      <c r="E196" s="10" t="s">
        <v>34</v>
      </c>
      <c r="F196" s="10" t="s">
        <v>35</v>
      </c>
      <c r="G196" s="8" t="s">
        <v>41</v>
      </c>
      <c r="H196" s="12">
        <v>1</v>
      </c>
      <c r="I196" s="12">
        <v>1</v>
      </c>
      <c r="J196" s="15">
        <v>18000.0</v>
      </c>
      <c r="K196" s="15"/>
      <c r="L196" s="17">
        <f>IF(J196&gt;0, K196/J196, 0)</f>
        <v>0</v>
      </c>
      <c r="M196" s="15">
        <v>18000.0</v>
      </c>
      <c r="N196" s="15"/>
      <c r="O196" s="15">
        <f>M196-N196</f>
        <v>18000</v>
      </c>
      <c r="P196" s="10" t="s">
        <v>42</v>
      </c>
      <c r="Q196" s="10" t="s">
        <v>43</v>
      </c>
      <c r="R196" s="10" t="s">
        <v>44</v>
      </c>
      <c r="S196" s="8" t="s">
        <v>2049</v>
      </c>
      <c r="T196" s="8" t="s">
        <v>44</v>
      </c>
    </row>
    <row r="197" spans="1:20">
      <c r="A197" s="11">
        <v>190</v>
      </c>
      <c r="B197" s="11" t="s">
        <v>383</v>
      </c>
      <c r="C197" s="11" t="s">
        <v>384</v>
      </c>
      <c r="D197" s="11" t="s">
        <v>201</v>
      </c>
      <c r="E197" s="11" t="s">
        <v>34</v>
      </c>
      <c r="F197" s="11" t="s">
        <v>35</v>
      </c>
      <c r="G197" s="9" t="s">
        <v>41</v>
      </c>
      <c r="H197" s="13">
        <v>1</v>
      </c>
      <c r="I197" s="13">
        <v>1</v>
      </c>
      <c r="J197" s="16">
        <v>16500.0</v>
      </c>
      <c r="K197" s="16"/>
      <c r="L197" s="18">
        <f>IF(J197&gt;0, K197/J197, 0)</f>
        <v>0</v>
      </c>
      <c r="M197" s="16">
        <v>16500.0</v>
      </c>
      <c r="N197" s="16"/>
      <c r="O197" s="16">
        <f>M197-N197</f>
        <v>16500</v>
      </c>
      <c r="P197" s="11" t="s">
        <v>42</v>
      </c>
      <c r="Q197" s="11" t="s">
        <v>43</v>
      </c>
      <c r="R197" s="11" t="s">
        <v>44</v>
      </c>
      <c r="S197" s="9" t="s">
        <v>2090</v>
      </c>
      <c r="T197" s="9" t="s">
        <v>44</v>
      </c>
    </row>
    <row r="198" spans="1:20">
      <c r="A198" s="10">
        <v>191</v>
      </c>
      <c r="B198" s="10" t="s">
        <v>386</v>
      </c>
      <c r="C198" s="10" t="s">
        <v>384</v>
      </c>
      <c r="D198" s="10" t="s">
        <v>201</v>
      </c>
      <c r="E198" s="10" t="s">
        <v>70</v>
      </c>
      <c r="F198" s="10" t="s">
        <v>35</v>
      </c>
      <c r="G198" s="8" t="s">
        <v>41</v>
      </c>
      <c r="H198" s="12">
        <v>1</v>
      </c>
      <c r="I198" s="12">
        <v>1</v>
      </c>
      <c r="J198" s="15">
        <v>12000.0</v>
      </c>
      <c r="K198" s="15"/>
      <c r="L198" s="17">
        <f>IF(J198&gt;0, K198/J198, 0)</f>
        <v>0</v>
      </c>
      <c r="M198" s="15">
        <v>12000.0</v>
      </c>
      <c r="N198" s="15"/>
      <c r="O198" s="15">
        <f>M198-N198</f>
        <v>12000</v>
      </c>
      <c r="P198" s="10" t="s">
        <v>42</v>
      </c>
      <c r="Q198" s="10" t="s">
        <v>73</v>
      </c>
      <c r="R198" s="10" t="s">
        <v>44</v>
      </c>
      <c r="S198" s="8" t="s">
        <v>2075</v>
      </c>
      <c r="T198" s="8" t="s">
        <v>44</v>
      </c>
    </row>
    <row r="199" spans="1:20">
      <c r="A199" s="11">
        <v>192</v>
      </c>
      <c r="B199" s="11" t="s">
        <v>387</v>
      </c>
      <c r="C199" s="11" t="s">
        <v>384</v>
      </c>
      <c r="D199" s="11" t="s">
        <v>201</v>
      </c>
      <c r="E199" s="11" t="s">
        <v>70</v>
      </c>
      <c r="F199" s="11" t="s">
        <v>35</v>
      </c>
      <c r="G199" s="9" t="s">
        <v>41</v>
      </c>
      <c r="H199" s="13">
        <v>1</v>
      </c>
      <c r="I199" s="13">
        <v>1</v>
      </c>
      <c r="J199" s="16">
        <v>10000.0</v>
      </c>
      <c r="K199" s="16"/>
      <c r="L199" s="18">
        <f>IF(J199&gt;0, K199/J199, 0)</f>
        <v>0</v>
      </c>
      <c r="M199" s="16">
        <v>10000.0</v>
      </c>
      <c r="N199" s="16"/>
      <c r="O199" s="16">
        <f>M199-N199</f>
        <v>10000</v>
      </c>
      <c r="P199" s="11" t="s">
        <v>42</v>
      </c>
      <c r="Q199" s="11" t="s">
        <v>73</v>
      </c>
      <c r="R199" s="11" t="s">
        <v>44</v>
      </c>
      <c r="S199" s="9" t="s">
        <v>2045</v>
      </c>
      <c r="T199" s="9" t="s">
        <v>44</v>
      </c>
    </row>
    <row r="200" spans="1:20">
      <c r="A200" s="10">
        <v>193</v>
      </c>
      <c r="B200" s="10" t="s">
        <v>388</v>
      </c>
      <c r="C200" s="10" t="s">
        <v>384</v>
      </c>
      <c r="D200" s="10" t="s">
        <v>201</v>
      </c>
      <c r="E200" s="10" t="s">
        <v>70</v>
      </c>
      <c r="F200" s="10" t="s">
        <v>35</v>
      </c>
      <c r="G200" s="8" t="s">
        <v>41</v>
      </c>
      <c r="H200" s="12">
        <v>1</v>
      </c>
      <c r="I200" s="12">
        <v>1</v>
      </c>
      <c r="J200" s="15">
        <v>5000.0</v>
      </c>
      <c r="K200" s="15"/>
      <c r="L200" s="17">
        <f>IF(J200&gt;0, K200/J200, 0)</f>
        <v>0</v>
      </c>
      <c r="M200" s="15">
        <v>5000.0</v>
      </c>
      <c r="N200" s="15"/>
      <c r="O200" s="15">
        <f>M200-N200</f>
        <v>5000</v>
      </c>
      <c r="P200" s="10" t="s">
        <v>42</v>
      </c>
      <c r="Q200" s="10" t="s">
        <v>73</v>
      </c>
      <c r="R200" s="10" t="s">
        <v>44</v>
      </c>
      <c r="S200" s="8" t="s">
        <v>2110</v>
      </c>
      <c r="T200" s="8" t="s">
        <v>44</v>
      </c>
    </row>
    <row r="201" spans="1:20">
      <c r="A201" s="11">
        <v>194</v>
      </c>
      <c r="B201" s="11" t="s">
        <v>390</v>
      </c>
      <c r="C201" s="11" t="s">
        <v>384</v>
      </c>
      <c r="D201" s="11" t="s">
        <v>201</v>
      </c>
      <c r="E201" s="11" t="s">
        <v>70</v>
      </c>
      <c r="F201" s="11" t="s">
        <v>35</v>
      </c>
      <c r="G201" s="9" t="s">
        <v>41</v>
      </c>
      <c r="H201" s="13">
        <v>1</v>
      </c>
      <c r="I201" s="13">
        <v>1</v>
      </c>
      <c r="J201" s="16">
        <v>10000.0</v>
      </c>
      <c r="K201" s="16"/>
      <c r="L201" s="18">
        <f>IF(J201&gt;0, K201/J201, 0)</f>
        <v>0</v>
      </c>
      <c r="M201" s="16">
        <v>10000.0</v>
      </c>
      <c r="N201" s="16"/>
      <c r="O201" s="16">
        <f>M201-N201</f>
        <v>10000</v>
      </c>
      <c r="P201" s="11" t="s">
        <v>42</v>
      </c>
      <c r="Q201" s="11" t="s">
        <v>73</v>
      </c>
      <c r="R201" s="11" t="s">
        <v>44</v>
      </c>
      <c r="S201" s="9" t="s">
        <v>2058</v>
      </c>
      <c r="T201" s="9" t="s">
        <v>44</v>
      </c>
    </row>
    <row r="202" spans="1:20">
      <c r="A202" s="10">
        <v>195</v>
      </c>
      <c r="B202" s="10" t="s">
        <v>391</v>
      </c>
      <c r="C202" s="10" t="s">
        <v>384</v>
      </c>
      <c r="D202" s="10" t="s">
        <v>201</v>
      </c>
      <c r="E202" s="10" t="s">
        <v>70</v>
      </c>
      <c r="F202" s="10" t="s">
        <v>35</v>
      </c>
      <c r="G202" s="8" t="s">
        <v>41</v>
      </c>
      <c r="H202" s="12">
        <v>1</v>
      </c>
      <c r="I202" s="12">
        <v>1</v>
      </c>
      <c r="J202" s="15">
        <v>9000.0</v>
      </c>
      <c r="K202" s="15"/>
      <c r="L202" s="17">
        <f>IF(J202&gt;0, K202/J202, 0)</f>
        <v>0</v>
      </c>
      <c r="M202" s="15">
        <v>9000.0</v>
      </c>
      <c r="N202" s="15"/>
      <c r="O202" s="15">
        <f>M202-N202</f>
        <v>9000</v>
      </c>
      <c r="P202" s="10" t="s">
        <v>42</v>
      </c>
      <c r="Q202" s="10" t="s">
        <v>73</v>
      </c>
      <c r="R202" s="10" t="s">
        <v>44</v>
      </c>
      <c r="S202" s="8" t="s">
        <v>2111</v>
      </c>
      <c r="T202" s="8" t="s">
        <v>44</v>
      </c>
    </row>
    <row r="203" spans="1:20">
      <c r="A203" s="11">
        <v>196</v>
      </c>
      <c r="B203" s="11" t="s">
        <v>392</v>
      </c>
      <c r="C203" s="11" t="s">
        <v>384</v>
      </c>
      <c r="D203" s="11" t="s">
        <v>201</v>
      </c>
      <c r="E203" s="11" t="s">
        <v>34</v>
      </c>
      <c r="F203" s="11" t="s">
        <v>35</v>
      </c>
      <c r="G203" s="9" t="s">
        <v>41</v>
      </c>
      <c r="H203" s="13">
        <v>1</v>
      </c>
      <c r="I203" s="13">
        <v>1</v>
      </c>
      <c r="J203" s="16">
        <v>8000.0</v>
      </c>
      <c r="K203" s="16"/>
      <c r="L203" s="18">
        <f>IF(J203&gt;0, K203/J203, 0)</f>
        <v>0</v>
      </c>
      <c r="M203" s="16">
        <v>8000.0</v>
      </c>
      <c r="N203" s="16"/>
      <c r="O203" s="16">
        <f>M203-N203</f>
        <v>8000</v>
      </c>
      <c r="P203" s="11" t="s">
        <v>42</v>
      </c>
      <c r="Q203" s="11" t="s">
        <v>43</v>
      </c>
      <c r="R203" s="11" t="s">
        <v>44</v>
      </c>
      <c r="S203" s="9" t="s">
        <v>2115</v>
      </c>
      <c r="T203" s="9" t="s">
        <v>44</v>
      </c>
    </row>
    <row r="204" spans="1:20">
      <c r="A204" s="10">
        <v>197</v>
      </c>
      <c r="B204" s="10" t="s">
        <v>394</v>
      </c>
      <c r="C204" s="10" t="s">
        <v>384</v>
      </c>
      <c r="D204" s="10" t="s">
        <v>201</v>
      </c>
      <c r="E204" s="10" t="s">
        <v>34</v>
      </c>
      <c r="F204" s="10" t="s">
        <v>35</v>
      </c>
      <c r="G204" s="8" t="s">
        <v>41</v>
      </c>
      <c r="H204" s="12">
        <v>1</v>
      </c>
      <c r="I204" s="12">
        <v>1</v>
      </c>
      <c r="J204" s="15">
        <v>16000.0</v>
      </c>
      <c r="K204" s="15"/>
      <c r="L204" s="17">
        <f>IF(J204&gt;0, K204/J204, 0)</f>
        <v>0</v>
      </c>
      <c r="M204" s="15">
        <v>16000.0</v>
      </c>
      <c r="N204" s="15"/>
      <c r="O204" s="15">
        <f>M204-N204</f>
        <v>16000</v>
      </c>
      <c r="P204" s="10" t="s">
        <v>42</v>
      </c>
      <c r="Q204" s="10" t="s">
        <v>43</v>
      </c>
      <c r="R204" s="10" t="s">
        <v>44</v>
      </c>
      <c r="S204" s="8" t="s">
        <v>2078</v>
      </c>
      <c r="T204" s="8" t="s">
        <v>44</v>
      </c>
    </row>
    <row r="205" spans="1:20">
      <c r="A205" s="11">
        <v>198</v>
      </c>
      <c r="B205" s="11" t="s">
        <v>395</v>
      </c>
      <c r="C205" s="11" t="s">
        <v>384</v>
      </c>
      <c r="D205" s="11" t="s">
        <v>201</v>
      </c>
      <c r="E205" s="11" t="s">
        <v>34</v>
      </c>
      <c r="F205" s="11" t="s">
        <v>35</v>
      </c>
      <c r="G205" s="9" t="s">
        <v>41</v>
      </c>
      <c r="H205" s="13">
        <v>1</v>
      </c>
      <c r="I205" s="13">
        <v>1</v>
      </c>
      <c r="J205" s="16">
        <v>7000.0</v>
      </c>
      <c r="K205" s="16"/>
      <c r="L205" s="18">
        <f>IF(J205&gt;0, K205/J205, 0)</f>
        <v>0</v>
      </c>
      <c r="M205" s="16">
        <v>7000.0</v>
      </c>
      <c r="N205" s="16"/>
      <c r="O205" s="16">
        <f>M205-N205</f>
        <v>7000</v>
      </c>
      <c r="P205" s="11" t="s">
        <v>42</v>
      </c>
      <c r="Q205" s="11" t="s">
        <v>43</v>
      </c>
      <c r="R205" s="11" t="s">
        <v>44</v>
      </c>
      <c r="S205" s="9" t="s">
        <v>2077</v>
      </c>
      <c r="T205" s="9" t="s">
        <v>44</v>
      </c>
    </row>
    <row r="206" spans="1:20">
      <c r="A206" s="10">
        <v>199</v>
      </c>
      <c r="B206" s="10" t="s">
        <v>396</v>
      </c>
      <c r="C206" s="10" t="s">
        <v>384</v>
      </c>
      <c r="D206" s="10" t="s">
        <v>201</v>
      </c>
      <c r="E206" s="10" t="s">
        <v>34</v>
      </c>
      <c r="F206" s="10" t="s">
        <v>35</v>
      </c>
      <c r="G206" s="8" t="s">
        <v>41</v>
      </c>
      <c r="H206" s="12">
        <v>1</v>
      </c>
      <c r="I206" s="12">
        <v>1</v>
      </c>
      <c r="J206" s="15">
        <v>7000.0</v>
      </c>
      <c r="K206" s="15"/>
      <c r="L206" s="17">
        <f>IF(J206&gt;0, K206/J206, 0)</f>
        <v>0</v>
      </c>
      <c r="M206" s="15">
        <v>7000.0</v>
      </c>
      <c r="N206" s="15"/>
      <c r="O206" s="15">
        <f>M206-N206</f>
        <v>7000</v>
      </c>
      <c r="P206" s="10" t="s">
        <v>42</v>
      </c>
      <c r="Q206" s="10" t="s">
        <v>43</v>
      </c>
      <c r="R206" s="10" t="s">
        <v>44</v>
      </c>
      <c r="S206" s="8" t="s">
        <v>2101</v>
      </c>
      <c r="T206" s="8" t="s">
        <v>44</v>
      </c>
    </row>
    <row r="207" spans="1:20">
      <c r="A207" s="11">
        <v>200</v>
      </c>
      <c r="B207" s="11" t="s">
        <v>397</v>
      </c>
      <c r="C207" s="11" t="s">
        <v>384</v>
      </c>
      <c r="D207" s="11" t="s">
        <v>201</v>
      </c>
      <c r="E207" s="11" t="s">
        <v>34</v>
      </c>
      <c r="F207" s="11" t="s">
        <v>35</v>
      </c>
      <c r="G207" s="9" t="s">
        <v>41</v>
      </c>
      <c r="H207" s="13">
        <v>1</v>
      </c>
      <c r="I207" s="13">
        <v>1</v>
      </c>
      <c r="J207" s="16">
        <v>18000.0</v>
      </c>
      <c r="K207" s="16"/>
      <c r="L207" s="18">
        <f>IF(J207&gt;0, K207/J207, 0)</f>
        <v>0</v>
      </c>
      <c r="M207" s="16">
        <v>18000.0</v>
      </c>
      <c r="N207" s="16"/>
      <c r="O207" s="16">
        <f>M207-N207</f>
        <v>18000</v>
      </c>
      <c r="P207" s="11" t="s">
        <v>42</v>
      </c>
      <c r="Q207" s="11" t="s">
        <v>43</v>
      </c>
      <c r="R207" s="11" t="s">
        <v>44</v>
      </c>
      <c r="S207" s="9" t="s">
        <v>2107</v>
      </c>
      <c r="T207" s="9" t="s">
        <v>44</v>
      </c>
    </row>
    <row r="208" spans="1:20">
      <c r="A208" s="10">
        <v>201</v>
      </c>
      <c r="B208" s="10" t="s">
        <v>398</v>
      </c>
      <c r="C208" s="10" t="s">
        <v>384</v>
      </c>
      <c r="D208" s="10" t="s">
        <v>201</v>
      </c>
      <c r="E208" s="10" t="s">
        <v>34</v>
      </c>
      <c r="F208" s="10" t="s">
        <v>35</v>
      </c>
      <c r="G208" s="8" t="s">
        <v>41</v>
      </c>
      <c r="H208" s="12">
        <v>1</v>
      </c>
      <c r="I208" s="12">
        <v>1</v>
      </c>
      <c r="J208" s="15">
        <v>16500.0</v>
      </c>
      <c r="K208" s="15"/>
      <c r="L208" s="17">
        <f>IF(J208&gt;0, K208/J208, 0)</f>
        <v>0</v>
      </c>
      <c r="M208" s="15">
        <v>16500.0</v>
      </c>
      <c r="N208" s="15"/>
      <c r="O208" s="15">
        <f>M208-N208</f>
        <v>16500</v>
      </c>
      <c r="P208" s="10" t="s">
        <v>42</v>
      </c>
      <c r="Q208" s="10" t="s">
        <v>43</v>
      </c>
      <c r="R208" s="10" t="s">
        <v>44</v>
      </c>
      <c r="S208" s="8" t="s">
        <v>2072</v>
      </c>
      <c r="T208" s="8" t="s">
        <v>44</v>
      </c>
    </row>
    <row r="209" spans="1:20">
      <c r="A209" s="11">
        <v>202</v>
      </c>
      <c r="B209" s="11" t="s">
        <v>399</v>
      </c>
      <c r="C209" s="11" t="s">
        <v>384</v>
      </c>
      <c r="D209" s="11" t="s">
        <v>201</v>
      </c>
      <c r="E209" s="11" t="s">
        <v>34</v>
      </c>
      <c r="F209" s="11" t="s">
        <v>35</v>
      </c>
      <c r="G209" s="9" t="s">
        <v>41</v>
      </c>
      <c r="H209" s="13">
        <v>1</v>
      </c>
      <c r="I209" s="13">
        <v>1</v>
      </c>
      <c r="J209" s="16">
        <v>7000.0</v>
      </c>
      <c r="K209" s="16"/>
      <c r="L209" s="18">
        <f>IF(J209&gt;0, K209/J209, 0)</f>
        <v>0</v>
      </c>
      <c r="M209" s="16">
        <v>7000.0</v>
      </c>
      <c r="N209" s="16"/>
      <c r="O209" s="16">
        <f>M209-N209</f>
        <v>7000</v>
      </c>
      <c r="P209" s="11" t="s">
        <v>42</v>
      </c>
      <c r="Q209" s="11" t="s">
        <v>43</v>
      </c>
      <c r="R209" s="11" t="s">
        <v>44</v>
      </c>
      <c r="S209" s="9" t="s">
        <v>2053</v>
      </c>
      <c r="T209" s="9" t="s">
        <v>44</v>
      </c>
    </row>
    <row r="210" spans="1:20">
      <c r="A210" s="10">
        <v>203</v>
      </c>
      <c r="B210" s="10" t="s">
        <v>400</v>
      </c>
      <c r="C210" s="10" t="s">
        <v>401</v>
      </c>
      <c r="D210" s="10" t="s">
        <v>201</v>
      </c>
      <c r="E210" s="10" t="s">
        <v>34</v>
      </c>
      <c r="F210" s="10" t="s">
        <v>35</v>
      </c>
      <c r="G210" s="8" t="s">
        <v>41</v>
      </c>
      <c r="H210" s="12">
        <v>1</v>
      </c>
      <c r="I210" s="12">
        <v>1</v>
      </c>
      <c r="J210" s="15">
        <v>7500.0</v>
      </c>
      <c r="K210" s="15"/>
      <c r="L210" s="17">
        <f>IF(J210&gt;0, K210/J210, 0)</f>
        <v>0</v>
      </c>
      <c r="M210" s="15">
        <v>7500.0</v>
      </c>
      <c r="N210" s="15"/>
      <c r="O210" s="15">
        <f>M210-N210</f>
        <v>7500</v>
      </c>
      <c r="P210" s="10" t="s">
        <v>42</v>
      </c>
      <c r="Q210" s="10" t="s">
        <v>43</v>
      </c>
      <c r="R210" s="10" t="s">
        <v>44</v>
      </c>
      <c r="S210" s="8" t="s">
        <v>2046</v>
      </c>
      <c r="T210" s="8" t="s">
        <v>44</v>
      </c>
    </row>
    <row r="211" spans="1:20">
      <c r="A211" s="11">
        <v>204</v>
      </c>
      <c r="B211" s="11" t="s">
        <v>402</v>
      </c>
      <c r="C211" s="11" t="s">
        <v>401</v>
      </c>
      <c r="D211" s="11" t="s">
        <v>201</v>
      </c>
      <c r="E211" s="11" t="s">
        <v>34</v>
      </c>
      <c r="F211" s="11" t="s">
        <v>35</v>
      </c>
      <c r="G211" s="9" t="s">
        <v>41</v>
      </c>
      <c r="H211" s="13">
        <v>1</v>
      </c>
      <c r="I211" s="13">
        <v>1</v>
      </c>
      <c r="J211" s="16">
        <v>16000.0</v>
      </c>
      <c r="K211" s="16"/>
      <c r="L211" s="18">
        <f>IF(J211&gt;0, K211/J211, 0)</f>
        <v>0</v>
      </c>
      <c r="M211" s="16">
        <v>16000.0</v>
      </c>
      <c r="N211" s="16"/>
      <c r="O211" s="16">
        <f>M211-N211</f>
        <v>16000</v>
      </c>
      <c r="P211" s="11" t="s">
        <v>42</v>
      </c>
      <c r="Q211" s="11" t="s">
        <v>43</v>
      </c>
      <c r="R211" s="11" t="s">
        <v>44</v>
      </c>
      <c r="S211" s="9" t="s">
        <v>2090</v>
      </c>
      <c r="T211" s="9" t="s">
        <v>44</v>
      </c>
    </row>
    <row r="212" spans="1:20">
      <c r="A212" s="10">
        <v>205</v>
      </c>
      <c r="B212" s="10" t="s">
        <v>403</v>
      </c>
      <c r="C212" s="10" t="s">
        <v>401</v>
      </c>
      <c r="D212" s="10" t="s">
        <v>201</v>
      </c>
      <c r="E212" s="10" t="s">
        <v>70</v>
      </c>
      <c r="F212" s="10" t="s">
        <v>35</v>
      </c>
      <c r="G212" s="8" t="s">
        <v>41</v>
      </c>
      <c r="H212" s="12">
        <v>1</v>
      </c>
      <c r="I212" s="12">
        <v>1</v>
      </c>
      <c r="J212" s="15">
        <v>10000.0</v>
      </c>
      <c r="K212" s="15"/>
      <c r="L212" s="17">
        <f>IF(J212&gt;0, K212/J212, 0)</f>
        <v>0</v>
      </c>
      <c r="M212" s="15">
        <v>10000.0</v>
      </c>
      <c r="N212" s="15"/>
      <c r="O212" s="15">
        <f>M212-N212</f>
        <v>10000</v>
      </c>
      <c r="P212" s="10" t="s">
        <v>42</v>
      </c>
      <c r="Q212" s="10" t="s">
        <v>73</v>
      </c>
      <c r="R212" s="10" t="s">
        <v>44</v>
      </c>
      <c r="S212" s="8" t="s">
        <v>2059</v>
      </c>
      <c r="T212" s="8" t="s">
        <v>44</v>
      </c>
    </row>
    <row r="213" spans="1:20">
      <c r="A213" s="11">
        <v>206</v>
      </c>
      <c r="B213" s="11" t="s">
        <v>404</v>
      </c>
      <c r="C213" s="11" t="s">
        <v>401</v>
      </c>
      <c r="D213" s="11" t="s">
        <v>201</v>
      </c>
      <c r="E213" s="11" t="s">
        <v>34</v>
      </c>
      <c r="F213" s="11" t="s">
        <v>35</v>
      </c>
      <c r="G213" s="9" t="s">
        <v>41</v>
      </c>
      <c r="H213" s="13">
        <v>1</v>
      </c>
      <c r="I213" s="13">
        <v>1</v>
      </c>
      <c r="J213" s="16">
        <v>8000.0</v>
      </c>
      <c r="K213" s="16"/>
      <c r="L213" s="18">
        <f>IF(J213&gt;0, K213/J213, 0)</f>
        <v>0</v>
      </c>
      <c r="M213" s="16">
        <v>8000.0</v>
      </c>
      <c r="N213" s="16"/>
      <c r="O213" s="16">
        <f>M213-N213</f>
        <v>8000</v>
      </c>
      <c r="P213" s="11" t="s">
        <v>42</v>
      </c>
      <c r="Q213" s="11" t="s">
        <v>43</v>
      </c>
      <c r="R213" s="11" t="s">
        <v>44</v>
      </c>
      <c r="S213" s="9" t="s">
        <v>2098</v>
      </c>
      <c r="T213" s="9" t="s">
        <v>44</v>
      </c>
    </row>
    <row r="214" spans="1:20">
      <c r="A214" s="10">
        <v>207</v>
      </c>
      <c r="B214" s="10" t="s">
        <v>406</v>
      </c>
      <c r="C214" s="10" t="s">
        <v>401</v>
      </c>
      <c r="D214" s="10" t="s">
        <v>201</v>
      </c>
      <c r="E214" s="10" t="s">
        <v>34</v>
      </c>
      <c r="F214" s="10" t="s">
        <v>35</v>
      </c>
      <c r="G214" s="8" t="s">
        <v>41</v>
      </c>
      <c r="H214" s="12">
        <v>1</v>
      </c>
      <c r="I214" s="12">
        <v>1</v>
      </c>
      <c r="J214" s="15">
        <v>8000.0</v>
      </c>
      <c r="K214" s="15"/>
      <c r="L214" s="17">
        <f>IF(J214&gt;0, K214/J214, 0)</f>
        <v>0</v>
      </c>
      <c r="M214" s="15">
        <v>8000.0</v>
      </c>
      <c r="N214" s="15"/>
      <c r="O214" s="15">
        <f>M214-N214</f>
        <v>8000</v>
      </c>
      <c r="P214" s="10" t="s">
        <v>42</v>
      </c>
      <c r="Q214" s="10" t="s">
        <v>43</v>
      </c>
      <c r="R214" s="10" t="s">
        <v>44</v>
      </c>
      <c r="S214" s="8" t="s">
        <v>2024</v>
      </c>
      <c r="T214" s="8" t="s">
        <v>44</v>
      </c>
    </row>
    <row r="215" spans="1:20">
      <c r="A215" s="11">
        <v>208</v>
      </c>
      <c r="B215" s="11" t="s">
        <v>408</v>
      </c>
      <c r="C215" s="11" t="s">
        <v>401</v>
      </c>
      <c r="D215" s="11" t="s">
        <v>201</v>
      </c>
      <c r="E215" s="11" t="s">
        <v>34</v>
      </c>
      <c r="F215" s="11" t="s">
        <v>35</v>
      </c>
      <c r="G215" s="9" t="s">
        <v>41</v>
      </c>
      <c r="H215" s="13">
        <v>1</v>
      </c>
      <c r="I215" s="13">
        <v>2</v>
      </c>
      <c r="J215" s="16">
        <v>14000.0</v>
      </c>
      <c r="K215" s="16"/>
      <c r="L215" s="18">
        <f>IF(J215&gt;0, K215/J215, 0)</f>
        <v>0</v>
      </c>
      <c r="M215" s="16">
        <v>14000.0</v>
      </c>
      <c r="N215" s="16"/>
      <c r="O215" s="16">
        <f>M215-N215</f>
        <v>14000</v>
      </c>
      <c r="P215" s="11" t="s">
        <v>42</v>
      </c>
      <c r="Q215" s="11" t="s">
        <v>43</v>
      </c>
      <c r="R215" s="11" t="s">
        <v>44</v>
      </c>
      <c r="S215" s="9" t="s">
        <v>2116</v>
      </c>
      <c r="T215" s="9" t="s">
        <v>44</v>
      </c>
    </row>
    <row r="216" spans="1:20">
      <c r="A216" s="10">
        <v>209</v>
      </c>
      <c r="B216" s="10" t="s">
        <v>409</v>
      </c>
      <c r="C216" s="10" t="s">
        <v>401</v>
      </c>
      <c r="D216" s="10" t="s">
        <v>201</v>
      </c>
      <c r="E216" s="10" t="s">
        <v>34</v>
      </c>
      <c r="F216" s="10" t="s">
        <v>35</v>
      </c>
      <c r="G216" s="8" t="s">
        <v>41</v>
      </c>
      <c r="H216" s="12">
        <v>1</v>
      </c>
      <c r="I216" s="12">
        <v>2</v>
      </c>
      <c r="J216" s="15">
        <v>14000.0</v>
      </c>
      <c r="K216" s="15"/>
      <c r="L216" s="17">
        <f>IF(J216&gt;0, K216/J216, 0)</f>
        <v>0</v>
      </c>
      <c r="M216" s="15">
        <v>14000.0</v>
      </c>
      <c r="N216" s="15"/>
      <c r="O216" s="15">
        <f>M216-N216</f>
        <v>14000</v>
      </c>
      <c r="P216" s="10" t="s">
        <v>42</v>
      </c>
      <c r="Q216" s="10" t="s">
        <v>43</v>
      </c>
      <c r="R216" s="10" t="s">
        <v>44</v>
      </c>
      <c r="S216" s="8" t="s">
        <v>2091</v>
      </c>
      <c r="T216" s="8" t="s">
        <v>44</v>
      </c>
    </row>
    <row r="217" spans="1:20">
      <c r="A217" s="11">
        <v>210</v>
      </c>
      <c r="B217" s="11" t="s">
        <v>411</v>
      </c>
      <c r="C217" s="11" t="s">
        <v>401</v>
      </c>
      <c r="D217" s="11" t="s">
        <v>201</v>
      </c>
      <c r="E217" s="11" t="s">
        <v>34</v>
      </c>
      <c r="F217" s="11" t="s">
        <v>35</v>
      </c>
      <c r="G217" s="9" t="s">
        <v>41</v>
      </c>
      <c r="H217" s="13">
        <v>1</v>
      </c>
      <c r="I217" s="13">
        <v>1</v>
      </c>
      <c r="J217" s="16">
        <v>7000.0</v>
      </c>
      <c r="K217" s="16"/>
      <c r="L217" s="18">
        <f>IF(J217&gt;0, K217/J217, 0)</f>
        <v>0</v>
      </c>
      <c r="M217" s="16">
        <v>7000.0</v>
      </c>
      <c r="N217" s="16"/>
      <c r="O217" s="16">
        <f>M217-N217</f>
        <v>7000</v>
      </c>
      <c r="P217" s="11" t="s">
        <v>42</v>
      </c>
      <c r="Q217" s="11" t="s">
        <v>43</v>
      </c>
      <c r="R217" s="11" t="s">
        <v>44</v>
      </c>
      <c r="S217" s="9" t="s">
        <v>2023</v>
      </c>
      <c r="T217" s="9" t="s">
        <v>44</v>
      </c>
    </row>
    <row r="218" spans="1:20">
      <c r="A218" s="10">
        <v>211</v>
      </c>
      <c r="B218" s="10" t="s">
        <v>413</v>
      </c>
      <c r="C218" s="10" t="s">
        <v>401</v>
      </c>
      <c r="D218" s="10" t="s">
        <v>201</v>
      </c>
      <c r="E218" s="10" t="s">
        <v>34</v>
      </c>
      <c r="F218" s="10" t="s">
        <v>35</v>
      </c>
      <c r="G218" s="8" t="s">
        <v>41</v>
      </c>
      <c r="H218" s="12">
        <v>1</v>
      </c>
      <c r="I218" s="12">
        <v>1</v>
      </c>
      <c r="J218" s="15">
        <v>18000.0</v>
      </c>
      <c r="K218" s="15"/>
      <c r="L218" s="17">
        <f>IF(J218&gt;0, K218/J218, 0)</f>
        <v>0</v>
      </c>
      <c r="M218" s="15">
        <v>18000.0</v>
      </c>
      <c r="N218" s="15"/>
      <c r="O218" s="15">
        <f>M218-N218</f>
        <v>18000</v>
      </c>
      <c r="P218" s="10" t="s">
        <v>42</v>
      </c>
      <c r="Q218" s="10" t="s">
        <v>43</v>
      </c>
      <c r="R218" s="10" t="s">
        <v>44</v>
      </c>
      <c r="S218" s="8" t="s">
        <v>2107</v>
      </c>
      <c r="T218" s="8" t="s">
        <v>44</v>
      </c>
    </row>
    <row r="219" spans="1:20">
      <c r="A219" s="11">
        <v>212</v>
      </c>
      <c r="B219" s="11" t="s">
        <v>415</v>
      </c>
      <c r="C219" s="11" t="s">
        <v>401</v>
      </c>
      <c r="D219" s="11" t="s">
        <v>201</v>
      </c>
      <c r="E219" s="11" t="s">
        <v>34</v>
      </c>
      <c r="F219" s="11" t="s">
        <v>35</v>
      </c>
      <c r="G219" s="9" t="s">
        <v>41</v>
      </c>
      <c r="H219" s="13">
        <v>1</v>
      </c>
      <c r="I219" s="13">
        <v>1</v>
      </c>
      <c r="J219" s="16">
        <v>18000.0</v>
      </c>
      <c r="K219" s="16"/>
      <c r="L219" s="18">
        <f>IF(J219&gt;0, K219/J219, 0)</f>
        <v>0</v>
      </c>
      <c r="M219" s="16">
        <v>18000.0</v>
      </c>
      <c r="N219" s="16"/>
      <c r="O219" s="16">
        <f>M219-N219</f>
        <v>18000</v>
      </c>
      <c r="P219" s="11" t="s">
        <v>42</v>
      </c>
      <c r="Q219" s="11" t="s">
        <v>43</v>
      </c>
      <c r="R219" s="11" t="s">
        <v>44</v>
      </c>
      <c r="S219" s="9" t="s">
        <v>2117</v>
      </c>
      <c r="T219" s="9" t="s">
        <v>44</v>
      </c>
    </row>
    <row r="220" spans="1:20">
      <c r="A220" s="10">
        <v>213</v>
      </c>
      <c r="B220" s="10" t="s">
        <v>416</v>
      </c>
      <c r="C220" s="10" t="s">
        <v>401</v>
      </c>
      <c r="D220" s="10" t="s">
        <v>201</v>
      </c>
      <c r="E220" s="10" t="s">
        <v>34</v>
      </c>
      <c r="F220" s="10" t="s">
        <v>35</v>
      </c>
      <c r="G220" s="8" t="s">
        <v>41</v>
      </c>
      <c r="H220" s="12">
        <v>1</v>
      </c>
      <c r="I220" s="12">
        <v>1</v>
      </c>
      <c r="J220" s="15">
        <v>18000.0</v>
      </c>
      <c r="K220" s="15"/>
      <c r="L220" s="17">
        <f>IF(J220&gt;0, K220/J220, 0)</f>
        <v>0</v>
      </c>
      <c r="M220" s="15">
        <v>18000.0</v>
      </c>
      <c r="N220" s="15"/>
      <c r="O220" s="15">
        <f>M220-N220</f>
        <v>18000</v>
      </c>
      <c r="P220" s="10" t="s">
        <v>42</v>
      </c>
      <c r="Q220" s="10" t="s">
        <v>43</v>
      </c>
      <c r="R220" s="10" t="s">
        <v>44</v>
      </c>
      <c r="S220" s="8" t="s">
        <v>2118</v>
      </c>
      <c r="T220" s="8" t="s">
        <v>44</v>
      </c>
    </row>
    <row r="221" spans="1:20">
      <c r="A221" s="11">
        <v>214</v>
      </c>
      <c r="B221" s="11" t="s">
        <v>418</v>
      </c>
      <c r="C221" s="11" t="s">
        <v>401</v>
      </c>
      <c r="D221" s="11" t="s">
        <v>201</v>
      </c>
      <c r="E221" s="11" t="s">
        <v>34</v>
      </c>
      <c r="F221" s="11" t="s">
        <v>35</v>
      </c>
      <c r="G221" s="9" t="s">
        <v>41</v>
      </c>
      <c r="H221" s="13">
        <v>1</v>
      </c>
      <c r="I221" s="13">
        <v>1</v>
      </c>
      <c r="J221" s="16">
        <v>8000.0</v>
      </c>
      <c r="K221" s="16"/>
      <c r="L221" s="18">
        <f>IF(J221&gt;0, K221/J221, 0)</f>
        <v>0</v>
      </c>
      <c r="M221" s="16">
        <v>8000.0</v>
      </c>
      <c r="N221" s="16"/>
      <c r="O221" s="16">
        <f>M221-N221</f>
        <v>8000</v>
      </c>
      <c r="P221" s="11" t="s">
        <v>42</v>
      </c>
      <c r="Q221" s="11" t="s">
        <v>43</v>
      </c>
      <c r="R221" s="11" t="s">
        <v>44</v>
      </c>
      <c r="S221" s="9" t="s">
        <v>2062</v>
      </c>
      <c r="T221" s="9" t="s">
        <v>44</v>
      </c>
    </row>
    <row r="222" spans="1:20">
      <c r="A222" s="10">
        <v>215</v>
      </c>
      <c r="B222" s="10" t="s">
        <v>419</v>
      </c>
      <c r="C222" s="10" t="s">
        <v>401</v>
      </c>
      <c r="D222" s="10" t="s">
        <v>201</v>
      </c>
      <c r="E222" s="10" t="s">
        <v>34</v>
      </c>
      <c r="F222" s="10" t="s">
        <v>35</v>
      </c>
      <c r="G222" s="8" t="s">
        <v>41</v>
      </c>
      <c r="H222" s="12">
        <v>1</v>
      </c>
      <c r="I222" s="12">
        <v>1</v>
      </c>
      <c r="J222" s="15">
        <v>7000.0</v>
      </c>
      <c r="K222" s="15"/>
      <c r="L222" s="17">
        <f>IF(J222&gt;0, K222/J222, 0)</f>
        <v>0</v>
      </c>
      <c r="M222" s="15">
        <v>7000.0</v>
      </c>
      <c r="N222" s="15"/>
      <c r="O222" s="15">
        <f>M222-N222</f>
        <v>7000</v>
      </c>
      <c r="P222" s="10" t="s">
        <v>42</v>
      </c>
      <c r="Q222" s="10" t="s">
        <v>43</v>
      </c>
      <c r="R222" s="10" t="s">
        <v>44</v>
      </c>
      <c r="S222" s="8" t="s">
        <v>2077</v>
      </c>
      <c r="T222" s="8" t="s">
        <v>44</v>
      </c>
    </row>
    <row r="223" spans="1:20">
      <c r="A223" s="11">
        <v>216</v>
      </c>
      <c r="B223" s="11" t="s">
        <v>420</v>
      </c>
      <c r="C223" s="11" t="s">
        <v>401</v>
      </c>
      <c r="D223" s="11" t="s">
        <v>201</v>
      </c>
      <c r="E223" s="11" t="s">
        <v>34</v>
      </c>
      <c r="F223" s="11" t="s">
        <v>35</v>
      </c>
      <c r="G223" s="9" t="s">
        <v>41</v>
      </c>
      <c r="H223" s="13">
        <v>1</v>
      </c>
      <c r="I223" s="13">
        <v>1</v>
      </c>
      <c r="J223" s="16">
        <v>8500.0</v>
      </c>
      <c r="K223" s="16"/>
      <c r="L223" s="18">
        <f>IF(J223&gt;0, K223/J223, 0)</f>
        <v>0</v>
      </c>
      <c r="M223" s="16">
        <v>8500.0</v>
      </c>
      <c r="N223" s="16"/>
      <c r="O223" s="16">
        <f>M223-N223</f>
        <v>8500</v>
      </c>
      <c r="P223" s="11" t="s">
        <v>42</v>
      </c>
      <c r="Q223" s="11" t="s">
        <v>43</v>
      </c>
      <c r="R223" s="11" t="s">
        <v>44</v>
      </c>
      <c r="S223" s="9" t="s">
        <v>2119</v>
      </c>
      <c r="T223" s="9" t="s">
        <v>44</v>
      </c>
    </row>
    <row r="224" spans="1:20">
      <c r="A224" s="10">
        <v>217</v>
      </c>
      <c r="B224" s="10" t="s">
        <v>422</v>
      </c>
      <c r="C224" s="10" t="s">
        <v>401</v>
      </c>
      <c r="D224" s="10" t="s">
        <v>201</v>
      </c>
      <c r="E224" s="10" t="s">
        <v>34</v>
      </c>
      <c r="F224" s="10" t="s">
        <v>35</v>
      </c>
      <c r="G224" s="8" t="s">
        <v>41</v>
      </c>
      <c r="H224" s="12">
        <v>1</v>
      </c>
      <c r="I224" s="12">
        <v>1</v>
      </c>
      <c r="J224" s="15">
        <v>9000.0</v>
      </c>
      <c r="K224" s="15"/>
      <c r="L224" s="17">
        <f>IF(J224&gt;0, K224/J224, 0)</f>
        <v>0</v>
      </c>
      <c r="M224" s="15">
        <v>9000.0</v>
      </c>
      <c r="N224" s="15"/>
      <c r="O224" s="15">
        <f>M224-N224</f>
        <v>9000</v>
      </c>
      <c r="P224" s="10" t="s">
        <v>42</v>
      </c>
      <c r="Q224" s="10" t="s">
        <v>43</v>
      </c>
      <c r="R224" s="10" t="s">
        <v>44</v>
      </c>
      <c r="S224" s="8" t="s">
        <v>2120</v>
      </c>
      <c r="T224" s="8" t="s">
        <v>44</v>
      </c>
    </row>
    <row r="225" spans="1:20">
      <c r="A225" s="11">
        <v>218</v>
      </c>
      <c r="B225" s="11" t="s">
        <v>424</v>
      </c>
      <c r="C225" s="11" t="s">
        <v>401</v>
      </c>
      <c r="D225" s="11" t="s">
        <v>201</v>
      </c>
      <c r="E225" s="11" t="s">
        <v>34</v>
      </c>
      <c r="F225" s="11" t="s">
        <v>35</v>
      </c>
      <c r="G225" s="9" t="s">
        <v>41</v>
      </c>
      <c r="H225" s="13">
        <v>1</v>
      </c>
      <c r="I225" s="13">
        <v>1</v>
      </c>
      <c r="J225" s="16">
        <v>16500.0</v>
      </c>
      <c r="K225" s="16"/>
      <c r="L225" s="18">
        <f>IF(J225&gt;0, K225/J225, 0)</f>
        <v>0</v>
      </c>
      <c r="M225" s="16">
        <v>16500.0</v>
      </c>
      <c r="N225" s="16"/>
      <c r="O225" s="16">
        <f>M225-N225</f>
        <v>16500</v>
      </c>
      <c r="P225" s="11" t="s">
        <v>42</v>
      </c>
      <c r="Q225" s="11" t="s">
        <v>43</v>
      </c>
      <c r="R225" s="11" t="s">
        <v>44</v>
      </c>
      <c r="S225" s="9" t="s">
        <v>2121</v>
      </c>
      <c r="T225" s="9" t="s">
        <v>44</v>
      </c>
    </row>
    <row r="226" spans="1:20">
      <c r="A226" s="10">
        <v>219</v>
      </c>
      <c r="B226" s="10" t="s">
        <v>426</v>
      </c>
      <c r="C226" s="10" t="s">
        <v>401</v>
      </c>
      <c r="D226" s="10" t="s">
        <v>201</v>
      </c>
      <c r="E226" s="10" t="s">
        <v>34</v>
      </c>
      <c r="F226" s="10" t="s">
        <v>35</v>
      </c>
      <c r="G226" s="8" t="s">
        <v>41</v>
      </c>
      <c r="H226" s="12">
        <v>1</v>
      </c>
      <c r="I226" s="12">
        <v>1</v>
      </c>
      <c r="J226" s="15">
        <v>18000.0</v>
      </c>
      <c r="K226" s="15"/>
      <c r="L226" s="17">
        <f>IF(J226&gt;0, K226/J226, 0)</f>
        <v>0</v>
      </c>
      <c r="M226" s="15">
        <v>18000.0</v>
      </c>
      <c r="N226" s="15"/>
      <c r="O226" s="15">
        <f>M226-N226</f>
        <v>18000</v>
      </c>
      <c r="P226" s="10" t="s">
        <v>42</v>
      </c>
      <c r="Q226" s="10" t="s">
        <v>43</v>
      </c>
      <c r="R226" s="10" t="s">
        <v>44</v>
      </c>
      <c r="S226" s="8" t="s">
        <v>2122</v>
      </c>
      <c r="T226" s="8" t="s">
        <v>44</v>
      </c>
    </row>
    <row r="227" spans="1:20">
      <c r="A227" s="11">
        <v>220</v>
      </c>
      <c r="B227" s="11" t="s">
        <v>428</v>
      </c>
      <c r="C227" s="11" t="s">
        <v>429</v>
      </c>
      <c r="D227" s="11" t="s">
        <v>201</v>
      </c>
      <c r="E227" s="11" t="s">
        <v>34</v>
      </c>
      <c r="F227" s="11" t="s">
        <v>35</v>
      </c>
      <c r="G227" s="9" t="s">
        <v>41</v>
      </c>
      <c r="H227" s="13">
        <v>1</v>
      </c>
      <c r="I227" s="13">
        <v>1</v>
      </c>
      <c r="J227" s="16">
        <v>7000.0</v>
      </c>
      <c r="K227" s="16"/>
      <c r="L227" s="18">
        <f>IF(J227&gt;0, K227/J227, 0)</f>
        <v>0</v>
      </c>
      <c r="M227" s="16">
        <v>7000.0</v>
      </c>
      <c r="N227" s="16"/>
      <c r="O227" s="16">
        <f>M227-N227</f>
        <v>7000</v>
      </c>
      <c r="P227" s="11" t="s">
        <v>42</v>
      </c>
      <c r="Q227" s="11" t="s">
        <v>43</v>
      </c>
      <c r="R227" s="11" t="s">
        <v>44</v>
      </c>
      <c r="S227" s="9" t="s">
        <v>2077</v>
      </c>
      <c r="T227" s="9" t="s">
        <v>44</v>
      </c>
    </row>
    <row r="228" spans="1:20">
      <c r="A228" s="10">
        <v>221</v>
      </c>
      <c r="B228" s="10" t="s">
        <v>430</v>
      </c>
      <c r="C228" s="10" t="s">
        <v>431</v>
      </c>
      <c r="D228" s="10" t="s">
        <v>201</v>
      </c>
      <c r="E228" s="10" t="s">
        <v>70</v>
      </c>
      <c r="F228" s="10" t="s">
        <v>35</v>
      </c>
      <c r="G228" s="8" t="s">
        <v>41</v>
      </c>
      <c r="H228" s="12">
        <v>1</v>
      </c>
      <c r="I228" s="12">
        <v>1</v>
      </c>
      <c r="J228" s="15">
        <v>10000.0</v>
      </c>
      <c r="K228" s="15"/>
      <c r="L228" s="17">
        <f>IF(J228&gt;0, K228/J228, 0)</f>
        <v>0</v>
      </c>
      <c r="M228" s="15">
        <v>10000.0</v>
      </c>
      <c r="N228" s="15"/>
      <c r="O228" s="15">
        <f>M228-N228</f>
        <v>10000</v>
      </c>
      <c r="P228" s="10" t="s">
        <v>42</v>
      </c>
      <c r="Q228" s="10" t="s">
        <v>73</v>
      </c>
      <c r="R228" s="10" t="s">
        <v>44</v>
      </c>
      <c r="S228" s="8" t="s">
        <v>2071</v>
      </c>
      <c r="T228" s="8" t="s">
        <v>44</v>
      </c>
    </row>
    <row r="229" spans="1:20">
      <c r="A229" s="11">
        <v>222</v>
      </c>
      <c r="B229" s="11" t="s">
        <v>432</v>
      </c>
      <c r="C229" s="11" t="s">
        <v>431</v>
      </c>
      <c r="D229" s="11" t="s">
        <v>201</v>
      </c>
      <c r="E229" s="11" t="s">
        <v>70</v>
      </c>
      <c r="F229" s="11" t="s">
        <v>35</v>
      </c>
      <c r="G229" s="9" t="s">
        <v>41</v>
      </c>
      <c r="H229" s="13">
        <v>1</v>
      </c>
      <c r="I229" s="13">
        <v>1</v>
      </c>
      <c r="J229" s="16">
        <v>5000.0</v>
      </c>
      <c r="K229" s="16"/>
      <c r="L229" s="18">
        <f>IF(J229&gt;0, K229/J229, 0)</f>
        <v>0</v>
      </c>
      <c r="M229" s="16">
        <v>5000.0</v>
      </c>
      <c r="N229" s="16"/>
      <c r="O229" s="16">
        <f>M229-N229</f>
        <v>5000</v>
      </c>
      <c r="P229" s="11" t="s">
        <v>42</v>
      </c>
      <c r="Q229" s="11" t="s">
        <v>73</v>
      </c>
      <c r="R229" s="11" t="s">
        <v>44</v>
      </c>
      <c r="S229" s="9" t="s">
        <v>2110</v>
      </c>
      <c r="T229" s="9" t="s">
        <v>44</v>
      </c>
    </row>
    <row r="230" spans="1:20">
      <c r="A230" s="10">
        <v>223</v>
      </c>
      <c r="B230" s="10" t="s">
        <v>433</v>
      </c>
      <c r="C230" s="10" t="s">
        <v>431</v>
      </c>
      <c r="D230" s="10" t="s">
        <v>201</v>
      </c>
      <c r="E230" s="10" t="s">
        <v>70</v>
      </c>
      <c r="F230" s="10" t="s">
        <v>35</v>
      </c>
      <c r="G230" s="8" t="s">
        <v>41</v>
      </c>
      <c r="H230" s="12">
        <v>1</v>
      </c>
      <c r="I230" s="12">
        <v>1</v>
      </c>
      <c r="J230" s="15">
        <v>15000.0</v>
      </c>
      <c r="K230" s="15"/>
      <c r="L230" s="17">
        <f>IF(J230&gt;0, K230/J230, 0)</f>
        <v>0</v>
      </c>
      <c r="M230" s="15">
        <v>15000.0</v>
      </c>
      <c r="N230" s="15"/>
      <c r="O230" s="15">
        <f>M230-N230</f>
        <v>15000</v>
      </c>
      <c r="P230" s="10" t="s">
        <v>42</v>
      </c>
      <c r="Q230" s="10" t="s">
        <v>73</v>
      </c>
      <c r="R230" s="10" t="s">
        <v>44</v>
      </c>
      <c r="S230" s="8" t="s">
        <v>2123</v>
      </c>
      <c r="T230" s="8" t="s">
        <v>44</v>
      </c>
    </row>
    <row r="231" spans="1:20">
      <c r="A231" s="11">
        <v>224</v>
      </c>
      <c r="B231" s="11" t="s">
        <v>436</v>
      </c>
      <c r="C231" s="11" t="s">
        <v>431</v>
      </c>
      <c r="D231" s="11" t="s">
        <v>201</v>
      </c>
      <c r="E231" s="11" t="s">
        <v>70</v>
      </c>
      <c r="F231" s="11" t="s">
        <v>35</v>
      </c>
      <c r="G231" s="9" t="s">
        <v>41</v>
      </c>
      <c r="H231" s="13">
        <v>1</v>
      </c>
      <c r="I231" s="13">
        <v>2</v>
      </c>
      <c r="J231" s="16">
        <v>20000.0</v>
      </c>
      <c r="K231" s="16"/>
      <c r="L231" s="18">
        <f>IF(J231&gt;0, K231/J231, 0)</f>
        <v>0</v>
      </c>
      <c r="M231" s="16">
        <v>20000.0</v>
      </c>
      <c r="N231" s="16"/>
      <c r="O231" s="16">
        <f>M231-N231</f>
        <v>20000</v>
      </c>
      <c r="P231" s="11" t="s">
        <v>42</v>
      </c>
      <c r="Q231" s="11" t="s">
        <v>73</v>
      </c>
      <c r="R231" s="11" t="s">
        <v>44</v>
      </c>
      <c r="S231" s="9" t="s">
        <v>2124</v>
      </c>
      <c r="T231" s="9" t="s">
        <v>44</v>
      </c>
    </row>
    <row r="232" spans="1:20">
      <c r="A232" s="10">
        <v>225</v>
      </c>
      <c r="B232" s="10" t="s">
        <v>438</v>
      </c>
      <c r="C232" s="10" t="s">
        <v>431</v>
      </c>
      <c r="D232" s="10" t="s">
        <v>201</v>
      </c>
      <c r="E232" s="10" t="s">
        <v>70</v>
      </c>
      <c r="F232" s="10" t="s">
        <v>35</v>
      </c>
      <c r="G232" s="8" t="s">
        <v>41</v>
      </c>
      <c r="H232" s="12">
        <v>1</v>
      </c>
      <c r="I232" s="12">
        <v>1</v>
      </c>
      <c r="J232" s="15">
        <v>10000.0</v>
      </c>
      <c r="K232" s="15"/>
      <c r="L232" s="17">
        <f>IF(J232&gt;0, K232/J232, 0)</f>
        <v>0</v>
      </c>
      <c r="M232" s="15">
        <v>10000.0</v>
      </c>
      <c r="N232" s="15"/>
      <c r="O232" s="15">
        <f>M232-N232</f>
        <v>10000</v>
      </c>
      <c r="P232" s="10" t="s">
        <v>42</v>
      </c>
      <c r="Q232" s="10" t="s">
        <v>73</v>
      </c>
      <c r="R232" s="10" t="s">
        <v>44</v>
      </c>
      <c r="S232" s="8" t="s">
        <v>2059</v>
      </c>
      <c r="T232" s="8" t="s">
        <v>44</v>
      </c>
    </row>
    <row r="233" spans="1:20">
      <c r="A233" s="11">
        <v>226</v>
      </c>
      <c r="B233" s="11" t="s">
        <v>439</v>
      </c>
      <c r="C233" s="11" t="s">
        <v>431</v>
      </c>
      <c r="D233" s="11" t="s">
        <v>201</v>
      </c>
      <c r="E233" s="11" t="s">
        <v>70</v>
      </c>
      <c r="F233" s="11" t="s">
        <v>35</v>
      </c>
      <c r="G233" s="9" t="s">
        <v>41</v>
      </c>
      <c r="H233" s="13">
        <v>1</v>
      </c>
      <c r="I233" s="13">
        <v>2</v>
      </c>
      <c r="J233" s="16">
        <v>20000.0</v>
      </c>
      <c r="K233" s="16"/>
      <c r="L233" s="18">
        <f>IF(J233&gt;0, K233/J233, 0)</f>
        <v>0</v>
      </c>
      <c r="M233" s="16">
        <v>20000.0</v>
      </c>
      <c r="N233" s="16"/>
      <c r="O233" s="16">
        <f>M233-N233</f>
        <v>20000</v>
      </c>
      <c r="P233" s="11" t="s">
        <v>42</v>
      </c>
      <c r="Q233" s="11" t="s">
        <v>73</v>
      </c>
      <c r="R233" s="11" t="s">
        <v>44</v>
      </c>
      <c r="S233" s="9" t="s">
        <v>2099</v>
      </c>
      <c r="T233" s="9" t="s">
        <v>44</v>
      </c>
    </row>
    <row r="234" spans="1:20">
      <c r="A234" s="10">
        <v>227</v>
      </c>
      <c r="B234" s="10" t="s">
        <v>440</v>
      </c>
      <c r="C234" s="10" t="s">
        <v>431</v>
      </c>
      <c r="D234" s="10" t="s">
        <v>201</v>
      </c>
      <c r="E234" s="10" t="s">
        <v>70</v>
      </c>
      <c r="F234" s="10" t="s">
        <v>35</v>
      </c>
      <c r="G234" s="8" t="s">
        <v>41</v>
      </c>
      <c r="H234" s="12">
        <v>1</v>
      </c>
      <c r="I234" s="12">
        <v>1</v>
      </c>
      <c r="J234" s="15">
        <v>5000.0</v>
      </c>
      <c r="K234" s="15"/>
      <c r="L234" s="17">
        <f>IF(J234&gt;0, K234/J234, 0)</f>
        <v>0</v>
      </c>
      <c r="M234" s="15">
        <v>5000.0</v>
      </c>
      <c r="N234" s="15"/>
      <c r="O234" s="15">
        <f>M234-N234</f>
        <v>5000</v>
      </c>
      <c r="P234" s="10" t="s">
        <v>42</v>
      </c>
      <c r="Q234" s="10" t="s">
        <v>73</v>
      </c>
      <c r="R234" s="10" t="s">
        <v>44</v>
      </c>
      <c r="S234" s="8" t="s">
        <v>2110</v>
      </c>
      <c r="T234" s="8" t="s">
        <v>44</v>
      </c>
    </row>
    <row r="235" spans="1:20">
      <c r="A235" s="11">
        <v>228</v>
      </c>
      <c r="B235" s="11" t="s">
        <v>441</v>
      </c>
      <c r="C235" s="11" t="s">
        <v>431</v>
      </c>
      <c r="D235" s="11" t="s">
        <v>201</v>
      </c>
      <c r="E235" s="11" t="s">
        <v>34</v>
      </c>
      <c r="F235" s="11" t="s">
        <v>35</v>
      </c>
      <c r="G235" s="9" t="s">
        <v>41</v>
      </c>
      <c r="H235" s="13">
        <v>1</v>
      </c>
      <c r="I235" s="13">
        <v>1</v>
      </c>
      <c r="J235" s="16">
        <v>5000.0</v>
      </c>
      <c r="K235" s="16"/>
      <c r="L235" s="18">
        <f>IF(J235&gt;0, K235/J235, 0)</f>
        <v>0</v>
      </c>
      <c r="M235" s="16">
        <v>5000.0</v>
      </c>
      <c r="N235" s="16"/>
      <c r="O235" s="16">
        <f>M235-N235</f>
        <v>5000</v>
      </c>
      <c r="P235" s="11" t="s">
        <v>42</v>
      </c>
      <c r="Q235" s="11" t="s">
        <v>43</v>
      </c>
      <c r="R235" s="11" t="s">
        <v>44</v>
      </c>
      <c r="S235" s="9" t="s">
        <v>2110</v>
      </c>
      <c r="T235" s="9" t="s">
        <v>44</v>
      </c>
    </row>
    <row r="236" spans="1:20">
      <c r="A236" s="10">
        <v>229</v>
      </c>
      <c r="B236" s="10" t="s">
        <v>442</v>
      </c>
      <c r="C236" s="10" t="s">
        <v>443</v>
      </c>
      <c r="D236" s="10" t="s">
        <v>201</v>
      </c>
      <c r="E236" s="10" t="s">
        <v>34</v>
      </c>
      <c r="F236" s="10" t="s">
        <v>35</v>
      </c>
      <c r="G236" s="8" t="s">
        <v>41</v>
      </c>
      <c r="H236" s="12">
        <v>1</v>
      </c>
      <c r="I236" s="12">
        <v>1</v>
      </c>
      <c r="J236" s="15">
        <v>18000.0</v>
      </c>
      <c r="K236" s="15"/>
      <c r="L236" s="17">
        <f>IF(J236&gt;0, K236/J236, 0)</f>
        <v>0</v>
      </c>
      <c r="M236" s="15">
        <v>18000.0</v>
      </c>
      <c r="N236" s="15"/>
      <c r="O236" s="15">
        <f>M236-N236</f>
        <v>18000</v>
      </c>
      <c r="P236" s="10" t="s">
        <v>42</v>
      </c>
      <c r="Q236" s="10" t="s">
        <v>43</v>
      </c>
      <c r="R236" s="10" t="s">
        <v>44</v>
      </c>
      <c r="S236" s="8" t="s">
        <v>2021</v>
      </c>
      <c r="T236" s="8" t="s">
        <v>44</v>
      </c>
    </row>
    <row r="237" spans="1:20">
      <c r="A237" s="11">
        <v>230</v>
      </c>
      <c r="B237" s="11" t="s">
        <v>445</v>
      </c>
      <c r="C237" s="11" t="s">
        <v>443</v>
      </c>
      <c r="D237" s="11" t="s">
        <v>201</v>
      </c>
      <c r="E237" s="11" t="s">
        <v>34</v>
      </c>
      <c r="F237" s="11" t="s">
        <v>35</v>
      </c>
      <c r="G237" s="9" t="s">
        <v>41</v>
      </c>
      <c r="H237" s="13">
        <v>1</v>
      </c>
      <c r="I237" s="13">
        <v>1</v>
      </c>
      <c r="J237" s="16">
        <v>18000.0</v>
      </c>
      <c r="K237" s="16"/>
      <c r="L237" s="18">
        <f>IF(J237&gt;0, K237/J237, 0)</f>
        <v>0</v>
      </c>
      <c r="M237" s="16">
        <v>18000.0</v>
      </c>
      <c r="N237" s="16"/>
      <c r="O237" s="16">
        <f>M237-N237</f>
        <v>18000</v>
      </c>
      <c r="P237" s="11" t="s">
        <v>42</v>
      </c>
      <c r="Q237" s="11" t="s">
        <v>43</v>
      </c>
      <c r="R237" s="11" t="s">
        <v>44</v>
      </c>
      <c r="S237" s="9" t="s">
        <v>2118</v>
      </c>
      <c r="T237" s="9" t="s">
        <v>44</v>
      </c>
    </row>
    <row r="238" spans="1:20">
      <c r="A238" s="10">
        <v>231</v>
      </c>
      <c r="B238" s="10" t="s">
        <v>446</v>
      </c>
      <c r="C238" s="10" t="s">
        <v>443</v>
      </c>
      <c r="D238" s="10" t="s">
        <v>201</v>
      </c>
      <c r="E238" s="10" t="s">
        <v>34</v>
      </c>
      <c r="F238" s="10" t="s">
        <v>144</v>
      </c>
      <c r="G238" s="8" t="s">
        <v>41</v>
      </c>
      <c r="H238" s="12">
        <v>1</v>
      </c>
      <c r="I238" s="12">
        <v>1</v>
      </c>
      <c r="J238" s="15">
        <v>15000.0</v>
      </c>
      <c r="K238" s="15"/>
      <c r="L238" s="17">
        <f>IF(J238&gt;0, K238/J238, 0)</f>
        <v>0</v>
      </c>
      <c r="M238" s="15">
        <v>15000.0</v>
      </c>
      <c r="N238" s="15"/>
      <c r="O238" s="15">
        <f>M238-N238</f>
        <v>15000</v>
      </c>
      <c r="P238" s="10" t="s">
        <v>42</v>
      </c>
      <c r="Q238" s="10" t="s">
        <v>43</v>
      </c>
      <c r="R238" s="10" t="s">
        <v>44</v>
      </c>
      <c r="S238" s="8" t="s">
        <v>2125</v>
      </c>
      <c r="T238" s="8" t="s">
        <v>449</v>
      </c>
    </row>
    <row r="239" spans="1:20">
      <c r="A239" s="11">
        <v>232</v>
      </c>
      <c r="B239" s="11" t="s">
        <v>450</v>
      </c>
      <c r="C239" s="11" t="s">
        <v>443</v>
      </c>
      <c r="D239" s="11" t="s">
        <v>201</v>
      </c>
      <c r="E239" s="11" t="s">
        <v>34</v>
      </c>
      <c r="F239" s="11" t="s">
        <v>35</v>
      </c>
      <c r="G239" s="9" t="s">
        <v>41</v>
      </c>
      <c r="H239" s="13">
        <v>1</v>
      </c>
      <c r="I239" s="13">
        <v>1</v>
      </c>
      <c r="J239" s="16">
        <v>18000.0</v>
      </c>
      <c r="K239" s="16"/>
      <c r="L239" s="18">
        <f>IF(J239&gt;0, K239/J239, 0)</f>
        <v>0</v>
      </c>
      <c r="M239" s="16">
        <v>18000.0</v>
      </c>
      <c r="N239" s="16"/>
      <c r="O239" s="16">
        <f>M239-N239</f>
        <v>18000</v>
      </c>
      <c r="P239" s="11" t="s">
        <v>42</v>
      </c>
      <c r="Q239" s="11" t="s">
        <v>43</v>
      </c>
      <c r="R239" s="11" t="s">
        <v>44</v>
      </c>
      <c r="S239" s="9" t="s">
        <v>2090</v>
      </c>
      <c r="T239" s="9" t="s">
        <v>44</v>
      </c>
    </row>
    <row r="240" spans="1:20">
      <c r="A240" s="10">
        <v>233</v>
      </c>
      <c r="B240" s="10" t="s">
        <v>451</v>
      </c>
      <c r="C240" s="10" t="s">
        <v>443</v>
      </c>
      <c r="D240" s="10" t="s">
        <v>201</v>
      </c>
      <c r="E240" s="10" t="s">
        <v>34</v>
      </c>
      <c r="F240" s="10" t="s">
        <v>35</v>
      </c>
      <c r="G240" s="8" t="s">
        <v>41</v>
      </c>
      <c r="H240" s="12">
        <v>1</v>
      </c>
      <c r="I240" s="12">
        <v>1</v>
      </c>
      <c r="J240" s="15">
        <v>8000.0</v>
      </c>
      <c r="K240" s="15"/>
      <c r="L240" s="17">
        <f>IF(J240&gt;0, K240/J240, 0)</f>
        <v>0</v>
      </c>
      <c r="M240" s="15">
        <v>8000.0</v>
      </c>
      <c r="N240" s="15"/>
      <c r="O240" s="15">
        <f>M240-N240</f>
        <v>8000</v>
      </c>
      <c r="P240" s="10" t="s">
        <v>42</v>
      </c>
      <c r="Q240" s="10" t="s">
        <v>43</v>
      </c>
      <c r="R240" s="10" t="s">
        <v>44</v>
      </c>
      <c r="S240" s="8" t="s">
        <v>2106</v>
      </c>
      <c r="T240" s="8" t="s">
        <v>44</v>
      </c>
    </row>
    <row r="241" spans="1:20">
      <c r="A241" s="11">
        <v>234</v>
      </c>
      <c r="B241" s="11" t="s">
        <v>452</v>
      </c>
      <c r="C241" s="11" t="s">
        <v>443</v>
      </c>
      <c r="D241" s="11" t="s">
        <v>201</v>
      </c>
      <c r="E241" s="11" t="s">
        <v>34</v>
      </c>
      <c r="F241" s="11" t="s">
        <v>35</v>
      </c>
      <c r="G241" s="9" t="s">
        <v>41</v>
      </c>
      <c r="H241" s="13">
        <v>1</v>
      </c>
      <c r="I241" s="13">
        <v>1</v>
      </c>
      <c r="J241" s="16">
        <v>7000.0</v>
      </c>
      <c r="K241" s="16"/>
      <c r="L241" s="18">
        <f>IF(J241&gt;0, K241/J241, 0)</f>
        <v>0</v>
      </c>
      <c r="M241" s="16">
        <v>7000.0</v>
      </c>
      <c r="N241" s="16"/>
      <c r="O241" s="16">
        <f>M241-N241</f>
        <v>7000</v>
      </c>
      <c r="P241" s="11" t="s">
        <v>42</v>
      </c>
      <c r="Q241" s="11" t="s">
        <v>43</v>
      </c>
      <c r="R241" s="11" t="s">
        <v>44</v>
      </c>
      <c r="S241" s="9" t="s">
        <v>2088</v>
      </c>
      <c r="T241" s="9" t="s">
        <v>44</v>
      </c>
    </row>
    <row r="242" spans="1:20">
      <c r="A242" s="10">
        <v>235</v>
      </c>
      <c r="B242" s="10" t="s">
        <v>453</v>
      </c>
      <c r="C242" s="10" t="s">
        <v>443</v>
      </c>
      <c r="D242" s="10" t="s">
        <v>201</v>
      </c>
      <c r="E242" s="10" t="s">
        <v>34</v>
      </c>
      <c r="F242" s="10" t="s">
        <v>35</v>
      </c>
      <c r="G242" s="8" t="s">
        <v>41</v>
      </c>
      <c r="H242" s="12">
        <v>1</v>
      </c>
      <c r="I242" s="12">
        <v>1</v>
      </c>
      <c r="J242" s="15">
        <v>7000.0</v>
      </c>
      <c r="K242" s="15"/>
      <c r="L242" s="17">
        <f>IF(J242&gt;0, K242/J242, 0)</f>
        <v>0</v>
      </c>
      <c r="M242" s="15">
        <v>7000.0</v>
      </c>
      <c r="N242" s="15"/>
      <c r="O242" s="15">
        <f>M242-N242</f>
        <v>7000</v>
      </c>
      <c r="P242" s="10" t="s">
        <v>42</v>
      </c>
      <c r="Q242" s="10" t="s">
        <v>43</v>
      </c>
      <c r="R242" s="10" t="s">
        <v>44</v>
      </c>
      <c r="S242" s="8" t="s">
        <v>2101</v>
      </c>
      <c r="T242" s="8" t="s">
        <v>44</v>
      </c>
    </row>
    <row r="243" spans="1:20">
      <c r="A243" s="11">
        <v>236</v>
      </c>
      <c r="B243" s="11" t="s">
        <v>454</v>
      </c>
      <c r="C243" s="11" t="s">
        <v>443</v>
      </c>
      <c r="D243" s="11" t="s">
        <v>201</v>
      </c>
      <c r="E243" s="11" t="s">
        <v>34</v>
      </c>
      <c r="F243" s="11" t="s">
        <v>35</v>
      </c>
      <c r="G243" s="9" t="s">
        <v>41</v>
      </c>
      <c r="H243" s="13">
        <v>1</v>
      </c>
      <c r="I243" s="13">
        <v>1</v>
      </c>
      <c r="J243" s="16">
        <v>7000.0</v>
      </c>
      <c r="K243" s="16"/>
      <c r="L243" s="18">
        <f>IF(J243&gt;0, K243/J243, 0)</f>
        <v>0</v>
      </c>
      <c r="M243" s="16">
        <v>7000.0</v>
      </c>
      <c r="N243" s="16"/>
      <c r="O243" s="16">
        <f>M243-N243</f>
        <v>7000</v>
      </c>
      <c r="P243" s="11" t="s">
        <v>42</v>
      </c>
      <c r="Q243" s="11" t="s">
        <v>43</v>
      </c>
      <c r="R243" s="11" t="s">
        <v>44</v>
      </c>
      <c r="S243" s="9" t="s">
        <v>2077</v>
      </c>
      <c r="T243" s="9" t="s">
        <v>44</v>
      </c>
    </row>
    <row r="244" spans="1:20">
      <c r="A244" s="10">
        <v>237</v>
      </c>
      <c r="B244" s="10" t="s">
        <v>455</v>
      </c>
      <c r="C244" s="10" t="s">
        <v>443</v>
      </c>
      <c r="D244" s="10" t="s">
        <v>201</v>
      </c>
      <c r="E244" s="10" t="s">
        <v>34</v>
      </c>
      <c r="F244" s="10" t="s">
        <v>35</v>
      </c>
      <c r="G244" s="8" t="s">
        <v>41</v>
      </c>
      <c r="H244" s="12">
        <v>1</v>
      </c>
      <c r="I244" s="12">
        <v>1</v>
      </c>
      <c r="J244" s="15">
        <v>18000.0</v>
      </c>
      <c r="K244" s="15"/>
      <c r="L244" s="17">
        <f>IF(J244&gt;0, K244/J244, 0)</f>
        <v>0</v>
      </c>
      <c r="M244" s="15">
        <v>18000.0</v>
      </c>
      <c r="N244" s="15"/>
      <c r="O244" s="15">
        <f>M244-N244</f>
        <v>18000</v>
      </c>
      <c r="P244" s="10" t="s">
        <v>42</v>
      </c>
      <c r="Q244" s="10" t="s">
        <v>43</v>
      </c>
      <c r="R244" s="10" t="s">
        <v>44</v>
      </c>
      <c r="S244" s="8" t="s">
        <v>2040</v>
      </c>
      <c r="T244" s="8" t="s">
        <v>44</v>
      </c>
    </row>
    <row r="245" spans="1:20">
      <c r="A245" s="11">
        <v>238</v>
      </c>
      <c r="B245" s="11" t="s">
        <v>456</v>
      </c>
      <c r="C245" s="11" t="s">
        <v>443</v>
      </c>
      <c r="D245" s="11" t="s">
        <v>201</v>
      </c>
      <c r="E245" s="11" t="s">
        <v>34</v>
      </c>
      <c r="F245" s="11" t="s">
        <v>35</v>
      </c>
      <c r="G245" s="9" t="s">
        <v>41</v>
      </c>
      <c r="H245" s="13">
        <v>1</v>
      </c>
      <c r="I245" s="13">
        <v>1</v>
      </c>
      <c r="J245" s="16">
        <v>7000.0</v>
      </c>
      <c r="K245" s="16"/>
      <c r="L245" s="18">
        <f>IF(J245&gt;0, K245/J245, 0)</f>
        <v>0</v>
      </c>
      <c r="M245" s="16">
        <v>7000.0</v>
      </c>
      <c r="N245" s="16"/>
      <c r="O245" s="16">
        <f>M245-N245</f>
        <v>7000</v>
      </c>
      <c r="P245" s="11" t="s">
        <v>42</v>
      </c>
      <c r="Q245" s="11" t="s">
        <v>43</v>
      </c>
      <c r="R245" s="11" t="s">
        <v>44</v>
      </c>
      <c r="S245" s="9" t="s">
        <v>2055</v>
      </c>
      <c r="T245" s="9" t="s">
        <v>44</v>
      </c>
    </row>
    <row r="246" spans="1:20">
      <c r="A246" s="10">
        <v>239</v>
      </c>
      <c r="B246" s="10" t="s">
        <v>457</v>
      </c>
      <c r="C246" s="10" t="s">
        <v>443</v>
      </c>
      <c r="D246" s="10" t="s">
        <v>201</v>
      </c>
      <c r="E246" s="10" t="s">
        <v>34</v>
      </c>
      <c r="F246" s="10" t="s">
        <v>35</v>
      </c>
      <c r="G246" s="8" t="s">
        <v>41</v>
      </c>
      <c r="H246" s="12">
        <v>1</v>
      </c>
      <c r="I246" s="12">
        <v>1</v>
      </c>
      <c r="J246" s="15">
        <v>18000.0</v>
      </c>
      <c r="K246" s="15"/>
      <c r="L246" s="17">
        <f>IF(J246&gt;0, K246/J246, 0)</f>
        <v>0</v>
      </c>
      <c r="M246" s="15">
        <v>18000.0</v>
      </c>
      <c r="N246" s="15"/>
      <c r="O246" s="15">
        <f>M246-N246</f>
        <v>18000</v>
      </c>
      <c r="P246" s="10" t="s">
        <v>42</v>
      </c>
      <c r="Q246" s="10" t="s">
        <v>43</v>
      </c>
      <c r="R246" s="10" t="s">
        <v>44</v>
      </c>
      <c r="S246" s="8" t="s">
        <v>2072</v>
      </c>
      <c r="T246" s="8" t="s">
        <v>44</v>
      </c>
    </row>
    <row r="247" spans="1:20">
      <c r="A247" s="11">
        <v>240</v>
      </c>
      <c r="B247" s="11" t="s">
        <v>458</v>
      </c>
      <c r="C247" s="11" t="s">
        <v>443</v>
      </c>
      <c r="D247" s="11" t="s">
        <v>201</v>
      </c>
      <c r="E247" s="11" t="s">
        <v>34</v>
      </c>
      <c r="F247" s="11" t="s">
        <v>35</v>
      </c>
      <c r="G247" s="9" t="s">
        <v>41</v>
      </c>
      <c r="H247" s="13">
        <v>1</v>
      </c>
      <c r="I247" s="13">
        <v>1</v>
      </c>
      <c r="J247" s="16">
        <v>7000.0</v>
      </c>
      <c r="K247" s="16"/>
      <c r="L247" s="18">
        <f>IF(J247&gt;0, K247/J247, 0)</f>
        <v>0</v>
      </c>
      <c r="M247" s="16">
        <v>7000.0</v>
      </c>
      <c r="N247" s="16"/>
      <c r="O247" s="16">
        <f>M247-N247</f>
        <v>7000</v>
      </c>
      <c r="P247" s="11" t="s">
        <v>42</v>
      </c>
      <c r="Q247" s="11" t="s">
        <v>43</v>
      </c>
      <c r="R247" s="11" t="s">
        <v>44</v>
      </c>
      <c r="S247" s="9" t="s">
        <v>2053</v>
      </c>
      <c r="T247" s="9" t="s">
        <v>44</v>
      </c>
    </row>
    <row r="248" spans="1:20">
      <c r="A248" s="10">
        <v>241</v>
      </c>
      <c r="B248" s="10" t="s">
        <v>459</v>
      </c>
      <c r="C248" s="10" t="s">
        <v>460</v>
      </c>
      <c r="D248" s="10" t="s">
        <v>201</v>
      </c>
      <c r="E248" s="10" t="s">
        <v>70</v>
      </c>
      <c r="F248" s="10" t="s">
        <v>35</v>
      </c>
      <c r="G248" s="8" t="s">
        <v>41</v>
      </c>
      <c r="H248" s="12">
        <v>1</v>
      </c>
      <c r="I248" s="12">
        <v>1</v>
      </c>
      <c r="J248" s="15">
        <v>10000.0</v>
      </c>
      <c r="K248" s="15"/>
      <c r="L248" s="17">
        <f>IF(J248&gt;0, K248/J248, 0)</f>
        <v>0</v>
      </c>
      <c r="M248" s="15">
        <v>10000.0</v>
      </c>
      <c r="N248" s="15"/>
      <c r="O248" s="15">
        <f>M248-N248</f>
        <v>10000</v>
      </c>
      <c r="P248" s="10" t="s">
        <v>42</v>
      </c>
      <c r="Q248" s="10" t="s">
        <v>73</v>
      </c>
      <c r="R248" s="10" t="s">
        <v>44</v>
      </c>
      <c r="S248" s="8" t="s">
        <v>2058</v>
      </c>
      <c r="T248" s="8" t="s">
        <v>44</v>
      </c>
    </row>
    <row r="249" spans="1:20">
      <c r="A249" s="11">
        <v>242</v>
      </c>
      <c r="B249" s="11" t="s">
        <v>461</v>
      </c>
      <c r="C249" s="11" t="s">
        <v>460</v>
      </c>
      <c r="D249" s="11" t="s">
        <v>201</v>
      </c>
      <c r="E249" s="11" t="s">
        <v>70</v>
      </c>
      <c r="F249" s="11" t="s">
        <v>35</v>
      </c>
      <c r="G249" s="9" t="s">
        <v>41</v>
      </c>
      <c r="H249" s="13">
        <v>1</v>
      </c>
      <c r="I249" s="13">
        <v>2</v>
      </c>
      <c r="J249" s="16">
        <v>24000.0</v>
      </c>
      <c r="K249" s="16"/>
      <c r="L249" s="18">
        <f>IF(J249&gt;0, K249/J249, 0)</f>
        <v>0</v>
      </c>
      <c r="M249" s="16">
        <v>24000.0</v>
      </c>
      <c r="N249" s="16"/>
      <c r="O249" s="16">
        <f>M249-N249</f>
        <v>24000</v>
      </c>
      <c r="P249" s="11" t="s">
        <v>42</v>
      </c>
      <c r="Q249" s="11" t="s">
        <v>73</v>
      </c>
      <c r="R249" s="11" t="s">
        <v>44</v>
      </c>
      <c r="S249" s="9" t="s">
        <v>2124</v>
      </c>
      <c r="T249" s="9" t="s">
        <v>44</v>
      </c>
    </row>
    <row r="250" spans="1:20">
      <c r="A250" s="10">
        <v>243</v>
      </c>
      <c r="B250" s="10" t="s">
        <v>462</v>
      </c>
      <c r="C250" s="10" t="s">
        <v>460</v>
      </c>
      <c r="D250" s="10" t="s">
        <v>201</v>
      </c>
      <c r="E250" s="10" t="s">
        <v>34</v>
      </c>
      <c r="F250" s="10" t="s">
        <v>144</v>
      </c>
      <c r="G250" s="8" t="s">
        <v>41</v>
      </c>
      <c r="H250" s="12">
        <v>1</v>
      </c>
      <c r="I250" s="12">
        <v>1</v>
      </c>
      <c r="J250" s="15">
        <v>10000.0</v>
      </c>
      <c r="K250" s="15"/>
      <c r="L250" s="17">
        <f>IF(J250&gt;0, K250/J250, 0)</f>
        <v>0</v>
      </c>
      <c r="M250" s="15">
        <v>10000.0</v>
      </c>
      <c r="N250" s="15"/>
      <c r="O250" s="15">
        <f>M250-N250</f>
        <v>10000</v>
      </c>
      <c r="P250" s="10" t="s">
        <v>42</v>
      </c>
      <c r="Q250" s="10" t="s">
        <v>43</v>
      </c>
      <c r="R250" s="10" t="s">
        <v>44</v>
      </c>
      <c r="S250" s="8" t="s">
        <v>2084</v>
      </c>
      <c r="T250" s="8" t="s">
        <v>146</v>
      </c>
    </row>
    <row r="251" spans="1:20">
      <c r="A251" s="11">
        <v>244</v>
      </c>
      <c r="B251" s="11" t="s">
        <v>463</v>
      </c>
      <c r="C251" s="11" t="s">
        <v>460</v>
      </c>
      <c r="D251" s="11" t="s">
        <v>201</v>
      </c>
      <c r="E251" s="11" t="s">
        <v>70</v>
      </c>
      <c r="F251" s="11" t="s">
        <v>35</v>
      </c>
      <c r="G251" s="9" t="s">
        <v>41</v>
      </c>
      <c r="H251" s="13">
        <v>1</v>
      </c>
      <c r="I251" s="13">
        <v>1</v>
      </c>
      <c r="J251" s="16">
        <v>9000.0</v>
      </c>
      <c r="K251" s="16"/>
      <c r="L251" s="18">
        <f>IF(J251&gt;0, K251/J251, 0)</f>
        <v>0</v>
      </c>
      <c r="M251" s="16">
        <v>9000.0</v>
      </c>
      <c r="N251" s="16"/>
      <c r="O251" s="16">
        <f>M251-N251</f>
        <v>9000</v>
      </c>
      <c r="P251" s="11" t="s">
        <v>42</v>
      </c>
      <c r="Q251" s="11" t="s">
        <v>73</v>
      </c>
      <c r="R251" s="11" t="s">
        <v>44</v>
      </c>
      <c r="S251" s="9" t="s">
        <v>2051</v>
      </c>
      <c r="T251" s="9" t="s">
        <v>44</v>
      </c>
    </row>
    <row r="252" spans="1:20">
      <c r="A252" s="10">
        <v>245</v>
      </c>
      <c r="B252" s="10" t="s">
        <v>464</v>
      </c>
      <c r="C252" s="10" t="s">
        <v>460</v>
      </c>
      <c r="D252" s="10" t="s">
        <v>201</v>
      </c>
      <c r="E252" s="10" t="s">
        <v>34</v>
      </c>
      <c r="F252" s="10" t="s">
        <v>35</v>
      </c>
      <c r="G252" s="8" t="s">
        <v>41</v>
      </c>
      <c r="H252" s="12">
        <v>1</v>
      </c>
      <c r="I252" s="12">
        <v>1</v>
      </c>
      <c r="J252" s="15">
        <v>16000.0</v>
      </c>
      <c r="K252" s="15"/>
      <c r="L252" s="17">
        <f>IF(J252&gt;0, K252/J252, 0)</f>
        <v>0</v>
      </c>
      <c r="M252" s="15">
        <v>16000.0</v>
      </c>
      <c r="N252" s="15"/>
      <c r="O252" s="15">
        <f>M252-N252</f>
        <v>16000</v>
      </c>
      <c r="P252" s="10" t="s">
        <v>42</v>
      </c>
      <c r="Q252" s="10" t="s">
        <v>43</v>
      </c>
      <c r="R252" s="10" t="s">
        <v>44</v>
      </c>
      <c r="S252" s="8" t="s">
        <v>2073</v>
      </c>
      <c r="T252" s="8" t="s">
        <v>44</v>
      </c>
    </row>
    <row r="253" spans="1:20">
      <c r="A253" s="11">
        <v>246</v>
      </c>
      <c r="B253" s="11" t="s">
        <v>465</v>
      </c>
      <c r="C253" s="11" t="s">
        <v>460</v>
      </c>
      <c r="D253" s="11" t="s">
        <v>201</v>
      </c>
      <c r="E253" s="11" t="s">
        <v>34</v>
      </c>
      <c r="F253" s="11" t="s">
        <v>35</v>
      </c>
      <c r="G253" s="9" t="s">
        <v>41</v>
      </c>
      <c r="H253" s="13">
        <v>1</v>
      </c>
      <c r="I253" s="13">
        <v>1</v>
      </c>
      <c r="J253" s="16">
        <v>7000.0</v>
      </c>
      <c r="K253" s="16"/>
      <c r="L253" s="18">
        <f>IF(J253&gt;0, K253/J253, 0)</f>
        <v>0</v>
      </c>
      <c r="M253" s="16">
        <v>7000.0</v>
      </c>
      <c r="N253" s="16"/>
      <c r="O253" s="16">
        <f>M253-N253</f>
        <v>7000</v>
      </c>
      <c r="P253" s="11" t="s">
        <v>42</v>
      </c>
      <c r="Q253" s="11" t="s">
        <v>43</v>
      </c>
      <c r="R253" s="11" t="s">
        <v>44</v>
      </c>
      <c r="S253" s="9" t="s">
        <v>2101</v>
      </c>
      <c r="T253" s="9" t="s">
        <v>44</v>
      </c>
    </row>
    <row r="254" spans="1:20">
      <c r="A254" s="10">
        <v>247</v>
      </c>
      <c r="B254" s="10" t="s">
        <v>466</v>
      </c>
      <c r="C254" s="10" t="s">
        <v>460</v>
      </c>
      <c r="D254" s="10" t="s">
        <v>201</v>
      </c>
      <c r="E254" s="10" t="s">
        <v>70</v>
      </c>
      <c r="F254" s="10" t="s">
        <v>35</v>
      </c>
      <c r="G254" s="8" t="s">
        <v>41</v>
      </c>
      <c r="H254" s="12">
        <v>1</v>
      </c>
      <c r="I254" s="12">
        <v>1</v>
      </c>
      <c r="J254" s="15">
        <v>9000.0</v>
      </c>
      <c r="K254" s="15"/>
      <c r="L254" s="17">
        <f>IF(J254&gt;0, K254/J254, 0)</f>
        <v>0</v>
      </c>
      <c r="M254" s="15">
        <v>9000.0</v>
      </c>
      <c r="N254" s="15"/>
      <c r="O254" s="15">
        <f>M254-N254</f>
        <v>9000</v>
      </c>
      <c r="P254" s="10" t="s">
        <v>42</v>
      </c>
      <c r="Q254" s="10" t="s">
        <v>73</v>
      </c>
      <c r="R254" s="10" t="s">
        <v>44</v>
      </c>
      <c r="S254" s="8" t="s">
        <v>2126</v>
      </c>
      <c r="T254" s="8" t="s">
        <v>44</v>
      </c>
    </row>
    <row r="255" spans="1:20">
      <c r="A255" s="11">
        <v>248</v>
      </c>
      <c r="B255" s="11" t="s">
        <v>468</v>
      </c>
      <c r="C255" s="11" t="s">
        <v>460</v>
      </c>
      <c r="D255" s="11" t="s">
        <v>201</v>
      </c>
      <c r="E255" s="11" t="s">
        <v>34</v>
      </c>
      <c r="F255" s="11" t="s">
        <v>35</v>
      </c>
      <c r="G255" s="9" t="s">
        <v>41</v>
      </c>
      <c r="H255" s="13">
        <v>1</v>
      </c>
      <c r="I255" s="13">
        <v>1</v>
      </c>
      <c r="J255" s="16">
        <v>16000.0</v>
      </c>
      <c r="K255" s="16"/>
      <c r="L255" s="18">
        <f>IF(J255&gt;0, K255/J255, 0)</f>
        <v>0</v>
      </c>
      <c r="M255" s="16">
        <v>16000.0</v>
      </c>
      <c r="N255" s="16"/>
      <c r="O255" s="16">
        <f>M255-N255</f>
        <v>16000</v>
      </c>
      <c r="P255" s="11" t="s">
        <v>42</v>
      </c>
      <c r="Q255" s="11" t="s">
        <v>43</v>
      </c>
      <c r="R255" s="11" t="s">
        <v>44</v>
      </c>
      <c r="S255" s="9" t="s">
        <v>2032</v>
      </c>
      <c r="T255" s="9" t="s">
        <v>44</v>
      </c>
    </row>
    <row r="256" spans="1:20">
      <c r="A256" s="10">
        <v>249</v>
      </c>
      <c r="B256" s="10" t="s">
        <v>469</v>
      </c>
      <c r="C256" s="10" t="s">
        <v>460</v>
      </c>
      <c r="D256" s="10" t="s">
        <v>201</v>
      </c>
      <c r="E256" s="10" t="s">
        <v>34</v>
      </c>
      <c r="F256" s="10" t="s">
        <v>35</v>
      </c>
      <c r="G256" s="8" t="s">
        <v>41</v>
      </c>
      <c r="H256" s="12">
        <v>1</v>
      </c>
      <c r="I256" s="12">
        <v>1</v>
      </c>
      <c r="J256" s="15">
        <v>9000.0</v>
      </c>
      <c r="K256" s="15"/>
      <c r="L256" s="17">
        <f>IF(J256&gt;0, K256/J256, 0)</f>
        <v>0</v>
      </c>
      <c r="M256" s="15">
        <v>9000.0</v>
      </c>
      <c r="N256" s="15"/>
      <c r="O256" s="15">
        <f>M256-N256</f>
        <v>9000</v>
      </c>
      <c r="P256" s="10" t="s">
        <v>42</v>
      </c>
      <c r="Q256" s="10" t="s">
        <v>43</v>
      </c>
      <c r="R256" s="10" t="s">
        <v>44</v>
      </c>
      <c r="S256" s="8" t="s">
        <v>2083</v>
      </c>
      <c r="T256" s="8" t="s">
        <v>44</v>
      </c>
    </row>
    <row r="257" spans="1:20">
      <c r="A257" s="11">
        <v>250</v>
      </c>
      <c r="B257" s="11" t="s">
        <v>470</v>
      </c>
      <c r="C257" s="11" t="s">
        <v>460</v>
      </c>
      <c r="D257" s="11" t="s">
        <v>201</v>
      </c>
      <c r="E257" s="11" t="s">
        <v>34</v>
      </c>
      <c r="F257" s="11" t="s">
        <v>35</v>
      </c>
      <c r="G257" s="9" t="s">
        <v>41</v>
      </c>
      <c r="H257" s="13">
        <v>1</v>
      </c>
      <c r="I257" s="13">
        <v>1</v>
      </c>
      <c r="J257" s="16">
        <v>5000.0</v>
      </c>
      <c r="K257" s="16"/>
      <c r="L257" s="18">
        <f>IF(J257&gt;0, K257/J257, 0)</f>
        <v>0</v>
      </c>
      <c r="M257" s="16">
        <v>5000.0</v>
      </c>
      <c r="N257" s="16"/>
      <c r="O257" s="16">
        <f>M257-N257</f>
        <v>5000</v>
      </c>
      <c r="P257" s="11" t="s">
        <v>42</v>
      </c>
      <c r="Q257" s="11" t="s">
        <v>43</v>
      </c>
      <c r="R257" s="11" t="s">
        <v>44</v>
      </c>
      <c r="S257" s="9" t="s">
        <v>2110</v>
      </c>
      <c r="T257" s="9" t="s">
        <v>44</v>
      </c>
    </row>
    <row r="258" spans="1:20">
      <c r="A258" s="10">
        <v>251</v>
      </c>
      <c r="B258" s="10" t="s">
        <v>472</v>
      </c>
      <c r="C258" s="10" t="s">
        <v>460</v>
      </c>
      <c r="D258" s="10" t="s">
        <v>201</v>
      </c>
      <c r="E258" s="10" t="s">
        <v>34</v>
      </c>
      <c r="F258" s="10" t="s">
        <v>35</v>
      </c>
      <c r="G258" s="8" t="s">
        <v>41</v>
      </c>
      <c r="H258" s="12">
        <v>1</v>
      </c>
      <c r="I258" s="12">
        <v>1</v>
      </c>
      <c r="J258" s="15">
        <v>8000.0</v>
      </c>
      <c r="K258" s="15"/>
      <c r="L258" s="17">
        <f>IF(J258&gt;0, K258/J258, 0)</f>
        <v>0</v>
      </c>
      <c r="M258" s="15">
        <v>8000.0</v>
      </c>
      <c r="N258" s="15"/>
      <c r="O258" s="15">
        <f>M258-N258</f>
        <v>8000</v>
      </c>
      <c r="P258" s="10" t="s">
        <v>42</v>
      </c>
      <c r="Q258" s="10" t="s">
        <v>43</v>
      </c>
      <c r="R258" s="10" t="s">
        <v>44</v>
      </c>
      <c r="S258" s="8" t="s">
        <v>2037</v>
      </c>
      <c r="T258" s="8" t="s">
        <v>44</v>
      </c>
    </row>
    <row r="259" spans="1:20">
      <c r="A259" s="11">
        <v>252</v>
      </c>
      <c r="B259" s="11" t="s">
        <v>473</v>
      </c>
      <c r="C259" s="11" t="s">
        <v>460</v>
      </c>
      <c r="D259" s="11" t="s">
        <v>201</v>
      </c>
      <c r="E259" s="11" t="s">
        <v>34</v>
      </c>
      <c r="F259" s="11" t="s">
        <v>35</v>
      </c>
      <c r="G259" s="9" t="s">
        <v>41</v>
      </c>
      <c r="H259" s="13">
        <v>1</v>
      </c>
      <c r="I259" s="13">
        <v>1</v>
      </c>
      <c r="J259" s="16">
        <v>7000.0</v>
      </c>
      <c r="K259" s="16"/>
      <c r="L259" s="18">
        <f>IF(J259&gt;0, K259/J259, 0)</f>
        <v>0</v>
      </c>
      <c r="M259" s="16">
        <v>7000.0</v>
      </c>
      <c r="N259" s="16"/>
      <c r="O259" s="16">
        <f>M259-N259</f>
        <v>7000</v>
      </c>
      <c r="P259" s="11" t="s">
        <v>42</v>
      </c>
      <c r="Q259" s="11" t="s">
        <v>43</v>
      </c>
      <c r="R259" s="11" t="s">
        <v>44</v>
      </c>
      <c r="S259" s="9" t="s">
        <v>2038</v>
      </c>
      <c r="T259" s="9" t="s">
        <v>44</v>
      </c>
    </row>
    <row r="260" spans="1:20">
      <c r="A260" s="10">
        <v>253</v>
      </c>
      <c r="B260" s="10" t="s">
        <v>474</v>
      </c>
      <c r="C260" s="10" t="s">
        <v>475</v>
      </c>
      <c r="D260" s="10" t="s">
        <v>201</v>
      </c>
      <c r="E260" s="10" t="s">
        <v>34</v>
      </c>
      <c r="F260" s="10" t="s">
        <v>35</v>
      </c>
      <c r="G260" s="8" t="s">
        <v>41</v>
      </c>
      <c r="H260" s="12">
        <v>1</v>
      </c>
      <c r="I260" s="12">
        <v>2</v>
      </c>
      <c r="J260" s="15">
        <v>10000.0</v>
      </c>
      <c r="K260" s="15"/>
      <c r="L260" s="17">
        <f>IF(J260&gt;0, K260/J260, 0)</f>
        <v>0</v>
      </c>
      <c r="M260" s="15">
        <v>10000.0</v>
      </c>
      <c r="N260" s="15"/>
      <c r="O260" s="15">
        <f>M260-N260</f>
        <v>10000</v>
      </c>
      <c r="P260" s="10" t="s">
        <v>42</v>
      </c>
      <c r="Q260" s="10" t="s">
        <v>43</v>
      </c>
      <c r="R260" s="10" t="s">
        <v>44</v>
      </c>
      <c r="S260" s="8" t="s">
        <v>2127</v>
      </c>
      <c r="T260" s="8" t="s">
        <v>44</v>
      </c>
    </row>
    <row r="261" spans="1:20">
      <c r="A261" s="11">
        <v>254</v>
      </c>
      <c r="B261" s="11" t="s">
        <v>477</v>
      </c>
      <c r="C261" s="11" t="s">
        <v>475</v>
      </c>
      <c r="D261" s="11" t="s">
        <v>201</v>
      </c>
      <c r="E261" s="11" t="s">
        <v>34</v>
      </c>
      <c r="F261" s="11" t="s">
        <v>35</v>
      </c>
      <c r="G261" s="9" t="s">
        <v>41</v>
      </c>
      <c r="H261" s="13">
        <v>1</v>
      </c>
      <c r="I261" s="13">
        <v>1</v>
      </c>
      <c r="J261" s="16">
        <v>18000.0</v>
      </c>
      <c r="K261" s="16"/>
      <c r="L261" s="18">
        <f>IF(J261&gt;0, K261/J261, 0)</f>
        <v>0</v>
      </c>
      <c r="M261" s="16">
        <v>18000.0</v>
      </c>
      <c r="N261" s="16"/>
      <c r="O261" s="16">
        <f>M261-N261</f>
        <v>18000</v>
      </c>
      <c r="P261" s="11" t="s">
        <v>42</v>
      </c>
      <c r="Q261" s="11" t="s">
        <v>43</v>
      </c>
      <c r="R261" s="11" t="s">
        <v>44</v>
      </c>
      <c r="S261" s="9" t="s">
        <v>2049</v>
      </c>
      <c r="T261" s="9" t="s">
        <v>44</v>
      </c>
    </row>
    <row r="262" spans="1:20">
      <c r="A262" s="10">
        <v>255</v>
      </c>
      <c r="B262" s="10" t="s">
        <v>478</v>
      </c>
      <c r="C262" s="10" t="s">
        <v>475</v>
      </c>
      <c r="D262" s="10" t="s">
        <v>201</v>
      </c>
      <c r="E262" s="10" t="s">
        <v>34</v>
      </c>
      <c r="F262" s="10" t="s">
        <v>35</v>
      </c>
      <c r="G262" s="8" t="s">
        <v>41</v>
      </c>
      <c r="H262" s="12">
        <v>1</v>
      </c>
      <c r="I262" s="12">
        <v>1</v>
      </c>
      <c r="J262" s="15">
        <v>18000.0</v>
      </c>
      <c r="K262" s="15"/>
      <c r="L262" s="17">
        <f>IF(J262&gt;0, K262/J262, 0)</f>
        <v>0</v>
      </c>
      <c r="M262" s="15">
        <v>18000.0</v>
      </c>
      <c r="N262" s="15"/>
      <c r="O262" s="15">
        <f>M262-N262</f>
        <v>18000</v>
      </c>
      <c r="P262" s="10" t="s">
        <v>42</v>
      </c>
      <c r="Q262" s="10" t="s">
        <v>43</v>
      </c>
      <c r="R262" s="10" t="s">
        <v>44</v>
      </c>
      <c r="S262" s="8" t="s">
        <v>2128</v>
      </c>
      <c r="T262" s="8" t="s">
        <v>44</v>
      </c>
    </row>
    <row r="263" spans="1:20">
      <c r="A263" s="11">
        <v>256</v>
      </c>
      <c r="B263" s="11" t="s">
        <v>480</v>
      </c>
      <c r="C263" s="11" t="s">
        <v>475</v>
      </c>
      <c r="D263" s="11" t="s">
        <v>201</v>
      </c>
      <c r="E263" s="11" t="s">
        <v>34</v>
      </c>
      <c r="F263" s="11" t="s">
        <v>35</v>
      </c>
      <c r="G263" s="9" t="s">
        <v>41</v>
      </c>
      <c r="H263" s="13">
        <v>1</v>
      </c>
      <c r="I263" s="13">
        <v>1</v>
      </c>
      <c r="J263" s="16">
        <v>8000.0</v>
      </c>
      <c r="K263" s="16"/>
      <c r="L263" s="18">
        <f>IF(J263&gt;0, K263/J263, 0)</f>
        <v>0</v>
      </c>
      <c r="M263" s="16">
        <v>8000.0</v>
      </c>
      <c r="N263" s="16"/>
      <c r="O263" s="16">
        <f>M263-N263</f>
        <v>8000</v>
      </c>
      <c r="P263" s="11" t="s">
        <v>42</v>
      </c>
      <c r="Q263" s="11" t="s">
        <v>43</v>
      </c>
      <c r="R263" s="11" t="s">
        <v>44</v>
      </c>
      <c r="S263" s="9" t="s">
        <v>2106</v>
      </c>
      <c r="T263" s="9" t="s">
        <v>44</v>
      </c>
    </row>
    <row r="264" spans="1:20">
      <c r="A264" s="10">
        <v>257</v>
      </c>
      <c r="B264" s="10" t="s">
        <v>481</v>
      </c>
      <c r="C264" s="10" t="s">
        <v>475</v>
      </c>
      <c r="D264" s="10" t="s">
        <v>201</v>
      </c>
      <c r="E264" s="10" t="s">
        <v>34</v>
      </c>
      <c r="F264" s="10" t="s">
        <v>35</v>
      </c>
      <c r="G264" s="8" t="s">
        <v>41</v>
      </c>
      <c r="H264" s="12">
        <v>1</v>
      </c>
      <c r="I264" s="12">
        <v>1</v>
      </c>
      <c r="J264" s="15">
        <v>8000.0</v>
      </c>
      <c r="K264" s="15"/>
      <c r="L264" s="17">
        <f>IF(J264&gt;0, K264/J264, 0)</f>
        <v>0</v>
      </c>
      <c r="M264" s="15">
        <v>8000.0</v>
      </c>
      <c r="N264" s="15"/>
      <c r="O264" s="15">
        <f>M264-N264</f>
        <v>8000</v>
      </c>
      <c r="P264" s="10" t="s">
        <v>42</v>
      </c>
      <c r="Q264" s="10" t="s">
        <v>43</v>
      </c>
      <c r="R264" s="10" t="s">
        <v>44</v>
      </c>
      <c r="S264" s="8" t="s">
        <v>2037</v>
      </c>
      <c r="T264" s="8" t="s">
        <v>44</v>
      </c>
    </row>
    <row r="265" spans="1:20">
      <c r="A265" s="11">
        <v>258</v>
      </c>
      <c r="B265" s="11" t="s">
        <v>482</v>
      </c>
      <c r="C265" s="11" t="s">
        <v>475</v>
      </c>
      <c r="D265" s="11" t="s">
        <v>201</v>
      </c>
      <c r="E265" s="11" t="s">
        <v>34</v>
      </c>
      <c r="F265" s="11" t="s">
        <v>35</v>
      </c>
      <c r="G265" s="9" t="s">
        <v>41</v>
      </c>
      <c r="H265" s="13">
        <v>1</v>
      </c>
      <c r="I265" s="13">
        <v>1</v>
      </c>
      <c r="J265" s="16">
        <v>18000.0</v>
      </c>
      <c r="K265" s="16"/>
      <c r="L265" s="18">
        <f>IF(J265&gt;0, K265/J265, 0)</f>
        <v>0</v>
      </c>
      <c r="M265" s="16">
        <v>18000.0</v>
      </c>
      <c r="N265" s="16"/>
      <c r="O265" s="16">
        <f>M265-N265</f>
        <v>18000</v>
      </c>
      <c r="P265" s="11" t="s">
        <v>42</v>
      </c>
      <c r="Q265" s="11" t="s">
        <v>43</v>
      </c>
      <c r="R265" s="11" t="s">
        <v>44</v>
      </c>
      <c r="S265" s="9" t="s">
        <v>2065</v>
      </c>
      <c r="T265" s="9" t="s">
        <v>44</v>
      </c>
    </row>
    <row r="266" spans="1:20">
      <c r="A266" s="10">
        <v>259</v>
      </c>
      <c r="B266" s="10" t="s">
        <v>483</v>
      </c>
      <c r="C266" s="10" t="s">
        <v>475</v>
      </c>
      <c r="D266" s="10" t="s">
        <v>201</v>
      </c>
      <c r="E266" s="10" t="s">
        <v>70</v>
      </c>
      <c r="F266" s="10" t="s">
        <v>35</v>
      </c>
      <c r="G266" s="8" t="s">
        <v>41</v>
      </c>
      <c r="H266" s="12">
        <v>1</v>
      </c>
      <c r="I266" s="12">
        <v>1</v>
      </c>
      <c r="J266" s="15">
        <v>18000.0</v>
      </c>
      <c r="K266" s="15"/>
      <c r="L266" s="17">
        <f>IF(J266&gt;0, K266/J266, 0)</f>
        <v>0</v>
      </c>
      <c r="M266" s="15">
        <v>18000.0</v>
      </c>
      <c r="N266" s="15"/>
      <c r="O266" s="15">
        <f>M266-N266</f>
        <v>18000</v>
      </c>
      <c r="P266" s="10" t="s">
        <v>42</v>
      </c>
      <c r="Q266" s="10" t="s">
        <v>73</v>
      </c>
      <c r="R266" s="10" t="s">
        <v>44</v>
      </c>
      <c r="S266" s="8" t="s">
        <v>2026</v>
      </c>
      <c r="T266" s="8" t="s">
        <v>44</v>
      </c>
    </row>
    <row r="267" spans="1:20">
      <c r="A267" s="11">
        <v>260</v>
      </c>
      <c r="B267" s="11" t="s">
        <v>484</v>
      </c>
      <c r="C267" s="11" t="s">
        <v>475</v>
      </c>
      <c r="D267" s="11" t="s">
        <v>201</v>
      </c>
      <c r="E267" s="11" t="s">
        <v>70</v>
      </c>
      <c r="F267" s="11" t="s">
        <v>35</v>
      </c>
      <c r="G267" s="9" t="s">
        <v>41</v>
      </c>
      <c r="H267" s="13">
        <v>1</v>
      </c>
      <c r="I267" s="13">
        <v>1</v>
      </c>
      <c r="J267" s="16">
        <v>11000.0</v>
      </c>
      <c r="K267" s="16"/>
      <c r="L267" s="18">
        <f>IF(J267&gt;0, K267/J267, 0)</f>
        <v>0</v>
      </c>
      <c r="M267" s="16">
        <v>11000.0</v>
      </c>
      <c r="N267" s="16"/>
      <c r="O267" s="16">
        <f>M267-N267</f>
        <v>11000</v>
      </c>
      <c r="P267" s="11" t="s">
        <v>42</v>
      </c>
      <c r="Q267" s="11" t="s">
        <v>73</v>
      </c>
      <c r="R267" s="11" t="s">
        <v>44</v>
      </c>
      <c r="S267" s="9" t="s">
        <v>2027</v>
      </c>
      <c r="T267" s="9" t="s">
        <v>44</v>
      </c>
    </row>
    <row r="268" spans="1:20">
      <c r="A268" s="10">
        <v>261</v>
      </c>
      <c r="B268" s="10" t="s">
        <v>485</v>
      </c>
      <c r="C268" s="10" t="s">
        <v>475</v>
      </c>
      <c r="D268" s="10" t="s">
        <v>201</v>
      </c>
      <c r="E268" s="10" t="s">
        <v>70</v>
      </c>
      <c r="F268" s="10" t="s">
        <v>35</v>
      </c>
      <c r="G268" s="8" t="s">
        <v>41</v>
      </c>
      <c r="H268" s="12">
        <v>1</v>
      </c>
      <c r="I268" s="12">
        <v>1</v>
      </c>
      <c r="J268" s="15">
        <v>11000.0</v>
      </c>
      <c r="K268" s="15"/>
      <c r="L268" s="17">
        <f>IF(J268&gt;0, K268/J268, 0)</f>
        <v>0</v>
      </c>
      <c r="M268" s="15">
        <v>11000.0</v>
      </c>
      <c r="N268" s="15"/>
      <c r="O268" s="15">
        <f>M268-N268</f>
        <v>11000</v>
      </c>
      <c r="P268" s="10" t="s">
        <v>42</v>
      </c>
      <c r="Q268" s="10" t="s">
        <v>73</v>
      </c>
      <c r="R268" s="10" t="s">
        <v>44</v>
      </c>
      <c r="S268" s="8" t="s">
        <v>2129</v>
      </c>
      <c r="T268" s="8" t="s">
        <v>44</v>
      </c>
    </row>
    <row r="269" spans="1:20">
      <c r="A269" s="11">
        <v>262</v>
      </c>
      <c r="B269" s="11" t="s">
        <v>486</v>
      </c>
      <c r="C269" s="11" t="s">
        <v>475</v>
      </c>
      <c r="D269" s="11" t="s">
        <v>201</v>
      </c>
      <c r="E269" s="11" t="s">
        <v>34</v>
      </c>
      <c r="F269" s="11" t="s">
        <v>35</v>
      </c>
      <c r="G269" s="9" t="s">
        <v>41</v>
      </c>
      <c r="H269" s="13">
        <v>1</v>
      </c>
      <c r="I269" s="13">
        <v>1</v>
      </c>
      <c r="J269" s="16">
        <v>8500.0</v>
      </c>
      <c r="K269" s="16"/>
      <c r="L269" s="18">
        <f>IF(J269&gt;0, K269/J269, 0)</f>
        <v>0</v>
      </c>
      <c r="M269" s="16">
        <v>8500.0</v>
      </c>
      <c r="N269" s="16"/>
      <c r="O269" s="16">
        <f>M269-N269</f>
        <v>8500</v>
      </c>
      <c r="P269" s="11" t="s">
        <v>42</v>
      </c>
      <c r="Q269" s="11" t="s">
        <v>43</v>
      </c>
      <c r="R269" s="11" t="s">
        <v>44</v>
      </c>
      <c r="S269" s="9" t="s">
        <v>2045</v>
      </c>
      <c r="T269" s="9" t="s">
        <v>44</v>
      </c>
    </row>
    <row r="270" spans="1:20">
      <c r="A270" s="10">
        <v>263</v>
      </c>
      <c r="B270" s="10" t="s">
        <v>487</v>
      </c>
      <c r="C270" s="10" t="s">
        <v>475</v>
      </c>
      <c r="D270" s="10" t="s">
        <v>201</v>
      </c>
      <c r="E270" s="10" t="s">
        <v>34</v>
      </c>
      <c r="F270" s="10" t="s">
        <v>35</v>
      </c>
      <c r="G270" s="8" t="s">
        <v>41</v>
      </c>
      <c r="H270" s="12">
        <v>1</v>
      </c>
      <c r="I270" s="12">
        <v>2</v>
      </c>
      <c r="J270" s="15">
        <v>16000.0</v>
      </c>
      <c r="K270" s="15"/>
      <c r="L270" s="17">
        <f>IF(J270&gt;0, K270/J270, 0)</f>
        <v>0</v>
      </c>
      <c r="M270" s="15">
        <v>16000.0</v>
      </c>
      <c r="N270" s="15"/>
      <c r="O270" s="15">
        <f>M270-N270</f>
        <v>16000</v>
      </c>
      <c r="P270" s="10" t="s">
        <v>42</v>
      </c>
      <c r="Q270" s="10" t="s">
        <v>43</v>
      </c>
      <c r="R270" s="10" t="s">
        <v>44</v>
      </c>
      <c r="S270" s="8" t="s">
        <v>2091</v>
      </c>
      <c r="T270" s="8" t="s">
        <v>44</v>
      </c>
    </row>
    <row r="271" spans="1:20">
      <c r="A271" s="11">
        <v>264</v>
      </c>
      <c r="B271" s="11" t="s">
        <v>488</v>
      </c>
      <c r="C271" s="11" t="s">
        <v>475</v>
      </c>
      <c r="D271" s="11" t="s">
        <v>201</v>
      </c>
      <c r="E271" s="11" t="s">
        <v>34</v>
      </c>
      <c r="F271" s="11" t="s">
        <v>35</v>
      </c>
      <c r="G271" s="9" t="s">
        <v>41</v>
      </c>
      <c r="H271" s="13">
        <v>1</v>
      </c>
      <c r="I271" s="13">
        <v>1</v>
      </c>
      <c r="J271" s="16">
        <v>7000.0</v>
      </c>
      <c r="K271" s="16"/>
      <c r="L271" s="18">
        <f>IF(J271&gt;0, K271/J271, 0)</f>
        <v>0</v>
      </c>
      <c r="M271" s="16">
        <v>7000.0</v>
      </c>
      <c r="N271" s="16"/>
      <c r="O271" s="16">
        <f>M271-N271</f>
        <v>7000</v>
      </c>
      <c r="P271" s="11" t="s">
        <v>42</v>
      </c>
      <c r="Q271" s="11" t="s">
        <v>43</v>
      </c>
      <c r="R271" s="11" t="s">
        <v>44</v>
      </c>
      <c r="S271" s="9" t="s">
        <v>2088</v>
      </c>
      <c r="T271" s="9" t="s">
        <v>44</v>
      </c>
    </row>
    <row r="272" spans="1:20">
      <c r="A272" s="10">
        <v>265</v>
      </c>
      <c r="B272" s="10" t="s">
        <v>489</v>
      </c>
      <c r="C272" s="10" t="s">
        <v>490</v>
      </c>
      <c r="D272" s="10" t="s">
        <v>201</v>
      </c>
      <c r="E272" s="10" t="s">
        <v>70</v>
      </c>
      <c r="F272" s="10" t="s">
        <v>35</v>
      </c>
      <c r="G272" s="8" t="s">
        <v>41</v>
      </c>
      <c r="H272" s="12">
        <v>1</v>
      </c>
      <c r="I272" s="12">
        <v>1</v>
      </c>
      <c r="J272" s="15">
        <v>11000.0</v>
      </c>
      <c r="K272" s="15"/>
      <c r="L272" s="17">
        <f>IF(J272&gt;0, K272/J272, 0)</f>
        <v>0</v>
      </c>
      <c r="M272" s="15">
        <v>11000.0</v>
      </c>
      <c r="N272" s="15"/>
      <c r="O272" s="15">
        <f>M272-N272</f>
        <v>11000</v>
      </c>
      <c r="P272" s="10" t="s">
        <v>42</v>
      </c>
      <c r="Q272" s="10" t="s">
        <v>73</v>
      </c>
      <c r="R272" s="10" t="s">
        <v>44</v>
      </c>
      <c r="S272" s="8" t="s">
        <v>2027</v>
      </c>
      <c r="T272" s="8" t="s">
        <v>44</v>
      </c>
    </row>
    <row r="273" spans="1:20">
      <c r="A273" s="11">
        <v>266</v>
      </c>
      <c r="B273" s="11" t="s">
        <v>491</v>
      </c>
      <c r="C273" s="11" t="s">
        <v>490</v>
      </c>
      <c r="D273" s="11" t="s">
        <v>201</v>
      </c>
      <c r="E273" s="11" t="s">
        <v>34</v>
      </c>
      <c r="F273" s="11" t="s">
        <v>35</v>
      </c>
      <c r="G273" s="9" t="s">
        <v>41</v>
      </c>
      <c r="H273" s="13">
        <v>1</v>
      </c>
      <c r="I273" s="13">
        <v>1</v>
      </c>
      <c r="J273" s="16">
        <v>7500.0</v>
      </c>
      <c r="K273" s="16"/>
      <c r="L273" s="18">
        <f>IF(J273&gt;0, K273/J273, 0)</f>
        <v>0</v>
      </c>
      <c r="M273" s="16">
        <v>7500.0</v>
      </c>
      <c r="N273" s="16"/>
      <c r="O273" s="16">
        <f>M273-N273</f>
        <v>7500</v>
      </c>
      <c r="P273" s="11" t="s">
        <v>42</v>
      </c>
      <c r="Q273" s="11" t="s">
        <v>43</v>
      </c>
      <c r="R273" s="11" t="s">
        <v>44</v>
      </c>
      <c r="S273" s="9" t="s">
        <v>2023</v>
      </c>
      <c r="T273" s="9" t="s">
        <v>44</v>
      </c>
    </row>
    <row r="274" spans="1:20">
      <c r="A274" s="10">
        <v>267</v>
      </c>
      <c r="B274" s="10" t="s">
        <v>492</v>
      </c>
      <c r="C274" s="10" t="s">
        <v>490</v>
      </c>
      <c r="D274" s="10" t="s">
        <v>201</v>
      </c>
      <c r="E274" s="10" t="s">
        <v>34</v>
      </c>
      <c r="F274" s="10" t="s">
        <v>35</v>
      </c>
      <c r="G274" s="8" t="s">
        <v>41</v>
      </c>
      <c r="H274" s="12">
        <v>1</v>
      </c>
      <c r="I274" s="12">
        <v>1</v>
      </c>
      <c r="J274" s="15">
        <v>8500.0</v>
      </c>
      <c r="K274" s="15"/>
      <c r="L274" s="17">
        <f>IF(J274&gt;0, K274/J274, 0)</f>
        <v>0</v>
      </c>
      <c r="M274" s="15">
        <v>8500.0</v>
      </c>
      <c r="N274" s="15"/>
      <c r="O274" s="15">
        <f>M274-N274</f>
        <v>8500</v>
      </c>
      <c r="P274" s="10" t="s">
        <v>42</v>
      </c>
      <c r="Q274" s="10" t="s">
        <v>43</v>
      </c>
      <c r="R274" s="10" t="s">
        <v>44</v>
      </c>
      <c r="S274" s="8" t="s">
        <v>2024</v>
      </c>
      <c r="T274" s="8" t="s">
        <v>44</v>
      </c>
    </row>
    <row r="275" spans="1:20">
      <c r="A275" s="11">
        <v>268</v>
      </c>
      <c r="B275" s="11" t="s">
        <v>493</v>
      </c>
      <c r="C275" s="11" t="s">
        <v>490</v>
      </c>
      <c r="D275" s="11" t="s">
        <v>201</v>
      </c>
      <c r="E275" s="11" t="s">
        <v>34</v>
      </c>
      <c r="F275" s="11" t="s">
        <v>35</v>
      </c>
      <c r="G275" s="9" t="s">
        <v>41</v>
      </c>
      <c r="H275" s="13">
        <v>1</v>
      </c>
      <c r="I275" s="13">
        <v>1</v>
      </c>
      <c r="J275" s="16">
        <v>8000.0</v>
      </c>
      <c r="K275" s="16"/>
      <c r="L275" s="18">
        <f>IF(J275&gt;0, K275/J275, 0)</f>
        <v>0</v>
      </c>
      <c r="M275" s="16">
        <v>8000.0</v>
      </c>
      <c r="N275" s="16"/>
      <c r="O275" s="16">
        <f>M275-N275</f>
        <v>8000</v>
      </c>
      <c r="P275" s="11" t="s">
        <v>42</v>
      </c>
      <c r="Q275" s="11" t="s">
        <v>43</v>
      </c>
      <c r="R275" s="11" t="s">
        <v>44</v>
      </c>
      <c r="S275" s="9" t="s">
        <v>2028</v>
      </c>
      <c r="T275" s="9" t="s">
        <v>44</v>
      </c>
    </row>
    <row r="276" spans="1:20">
      <c r="A276" s="10">
        <v>269</v>
      </c>
      <c r="B276" s="10" t="s">
        <v>494</v>
      </c>
      <c r="C276" s="10" t="s">
        <v>490</v>
      </c>
      <c r="D276" s="10" t="s">
        <v>201</v>
      </c>
      <c r="E276" s="10" t="s">
        <v>34</v>
      </c>
      <c r="F276" s="10" t="s">
        <v>35</v>
      </c>
      <c r="G276" s="8" t="s">
        <v>41</v>
      </c>
      <c r="H276" s="12">
        <v>1</v>
      </c>
      <c r="I276" s="12">
        <v>1</v>
      </c>
      <c r="J276" s="15">
        <v>18000.0</v>
      </c>
      <c r="K276" s="15"/>
      <c r="L276" s="17">
        <f>IF(J276&gt;0, K276/J276, 0)</f>
        <v>0</v>
      </c>
      <c r="M276" s="15">
        <v>18000.0</v>
      </c>
      <c r="N276" s="15"/>
      <c r="O276" s="15">
        <f>M276-N276</f>
        <v>18000</v>
      </c>
      <c r="P276" s="10" t="s">
        <v>42</v>
      </c>
      <c r="Q276" s="10" t="s">
        <v>43</v>
      </c>
      <c r="R276" s="10" t="s">
        <v>44</v>
      </c>
      <c r="S276" s="8" t="s">
        <v>2073</v>
      </c>
      <c r="T276" s="8" t="s">
        <v>44</v>
      </c>
    </row>
    <row r="277" spans="1:20">
      <c r="A277" s="11">
        <v>270</v>
      </c>
      <c r="B277" s="11" t="s">
        <v>496</v>
      </c>
      <c r="C277" s="11" t="s">
        <v>490</v>
      </c>
      <c r="D277" s="11" t="s">
        <v>201</v>
      </c>
      <c r="E277" s="11" t="s">
        <v>34</v>
      </c>
      <c r="F277" s="11" t="s">
        <v>35</v>
      </c>
      <c r="G277" s="9" t="s">
        <v>41</v>
      </c>
      <c r="H277" s="13">
        <v>1</v>
      </c>
      <c r="I277" s="13">
        <v>1</v>
      </c>
      <c r="J277" s="16">
        <v>16500.0</v>
      </c>
      <c r="K277" s="16"/>
      <c r="L277" s="18">
        <f>IF(J277&gt;0, K277/J277, 0)</f>
        <v>0</v>
      </c>
      <c r="M277" s="16">
        <v>16500.0</v>
      </c>
      <c r="N277" s="16"/>
      <c r="O277" s="16">
        <f>M277-N277</f>
        <v>16500</v>
      </c>
      <c r="P277" s="11" t="s">
        <v>42</v>
      </c>
      <c r="Q277" s="11" t="s">
        <v>43</v>
      </c>
      <c r="R277" s="11" t="s">
        <v>44</v>
      </c>
      <c r="S277" s="9" t="s">
        <v>2039</v>
      </c>
      <c r="T277" s="9" t="s">
        <v>44</v>
      </c>
    </row>
    <row r="278" spans="1:20">
      <c r="A278" s="10">
        <v>271</v>
      </c>
      <c r="B278" s="10" t="s">
        <v>497</v>
      </c>
      <c r="C278" s="10" t="s">
        <v>490</v>
      </c>
      <c r="D278" s="10" t="s">
        <v>201</v>
      </c>
      <c r="E278" s="10" t="s">
        <v>34</v>
      </c>
      <c r="F278" s="10" t="s">
        <v>35</v>
      </c>
      <c r="G278" s="8" t="s">
        <v>41</v>
      </c>
      <c r="H278" s="12">
        <v>1</v>
      </c>
      <c r="I278" s="12">
        <v>1</v>
      </c>
      <c r="J278" s="15">
        <v>8500.0</v>
      </c>
      <c r="K278" s="15"/>
      <c r="L278" s="17">
        <f>IF(J278&gt;0, K278/J278, 0)</f>
        <v>0</v>
      </c>
      <c r="M278" s="15">
        <v>8500.0</v>
      </c>
      <c r="N278" s="15"/>
      <c r="O278" s="15">
        <f>M278-N278</f>
        <v>8500</v>
      </c>
      <c r="P278" s="10" t="s">
        <v>42</v>
      </c>
      <c r="Q278" s="10" t="s">
        <v>43</v>
      </c>
      <c r="R278" s="10" t="s">
        <v>44</v>
      </c>
      <c r="S278" s="8" t="s">
        <v>2024</v>
      </c>
      <c r="T278" s="8" t="s">
        <v>44</v>
      </c>
    </row>
    <row r="279" spans="1:20">
      <c r="A279" s="11">
        <v>272</v>
      </c>
      <c r="B279" s="11" t="s">
        <v>498</v>
      </c>
      <c r="C279" s="11" t="s">
        <v>499</v>
      </c>
      <c r="D279" s="11" t="s">
        <v>201</v>
      </c>
      <c r="E279" s="11" t="s">
        <v>70</v>
      </c>
      <c r="F279" s="11" t="s">
        <v>35</v>
      </c>
      <c r="G279" s="9" t="s">
        <v>41</v>
      </c>
      <c r="H279" s="13">
        <v>1</v>
      </c>
      <c r="I279" s="13">
        <v>1</v>
      </c>
      <c r="J279" s="16">
        <v>10000.0</v>
      </c>
      <c r="K279" s="16"/>
      <c r="L279" s="18">
        <f>IF(J279&gt;0, K279/J279, 0)</f>
        <v>0</v>
      </c>
      <c r="M279" s="16">
        <v>10000.0</v>
      </c>
      <c r="N279" s="16"/>
      <c r="O279" s="16">
        <f>M279-N279</f>
        <v>10000</v>
      </c>
      <c r="P279" s="11" t="s">
        <v>42</v>
      </c>
      <c r="Q279" s="11" t="s">
        <v>73</v>
      </c>
      <c r="R279" s="11" t="s">
        <v>44</v>
      </c>
      <c r="S279" s="9" t="s">
        <v>2059</v>
      </c>
      <c r="T279" s="9" t="s">
        <v>44</v>
      </c>
    </row>
    <row r="280" spans="1:20">
      <c r="A280" s="10">
        <v>273</v>
      </c>
      <c r="B280" s="10" t="s">
        <v>500</v>
      </c>
      <c r="C280" s="10" t="s">
        <v>499</v>
      </c>
      <c r="D280" s="10" t="s">
        <v>201</v>
      </c>
      <c r="E280" s="10" t="s">
        <v>34</v>
      </c>
      <c r="F280" s="10" t="s">
        <v>35</v>
      </c>
      <c r="G280" s="8" t="s">
        <v>41</v>
      </c>
      <c r="H280" s="12">
        <v>1</v>
      </c>
      <c r="I280" s="12">
        <v>1</v>
      </c>
      <c r="J280" s="15">
        <v>7000.0</v>
      </c>
      <c r="K280" s="15"/>
      <c r="L280" s="17">
        <f>IF(J280&gt;0, K280/J280, 0)</f>
        <v>0</v>
      </c>
      <c r="M280" s="15">
        <v>7000.0</v>
      </c>
      <c r="N280" s="15"/>
      <c r="O280" s="15">
        <f>M280-N280</f>
        <v>7000</v>
      </c>
      <c r="P280" s="10" t="s">
        <v>42</v>
      </c>
      <c r="Q280" s="10" t="s">
        <v>43</v>
      </c>
      <c r="R280" s="10" t="s">
        <v>44</v>
      </c>
      <c r="S280" s="8" t="s">
        <v>2053</v>
      </c>
      <c r="T280" s="8" t="s">
        <v>44</v>
      </c>
    </row>
    <row r="281" spans="1:20">
      <c r="A281" s="11">
        <v>274</v>
      </c>
      <c r="B281" s="11" t="s">
        <v>501</v>
      </c>
      <c r="C281" s="11" t="s">
        <v>499</v>
      </c>
      <c r="D281" s="11" t="s">
        <v>201</v>
      </c>
      <c r="E281" s="11" t="s">
        <v>34</v>
      </c>
      <c r="F281" s="11" t="s">
        <v>35</v>
      </c>
      <c r="G281" s="9" t="s">
        <v>41</v>
      </c>
      <c r="H281" s="13">
        <v>1</v>
      </c>
      <c r="I281" s="13">
        <v>1</v>
      </c>
      <c r="J281" s="16">
        <v>7000.0</v>
      </c>
      <c r="K281" s="16"/>
      <c r="L281" s="18">
        <f>IF(J281&gt;0, K281/J281, 0)</f>
        <v>0</v>
      </c>
      <c r="M281" s="16">
        <v>7000.0</v>
      </c>
      <c r="N281" s="16"/>
      <c r="O281" s="16">
        <f>M281-N281</f>
        <v>7000</v>
      </c>
      <c r="P281" s="11" t="s">
        <v>42</v>
      </c>
      <c r="Q281" s="11" t="s">
        <v>43</v>
      </c>
      <c r="R281" s="11" t="s">
        <v>44</v>
      </c>
      <c r="S281" s="9" t="s">
        <v>2088</v>
      </c>
      <c r="T281" s="9" t="s">
        <v>44</v>
      </c>
    </row>
    <row r="282" spans="1:20">
      <c r="A282" s="10">
        <v>275</v>
      </c>
      <c r="B282" s="10" t="s">
        <v>502</v>
      </c>
      <c r="C282" s="10" t="s">
        <v>499</v>
      </c>
      <c r="D282" s="10" t="s">
        <v>201</v>
      </c>
      <c r="E282" s="10" t="s">
        <v>34</v>
      </c>
      <c r="F282" s="10" t="s">
        <v>35</v>
      </c>
      <c r="G282" s="8" t="s">
        <v>41</v>
      </c>
      <c r="H282" s="12">
        <v>1</v>
      </c>
      <c r="I282" s="12">
        <v>1</v>
      </c>
      <c r="J282" s="15">
        <v>8000.0</v>
      </c>
      <c r="K282" s="15"/>
      <c r="L282" s="17">
        <f>IF(J282&gt;0, K282/J282, 0)</f>
        <v>0</v>
      </c>
      <c r="M282" s="15">
        <v>8000.0</v>
      </c>
      <c r="N282" s="15"/>
      <c r="O282" s="15">
        <f>M282-N282</f>
        <v>8000</v>
      </c>
      <c r="P282" s="10" t="s">
        <v>42</v>
      </c>
      <c r="Q282" s="10" t="s">
        <v>43</v>
      </c>
      <c r="R282" s="10" t="s">
        <v>44</v>
      </c>
      <c r="S282" s="8" t="s">
        <v>2098</v>
      </c>
      <c r="T282" s="8" t="s">
        <v>44</v>
      </c>
    </row>
    <row r="283" spans="1:20">
      <c r="A283" s="11">
        <v>276</v>
      </c>
      <c r="B283" s="11" t="s">
        <v>503</v>
      </c>
      <c r="C283" s="11" t="s">
        <v>499</v>
      </c>
      <c r="D283" s="11" t="s">
        <v>201</v>
      </c>
      <c r="E283" s="11" t="s">
        <v>34</v>
      </c>
      <c r="F283" s="11" t="s">
        <v>35</v>
      </c>
      <c r="G283" s="9" t="s">
        <v>41</v>
      </c>
      <c r="H283" s="13">
        <v>1</v>
      </c>
      <c r="I283" s="13">
        <v>1</v>
      </c>
      <c r="J283" s="16">
        <v>7000.0</v>
      </c>
      <c r="K283" s="16"/>
      <c r="L283" s="18">
        <f>IF(J283&gt;0, K283/J283, 0)</f>
        <v>0</v>
      </c>
      <c r="M283" s="16">
        <v>7000.0</v>
      </c>
      <c r="N283" s="16"/>
      <c r="O283" s="16">
        <f>M283-N283</f>
        <v>7000</v>
      </c>
      <c r="P283" s="11" t="s">
        <v>42</v>
      </c>
      <c r="Q283" s="11" t="s">
        <v>43</v>
      </c>
      <c r="R283" s="11" t="s">
        <v>44</v>
      </c>
      <c r="S283" s="9" t="s">
        <v>2053</v>
      </c>
      <c r="T283" s="9" t="s">
        <v>44</v>
      </c>
    </row>
    <row r="284" spans="1:20">
      <c r="A284" s="10">
        <v>277</v>
      </c>
      <c r="B284" s="10" t="s">
        <v>504</v>
      </c>
      <c r="C284" s="10" t="s">
        <v>499</v>
      </c>
      <c r="D284" s="10" t="s">
        <v>201</v>
      </c>
      <c r="E284" s="10" t="s">
        <v>34</v>
      </c>
      <c r="F284" s="10" t="s">
        <v>35</v>
      </c>
      <c r="G284" s="8" t="s">
        <v>41</v>
      </c>
      <c r="H284" s="12">
        <v>1</v>
      </c>
      <c r="I284" s="12">
        <v>1</v>
      </c>
      <c r="J284" s="15">
        <v>7500.0</v>
      </c>
      <c r="K284" s="15"/>
      <c r="L284" s="17">
        <f>IF(J284&gt;0, K284/J284, 0)</f>
        <v>0</v>
      </c>
      <c r="M284" s="15">
        <v>7500.0</v>
      </c>
      <c r="N284" s="15"/>
      <c r="O284" s="15">
        <f>M284-N284</f>
        <v>7500</v>
      </c>
      <c r="P284" s="10" t="s">
        <v>42</v>
      </c>
      <c r="Q284" s="10" t="s">
        <v>43</v>
      </c>
      <c r="R284" s="10" t="s">
        <v>44</v>
      </c>
      <c r="S284" s="8" t="s">
        <v>2023</v>
      </c>
      <c r="T284" s="8" t="s">
        <v>44</v>
      </c>
    </row>
    <row r="285" spans="1:20">
      <c r="A285" s="11">
        <v>278</v>
      </c>
      <c r="B285" s="11" t="s">
        <v>505</v>
      </c>
      <c r="C285" s="11" t="s">
        <v>499</v>
      </c>
      <c r="D285" s="11" t="s">
        <v>201</v>
      </c>
      <c r="E285" s="11" t="s">
        <v>34</v>
      </c>
      <c r="F285" s="11" t="s">
        <v>35</v>
      </c>
      <c r="G285" s="9" t="s">
        <v>41</v>
      </c>
      <c r="H285" s="13">
        <v>1</v>
      </c>
      <c r="I285" s="13">
        <v>1</v>
      </c>
      <c r="J285" s="16">
        <v>8500.0</v>
      </c>
      <c r="K285" s="16"/>
      <c r="L285" s="18">
        <f>IF(J285&gt;0, K285/J285, 0)</f>
        <v>0</v>
      </c>
      <c r="M285" s="16">
        <v>8500.0</v>
      </c>
      <c r="N285" s="16"/>
      <c r="O285" s="16">
        <f>M285-N285</f>
        <v>8500</v>
      </c>
      <c r="P285" s="11" t="s">
        <v>42</v>
      </c>
      <c r="Q285" s="11" t="s">
        <v>43</v>
      </c>
      <c r="R285" s="11" t="s">
        <v>44</v>
      </c>
      <c r="S285" s="9" t="s">
        <v>2119</v>
      </c>
      <c r="T285" s="9" t="s">
        <v>44</v>
      </c>
    </row>
    <row r="286" spans="1:20">
      <c r="A286" s="10">
        <v>279</v>
      </c>
      <c r="B286" s="10" t="s">
        <v>506</v>
      </c>
      <c r="C286" s="10" t="s">
        <v>499</v>
      </c>
      <c r="D286" s="10" t="s">
        <v>201</v>
      </c>
      <c r="E286" s="10" t="s">
        <v>34</v>
      </c>
      <c r="F286" s="10" t="s">
        <v>35</v>
      </c>
      <c r="G286" s="8" t="s">
        <v>41</v>
      </c>
      <c r="H286" s="12">
        <v>1</v>
      </c>
      <c r="I286" s="12">
        <v>1</v>
      </c>
      <c r="J286" s="15">
        <v>18000.0</v>
      </c>
      <c r="K286" s="15"/>
      <c r="L286" s="17">
        <f>IF(J286&gt;0, K286/J286, 0)</f>
        <v>0</v>
      </c>
      <c r="M286" s="15">
        <v>18000.0</v>
      </c>
      <c r="N286" s="15"/>
      <c r="O286" s="15">
        <f>M286-N286</f>
        <v>18000</v>
      </c>
      <c r="P286" s="10" t="s">
        <v>42</v>
      </c>
      <c r="Q286" s="10" t="s">
        <v>43</v>
      </c>
      <c r="R286" s="10" t="s">
        <v>44</v>
      </c>
      <c r="S286" s="8" t="s">
        <v>2122</v>
      </c>
      <c r="T286" s="8" t="s">
        <v>44</v>
      </c>
    </row>
    <row r="287" spans="1:20">
      <c r="A287" s="11">
        <v>280</v>
      </c>
      <c r="B287" s="11" t="s">
        <v>507</v>
      </c>
      <c r="C287" s="11" t="s">
        <v>499</v>
      </c>
      <c r="D287" s="11" t="s">
        <v>201</v>
      </c>
      <c r="E287" s="11" t="s">
        <v>34</v>
      </c>
      <c r="F287" s="11" t="s">
        <v>35</v>
      </c>
      <c r="G287" s="9" t="s">
        <v>41</v>
      </c>
      <c r="H287" s="13">
        <v>1</v>
      </c>
      <c r="I287" s="13">
        <v>1</v>
      </c>
      <c r="J287" s="16">
        <v>16500.0</v>
      </c>
      <c r="K287" s="16"/>
      <c r="L287" s="18">
        <f>IF(J287&gt;0, K287/J287, 0)</f>
        <v>0</v>
      </c>
      <c r="M287" s="16">
        <v>16500.0</v>
      </c>
      <c r="N287" s="16"/>
      <c r="O287" s="16">
        <f>M287-N287</f>
        <v>16500</v>
      </c>
      <c r="P287" s="11" t="s">
        <v>42</v>
      </c>
      <c r="Q287" s="11" t="s">
        <v>43</v>
      </c>
      <c r="R287" s="11" t="s">
        <v>44</v>
      </c>
      <c r="S287" s="9" t="s">
        <v>2064</v>
      </c>
      <c r="T287" s="9" t="s">
        <v>44</v>
      </c>
    </row>
    <row r="288" spans="1:20">
      <c r="A288" s="10">
        <v>281</v>
      </c>
      <c r="B288" s="10" t="s">
        <v>508</v>
      </c>
      <c r="C288" s="10" t="s">
        <v>499</v>
      </c>
      <c r="D288" s="10" t="s">
        <v>201</v>
      </c>
      <c r="E288" s="10" t="s">
        <v>34</v>
      </c>
      <c r="F288" s="10" t="s">
        <v>35</v>
      </c>
      <c r="G288" s="8" t="s">
        <v>41</v>
      </c>
      <c r="H288" s="12">
        <v>1</v>
      </c>
      <c r="I288" s="12">
        <v>2</v>
      </c>
      <c r="J288" s="15">
        <v>19000.0</v>
      </c>
      <c r="K288" s="15"/>
      <c r="L288" s="17">
        <f>IF(J288&gt;0, K288/J288, 0)</f>
        <v>0</v>
      </c>
      <c r="M288" s="15">
        <v>19000.0</v>
      </c>
      <c r="N288" s="15"/>
      <c r="O288" s="15">
        <f>M288-N288</f>
        <v>19000</v>
      </c>
      <c r="P288" s="10" t="s">
        <v>42</v>
      </c>
      <c r="Q288" s="10" t="s">
        <v>43</v>
      </c>
      <c r="R288" s="10" t="s">
        <v>44</v>
      </c>
      <c r="S288" s="8" t="s">
        <v>2130</v>
      </c>
      <c r="T288" s="8" t="s">
        <v>44</v>
      </c>
    </row>
    <row r="289" spans="1:20">
      <c r="A289" s="11">
        <v>282</v>
      </c>
      <c r="B289" s="11" t="s">
        <v>509</v>
      </c>
      <c r="C289" s="11" t="s">
        <v>499</v>
      </c>
      <c r="D289" s="11" t="s">
        <v>201</v>
      </c>
      <c r="E289" s="11" t="s">
        <v>34</v>
      </c>
      <c r="F289" s="11" t="s">
        <v>35</v>
      </c>
      <c r="G289" s="9" t="s">
        <v>41</v>
      </c>
      <c r="H289" s="13">
        <v>1</v>
      </c>
      <c r="I289" s="13">
        <v>2</v>
      </c>
      <c r="J289" s="16">
        <v>18000.0</v>
      </c>
      <c r="K289" s="16"/>
      <c r="L289" s="18">
        <f>IF(J289&gt;0, K289/J289, 0)</f>
        <v>0</v>
      </c>
      <c r="M289" s="16">
        <v>18000.0</v>
      </c>
      <c r="N289" s="16"/>
      <c r="O289" s="16">
        <f>M289-N289</f>
        <v>18000</v>
      </c>
      <c r="P289" s="11" t="s">
        <v>42</v>
      </c>
      <c r="Q289" s="11" t="s">
        <v>43</v>
      </c>
      <c r="R289" s="11" t="s">
        <v>44</v>
      </c>
      <c r="S289" s="9" t="s">
        <v>2131</v>
      </c>
      <c r="T289" s="9" t="s">
        <v>44</v>
      </c>
    </row>
    <row r="290" spans="1:20">
      <c r="A290" s="10">
        <v>283</v>
      </c>
      <c r="B290" s="10" t="s">
        <v>510</v>
      </c>
      <c r="C290" s="10" t="s">
        <v>499</v>
      </c>
      <c r="D290" s="10" t="s">
        <v>201</v>
      </c>
      <c r="E290" s="10" t="s">
        <v>34</v>
      </c>
      <c r="F290" s="10" t="s">
        <v>35</v>
      </c>
      <c r="G290" s="8" t="s">
        <v>41</v>
      </c>
      <c r="H290" s="12">
        <v>1</v>
      </c>
      <c r="I290" s="12">
        <v>2</v>
      </c>
      <c r="J290" s="15">
        <v>16000.0</v>
      </c>
      <c r="K290" s="15"/>
      <c r="L290" s="17">
        <f>IF(J290&gt;0, K290/J290, 0)</f>
        <v>0</v>
      </c>
      <c r="M290" s="15">
        <v>16000.0</v>
      </c>
      <c r="N290" s="15"/>
      <c r="O290" s="15">
        <f>M290-N290</f>
        <v>16000</v>
      </c>
      <c r="P290" s="10" t="s">
        <v>42</v>
      </c>
      <c r="Q290" s="10" t="s">
        <v>43</v>
      </c>
      <c r="R290" s="10" t="s">
        <v>44</v>
      </c>
      <c r="S290" s="8" t="s">
        <v>2132</v>
      </c>
      <c r="T290" s="8" t="s">
        <v>44</v>
      </c>
    </row>
    <row r="291" spans="1:20">
      <c r="A291" s="11">
        <v>284</v>
      </c>
      <c r="B291" s="11" t="s">
        <v>511</v>
      </c>
      <c r="C291" s="11" t="s">
        <v>512</v>
      </c>
      <c r="D291" s="11" t="s">
        <v>201</v>
      </c>
      <c r="E291" s="11" t="s">
        <v>34</v>
      </c>
      <c r="F291" s="11" t="s">
        <v>35</v>
      </c>
      <c r="G291" s="9" t="s">
        <v>41</v>
      </c>
      <c r="H291" s="13">
        <v>1</v>
      </c>
      <c r="I291" s="13">
        <v>1</v>
      </c>
      <c r="J291" s="16">
        <v>9500.0</v>
      </c>
      <c r="K291" s="16"/>
      <c r="L291" s="18">
        <f>IF(J291&gt;0, K291/J291, 0)</f>
        <v>0</v>
      </c>
      <c r="M291" s="16">
        <v>9500.0</v>
      </c>
      <c r="N291" s="16"/>
      <c r="O291" s="16">
        <f>M291-N291</f>
        <v>9500</v>
      </c>
      <c r="P291" s="11" t="s">
        <v>42</v>
      </c>
      <c r="Q291" s="11" t="s">
        <v>43</v>
      </c>
      <c r="R291" s="11" t="s">
        <v>44</v>
      </c>
      <c r="S291" s="9" t="s">
        <v>2081</v>
      </c>
      <c r="T291" s="9" t="s">
        <v>44</v>
      </c>
    </row>
    <row r="292" spans="1:20">
      <c r="A292" s="10">
        <v>285</v>
      </c>
      <c r="B292" s="10" t="s">
        <v>513</v>
      </c>
      <c r="C292" s="10" t="s">
        <v>512</v>
      </c>
      <c r="D292" s="10" t="s">
        <v>201</v>
      </c>
      <c r="E292" s="10" t="s">
        <v>34</v>
      </c>
      <c r="F292" s="10" t="s">
        <v>35</v>
      </c>
      <c r="G292" s="8" t="s">
        <v>41</v>
      </c>
      <c r="H292" s="12">
        <v>1</v>
      </c>
      <c r="I292" s="12">
        <v>2</v>
      </c>
      <c r="J292" s="15">
        <v>16000.0</v>
      </c>
      <c r="K292" s="15"/>
      <c r="L292" s="17">
        <f>IF(J292&gt;0, K292/J292, 0)</f>
        <v>0</v>
      </c>
      <c r="M292" s="15">
        <v>16000.0</v>
      </c>
      <c r="N292" s="15"/>
      <c r="O292" s="15">
        <f>M292-N292</f>
        <v>16000</v>
      </c>
      <c r="P292" s="10" t="s">
        <v>42</v>
      </c>
      <c r="Q292" s="10" t="s">
        <v>43</v>
      </c>
      <c r="R292" s="10" t="s">
        <v>44</v>
      </c>
      <c r="S292" s="8" t="s">
        <v>2132</v>
      </c>
      <c r="T292" s="8" t="s">
        <v>44</v>
      </c>
    </row>
    <row r="293" spans="1:20">
      <c r="A293" s="11">
        <v>286</v>
      </c>
      <c r="B293" s="11" t="s">
        <v>514</v>
      </c>
      <c r="C293" s="11" t="s">
        <v>512</v>
      </c>
      <c r="D293" s="11" t="s">
        <v>201</v>
      </c>
      <c r="E293" s="11" t="s">
        <v>34</v>
      </c>
      <c r="F293" s="11" t="s">
        <v>35</v>
      </c>
      <c r="G293" s="9" t="s">
        <v>41</v>
      </c>
      <c r="H293" s="13">
        <v>1</v>
      </c>
      <c r="I293" s="13">
        <v>1</v>
      </c>
      <c r="J293" s="16">
        <v>18000.0</v>
      </c>
      <c r="K293" s="16"/>
      <c r="L293" s="18">
        <f>IF(J293&gt;0, K293/J293, 0)</f>
        <v>0</v>
      </c>
      <c r="M293" s="16">
        <v>18000.0</v>
      </c>
      <c r="N293" s="16"/>
      <c r="O293" s="16">
        <f>M293-N293</f>
        <v>18000</v>
      </c>
      <c r="P293" s="11" t="s">
        <v>42</v>
      </c>
      <c r="Q293" s="11" t="s">
        <v>43</v>
      </c>
      <c r="R293" s="11" t="s">
        <v>44</v>
      </c>
      <c r="S293" s="9" t="s">
        <v>2133</v>
      </c>
      <c r="T293" s="9" t="s">
        <v>44</v>
      </c>
    </row>
    <row r="294" spans="1:20">
      <c r="A294" s="10">
        <v>287</v>
      </c>
      <c r="B294" s="10" t="s">
        <v>516</v>
      </c>
      <c r="C294" s="10" t="s">
        <v>512</v>
      </c>
      <c r="D294" s="10" t="s">
        <v>201</v>
      </c>
      <c r="E294" s="10" t="s">
        <v>34</v>
      </c>
      <c r="F294" s="10" t="s">
        <v>35</v>
      </c>
      <c r="G294" s="8" t="s">
        <v>41</v>
      </c>
      <c r="H294" s="12">
        <v>1</v>
      </c>
      <c r="I294" s="12">
        <v>2</v>
      </c>
      <c r="J294" s="15">
        <v>18000.0</v>
      </c>
      <c r="K294" s="15"/>
      <c r="L294" s="17">
        <f>IF(J294&gt;0, K294/J294, 0)</f>
        <v>0</v>
      </c>
      <c r="M294" s="15">
        <v>18000.0</v>
      </c>
      <c r="N294" s="15"/>
      <c r="O294" s="15">
        <f>M294-N294</f>
        <v>18000</v>
      </c>
      <c r="P294" s="10" t="s">
        <v>42</v>
      </c>
      <c r="Q294" s="10" t="s">
        <v>43</v>
      </c>
      <c r="R294" s="10" t="s">
        <v>44</v>
      </c>
      <c r="S294" s="8" t="s">
        <v>2134</v>
      </c>
      <c r="T294" s="8" t="s">
        <v>44</v>
      </c>
    </row>
    <row r="295" spans="1:20">
      <c r="A295" s="11">
        <v>288</v>
      </c>
      <c r="B295" s="11" t="s">
        <v>517</v>
      </c>
      <c r="C295" s="11" t="s">
        <v>518</v>
      </c>
      <c r="D295" s="11" t="s">
        <v>201</v>
      </c>
      <c r="E295" s="11" t="s">
        <v>34</v>
      </c>
      <c r="F295" s="11" t="s">
        <v>35</v>
      </c>
      <c r="G295" s="9" t="s">
        <v>41</v>
      </c>
      <c r="H295" s="13">
        <v>1</v>
      </c>
      <c r="I295" s="13">
        <v>1</v>
      </c>
      <c r="J295" s="16">
        <v>8000.0</v>
      </c>
      <c r="K295" s="16"/>
      <c r="L295" s="18">
        <f>IF(J295&gt;0, K295/J295, 0)</f>
        <v>0</v>
      </c>
      <c r="M295" s="16">
        <v>8000.0</v>
      </c>
      <c r="N295" s="16"/>
      <c r="O295" s="16">
        <f>M295-N295</f>
        <v>8000</v>
      </c>
      <c r="P295" s="11" t="s">
        <v>42</v>
      </c>
      <c r="Q295" s="11" t="s">
        <v>43</v>
      </c>
      <c r="R295" s="11" t="s">
        <v>44</v>
      </c>
      <c r="S295" s="9" t="s">
        <v>2062</v>
      </c>
      <c r="T295" s="9" t="s">
        <v>44</v>
      </c>
    </row>
    <row r="296" spans="1:20">
      <c r="A296" s="10">
        <v>289</v>
      </c>
      <c r="B296" s="10" t="s">
        <v>519</v>
      </c>
      <c r="C296" s="10" t="s">
        <v>520</v>
      </c>
      <c r="D296" s="10" t="s">
        <v>201</v>
      </c>
      <c r="E296" s="10" t="s">
        <v>70</v>
      </c>
      <c r="F296" s="10" t="s">
        <v>35</v>
      </c>
      <c r="G296" s="8" t="s">
        <v>41</v>
      </c>
      <c r="H296" s="12">
        <v>1</v>
      </c>
      <c r="I296" s="12">
        <v>1</v>
      </c>
      <c r="J296" s="15">
        <v>17000.0</v>
      </c>
      <c r="K296" s="15"/>
      <c r="L296" s="17">
        <f>IF(J296&gt;0, K296/J296, 0)</f>
        <v>0</v>
      </c>
      <c r="M296" s="15">
        <v>17000.0</v>
      </c>
      <c r="N296" s="15"/>
      <c r="O296" s="15">
        <f>M296-N296</f>
        <v>17000</v>
      </c>
      <c r="P296" s="10" t="s">
        <v>42</v>
      </c>
      <c r="Q296" s="10" t="s">
        <v>73</v>
      </c>
      <c r="R296" s="10" t="s">
        <v>44</v>
      </c>
      <c r="S296" s="8" t="s">
        <v>2070</v>
      </c>
      <c r="T296" s="8" t="s">
        <v>44</v>
      </c>
    </row>
    <row r="297" spans="1:20">
      <c r="A297" s="11">
        <v>290</v>
      </c>
      <c r="B297" s="11" t="s">
        <v>521</v>
      </c>
      <c r="C297" s="11" t="s">
        <v>520</v>
      </c>
      <c r="D297" s="11" t="s">
        <v>201</v>
      </c>
      <c r="E297" s="11" t="s">
        <v>34</v>
      </c>
      <c r="F297" s="11" t="s">
        <v>35</v>
      </c>
      <c r="G297" s="9" t="s">
        <v>41</v>
      </c>
      <c r="H297" s="13">
        <v>1</v>
      </c>
      <c r="I297" s="13">
        <v>1</v>
      </c>
      <c r="J297" s="16">
        <v>8500.0</v>
      </c>
      <c r="K297" s="16"/>
      <c r="L297" s="18">
        <f>IF(J297&gt;0, K297/J297, 0)</f>
        <v>0</v>
      </c>
      <c r="M297" s="16">
        <v>8500.0</v>
      </c>
      <c r="N297" s="16"/>
      <c r="O297" s="16">
        <f>M297-N297</f>
        <v>8500</v>
      </c>
      <c r="P297" s="11" t="s">
        <v>42</v>
      </c>
      <c r="Q297" s="11" t="s">
        <v>43</v>
      </c>
      <c r="R297" s="11" t="s">
        <v>44</v>
      </c>
      <c r="S297" s="9" t="s">
        <v>2119</v>
      </c>
      <c r="T297" s="9" t="s">
        <v>44</v>
      </c>
    </row>
    <row r="298" spans="1:20">
      <c r="A298" s="10">
        <v>291</v>
      </c>
      <c r="B298" s="10" t="s">
        <v>522</v>
      </c>
      <c r="C298" s="10" t="s">
        <v>520</v>
      </c>
      <c r="D298" s="10" t="s">
        <v>201</v>
      </c>
      <c r="E298" s="10" t="s">
        <v>34</v>
      </c>
      <c r="F298" s="10" t="s">
        <v>35</v>
      </c>
      <c r="G298" s="8" t="s">
        <v>41</v>
      </c>
      <c r="H298" s="12">
        <v>1</v>
      </c>
      <c r="I298" s="12">
        <v>1</v>
      </c>
      <c r="J298" s="15">
        <v>9000.0</v>
      </c>
      <c r="K298" s="15"/>
      <c r="L298" s="17">
        <f>IF(J298&gt;0, K298/J298, 0)</f>
        <v>0</v>
      </c>
      <c r="M298" s="15">
        <v>9000.0</v>
      </c>
      <c r="N298" s="15"/>
      <c r="O298" s="15">
        <f>M298-N298</f>
        <v>9000</v>
      </c>
      <c r="P298" s="10" t="s">
        <v>42</v>
      </c>
      <c r="Q298" s="10" t="s">
        <v>43</v>
      </c>
      <c r="R298" s="10" t="s">
        <v>44</v>
      </c>
      <c r="S298" s="8" t="s">
        <v>2120</v>
      </c>
      <c r="T298" s="8" t="s">
        <v>44</v>
      </c>
    </row>
    <row r="299" spans="1:20">
      <c r="A299" s="11">
        <v>292</v>
      </c>
      <c r="B299" s="11" t="s">
        <v>523</v>
      </c>
      <c r="C299" s="11" t="s">
        <v>520</v>
      </c>
      <c r="D299" s="11" t="s">
        <v>201</v>
      </c>
      <c r="E299" s="11" t="s">
        <v>34</v>
      </c>
      <c r="F299" s="11" t="s">
        <v>35</v>
      </c>
      <c r="G299" s="9" t="s">
        <v>41</v>
      </c>
      <c r="H299" s="13">
        <v>1</v>
      </c>
      <c r="I299" s="13">
        <v>1</v>
      </c>
      <c r="J299" s="16">
        <v>8000.0</v>
      </c>
      <c r="K299" s="16"/>
      <c r="L299" s="18">
        <f>IF(J299&gt;0, K299/J299, 0)</f>
        <v>0</v>
      </c>
      <c r="M299" s="16">
        <v>8000.0</v>
      </c>
      <c r="N299" s="16"/>
      <c r="O299" s="16">
        <f>M299-N299</f>
        <v>8000</v>
      </c>
      <c r="P299" s="11" t="s">
        <v>42</v>
      </c>
      <c r="Q299" s="11" t="s">
        <v>43</v>
      </c>
      <c r="R299" s="11" t="s">
        <v>44</v>
      </c>
      <c r="S299" s="9" t="s">
        <v>2108</v>
      </c>
      <c r="T299" s="9" t="s">
        <v>44</v>
      </c>
    </row>
    <row r="300" spans="1:20">
      <c r="A300" s="10">
        <v>293</v>
      </c>
      <c r="B300" s="10" t="s">
        <v>524</v>
      </c>
      <c r="C300" s="10" t="s">
        <v>525</v>
      </c>
      <c r="D300" s="10" t="s">
        <v>201</v>
      </c>
      <c r="E300" s="10" t="s">
        <v>70</v>
      </c>
      <c r="F300" s="10" t="s">
        <v>35</v>
      </c>
      <c r="G300" s="8" t="s">
        <v>41</v>
      </c>
      <c r="H300" s="12">
        <v>1</v>
      </c>
      <c r="I300" s="12">
        <v>1</v>
      </c>
      <c r="J300" s="15">
        <v>10000.0</v>
      </c>
      <c r="K300" s="15"/>
      <c r="L300" s="17">
        <f>IF(J300&gt;0, K300/J300, 0)</f>
        <v>0</v>
      </c>
      <c r="M300" s="15">
        <v>10000.0</v>
      </c>
      <c r="N300" s="15"/>
      <c r="O300" s="15">
        <f>M300-N300</f>
        <v>10000</v>
      </c>
      <c r="P300" s="10" t="s">
        <v>42</v>
      </c>
      <c r="Q300" s="10" t="s">
        <v>73</v>
      </c>
      <c r="R300" s="10" t="s">
        <v>44</v>
      </c>
      <c r="S300" s="8" t="s">
        <v>2051</v>
      </c>
      <c r="T300" s="8" t="s">
        <v>44</v>
      </c>
    </row>
    <row r="301" spans="1:20">
      <c r="A301" s="11">
        <v>294</v>
      </c>
      <c r="B301" s="11" t="s">
        <v>526</v>
      </c>
      <c r="C301" s="11" t="s">
        <v>525</v>
      </c>
      <c r="D301" s="11" t="s">
        <v>201</v>
      </c>
      <c r="E301" s="11" t="s">
        <v>34</v>
      </c>
      <c r="F301" s="11" t="s">
        <v>35</v>
      </c>
      <c r="G301" s="9" t="s">
        <v>41</v>
      </c>
      <c r="H301" s="13">
        <v>1</v>
      </c>
      <c r="I301" s="13">
        <v>1</v>
      </c>
      <c r="J301" s="16">
        <v>16000.0</v>
      </c>
      <c r="K301" s="16"/>
      <c r="L301" s="18">
        <f>IF(J301&gt;0, K301/J301, 0)</f>
        <v>0</v>
      </c>
      <c r="M301" s="16">
        <v>16000.0</v>
      </c>
      <c r="N301" s="16"/>
      <c r="O301" s="16">
        <f>M301-N301</f>
        <v>16000</v>
      </c>
      <c r="P301" s="11" t="s">
        <v>42</v>
      </c>
      <c r="Q301" s="11" t="s">
        <v>43</v>
      </c>
      <c r="R301" s="11" t="s">
        <v>44</v>
      </c>
      <c r="S301" s="9" t="s">
        <v>2073</v>
      </c>
      <c r="T301" s="9" t="s">
        <v>44</v>
      </c>
    </row>
    <row r="302" spans="1:20">
      <c r="A302" s="10">
        <v>295</v>
      </c>
      <c r="B302" s="10" t="s">
        <v>527</v>
      </c>
      <c r="C302" s="10" t="s">
        <v>525</v>
      </c>
      <c r="D302" s="10" t="s">
        <v>201</v>
      </c>
      <c r="E302" s="10" t="s">
        <v>34</v>
      </c>
      <c r="F302" s="10" t="s">
        <v>35</v>
      </c>
      <c r="G302" s="8" t="s">
        <v>41</v>
      </c>
      <c r="H302" s="12">
        <v>1</v>
      </c>
      <c r="I302" s="12">
        <v>1</v>
      </c>
      <c r="J302" s="15">
        <v>8000.0</v>
      </c>
      <c r="K302" s="15"/>
      <c r="L302" s="17">
        <f>IF(J302&gt;0, K302/J302, 0)</f>
        <v>0</v>
      </c>
      <c r="M302" s="15">
        <v>8000.0</v>
      </c>
      <c r="N302" s="15"/>
      <c r="O302" s="15">
        <f>M302-N302</f>
        <v>8000</v>
      </c>
      <c r="P302" s="10" t="s">
        <v>42</v>
      </c>
      <c r="Q302" s="10" t="s">
        <v>43</v>
      </c>
      <c r="R302" s="10" t="s">
        <v>44</v>
      </c>
      <c r="S302" s="8" t="s">
        <v>2062</v>
      </c>
      <c r="T302" s="8" t="s">
        <v>44</v>
      </c>
    </row>
    <row r="303" spans="1:20">
      <c r="A303" s="11">
        <v>296</v>
      </c>
      <c r="B303" s="11" t="s">
        <v>528</v>
      </c>
      <c r="C303" s="11" t="s">
        <v>525</v>
      </c>
      <c r="D303" s="11" t="s">
        <v>201</v>
      </c>
      <c r="E303" s="11" t="s">
        <v>34</v>
      </c>
      <c r="F303" s="11" t="s">
        <v>35</v>
      </c>
      <c r="G303" s="9" t="s">
        <v>41</v>
      </c>
      <c r="H303" s="13">
        <v>1</v>
      </c>
      <c r="I303" s="13">
        <v>1</v>
      </c>
      <c r="J303" s="16">
        <v>7000.0</v>
      </c>
      <c r="K303" s="16"/>
      <c r="L303" s="18">
        <f>IF(J303&gt;0, K303/J303, 0)</f>
        <v>0</v>
      </c>
      <c r="M303" s="16">
        <v>7000.0</v>
      </c>
      <c r="N303" s="16"/>
      <c r="O303" s="16">
        <f>M303-N303</f>
        <v>7000</v>
      </c>
      <c r="P303" s="11" t="s">
        <v>42</v>
      </c>
      <c r="Q303" s="11" t="s">
        <v>43</v>
      </c>
      <c r="R303" s="11" t="s">
        <v>44</v>
      </c>
      <c r="S303" s="9" t="s">
        <v>2101</v>
      </c>
      <c r="T303" s="9" t="s">
        <v>44</v>
      </c>
    </row>
    <row r="304" spans="1:20">
      <c r="A304" s="10">
        <v>297</v>
      </c>
      <c r="B304" s="10" t="s">
        <v>529</v>
      </c>
      <c r="C304" s="10" t="s">
        <v>525</v>
      </c>
      <c r="D304" s="10" t="s">
        <v>201</v>
      </c>
      <c r="E304" s="10" t="s">
        <v>70</v>
      </c>
      <c r="F304" s="10" t="s">
        <v>35</v>
      </c>
      <c r="G304" s="8" t="s">
        <v>41</v>
      </c>
      <c r="H304" s="12">
        <v>1</v>
      </c>
      <c r="I304" s="12">
        <v>1</v>
      </c>
      <c r="J304" s="15">
        <v>10000.0</v>
      </c>
      <c r="K304" s="15"/>
      <c r="L304" s="17">
        <f>IF(J304&gt;0, K304/J304, 0)</f>
        <v>0</v>
      </c>
      <c r="M304" s="15">
        <v>10000.0</v>
      </c>
      <c r="N304" s="15"/>
      <c r="O304" s="15">
        <f>M304-N304</f>
        <v>10000</v>
      </c>
      <c r="P304" s="10" t="s">
        <v>42</v>
      </c>
      <c r="Q304" s="10" t="s">
        <v>73</v>
      </c>
      <c r="R304" s="10" t="s">
        <v>44</v>
      </c>
      <c r="S304" s="8" t="s">
        <v>2087</v>
      </c>
      <c r="T304" s="8" t="s">
        <v>44</v>
      </c>
    </row>
    <row r="305" spans="1:20">
      <c r="A305" s="11">
        <v>298</v>
      </c>
      <c r="B305" s="11" t="s">
        <v>530</v>
      </c>
      <c r="C305" s="11" t="s">
        <v>525</v>
      </c>
      <c r="D305" s="11" t="s">
        <v>201</v>
      </c>
      <c r="E305" s="11" t="s">
        <v>70</v>
      </c>
      <c r="F305" s="11" t="s">
        <v>35</v>
      </c>
      <c r="G305" s="9" t="s">
        <v>41</v>
      </c>
      <c r="H305" s="13">
        <v>1</v>
      </c>
      <c r="I305" s="13">
        <v>1</v>
      </c>
      <c r="J305" s="16">
        <v>10000.0</v>
      </c>
      <c r="K305" s="16"/>
      <c r="L305" s="18">
        <f>IF(J305&gt;0, K305/J305, 0)</f>
        <v>0</v>
      </c>
      <c r="M305" s="16">
        <v>10000.0</v>
      </c>
      <c r="N305" s="16"/>
      <c r="O305" s="16">
        <f>M305-N305</f>
        <v>10000</v>
      </c>
      <c r="P305" s="11" t="s">
        <v>42</v>
      </c>
      <c r="Q305" s="11" t="s">
        <v>73</v>
      </c>
      <c r="R305" s="11" t="s">
        <v>44</v>
      </c>
      <c r="S305" s="9" t="s">
        <v>2088</v>
      </c>
      <c r="T305" s="9" t="s">
        <v>44</v>
      </c>
    </row>
    <row r="306" spans="1:20">
      <c r="A306" s="10">
        <v>299</v>
      </c>
      <c r="B306" s="10" t="s">
        <v>532</v>
      </c>
      <c r="C306" s="10" t="s">
        <v>533</v>
      </c>
      <c r="D306" s="10" t="s">
        <v>201</v>
      </c>
      <c r="E306" s="10" t="s">
        <v>34</v>
      </c>
      <c r="F306" s="10" t="s">
        <v>35</v>
      </c>
      <c r="G306" s="8" t="s">
        <v>41</v>
      </c>
      <c r="H306" s="12">
        <v>1</v>
      </c>
      <c r="I306" s="12">
        <v>1</v>
      </c>
      <c r="J306" s="15">
        <v>17000.0</v>
      </c>
      <c r="K306" s="15"/>
      <c r="L306" s="17">
        <f>IF(J306&gt;0, K306/J306, 0)</f>
        <v>0</v>
      </c>
      <c r="M306" s="15">
        <v>17000.0</v>
      </c>
      <c r="N306" s="15"/>
      <c r="O306" s="15">
        <f>M306-N306</f>
        <v>17000</v>
      </c>
      <c r="P306" s="10" t="s">
        <v>42</v>
      </c>
      <c r="Q306" s="10" t="s">
        <v>43</v>
      </c>
      <c r="R306" s="10" t="s">
        <v>44</v>
      </c>
      <c r="S306" s="8" t="s">
        <v>2078</v>
      </c>
      <c r="T306" s="8" t="s">
        <v>44</v>
      </c>
    </row>
    <row r="307" spans="1:20">
      <c r="A307" s="11">
        <v>300</v>
      </c>
      <c r="B307" s="11" t="s">
        <v>534</v>
      </c>
      <c r="C307" s="11" t="s">
        <v>533</v>
      </c>
      <c r="D307" s="11" t="s">
        <v>201</v>
      </c>
      <c r="E307" s="11" t="s">
        <v>34</v>
      </c>
      <c r="F307" s="11" t="s">
        <v>35</v>
      </c>
      <c r="G307" s="9" t="s">
        <v>41</v>
      </c>
      <c r="H307" s="13">
        <v>1</v>
      </c>
      <c r="I307" s="13">
        <v>1</v>
      </c>
      <c r="J307" s="16">
        <v>9000.0</v>
      </c>
      <c r="K307" s="16"/>
      <c r="L307" s="18">
        <f>IF(J307&gt;0, K307/J307, 0)</f>
        <v>0</v>
      </c>
      <c r="M307" s="16">
        <v>9000.0</v>
      </c>
      <c r="N307" s="16"/>
      <c r="O307" s="16">
        <f>M307-N307</f>
        <v>9000</v>
      </c>
      <c r="P307" s="11" t="s">
        <v>42</v>
      </c>
      <c r="Q307" s="11" t="s">
        <v>43</v>
      </c>
      <c r="R307" s="11" t="s">
        <v>44</v>
      </c>
      <c r="S307" s="9" t="s">
        <v>2120</v>
      </c>
      <c r="T307" s="9" t="s">
        <v>44</v>
      </c>
    </row>
    <row r="308" spans="1:20">
      <c r="A308" s="10">
        <v>301</v>
      </c>
      <c r="B308" s="10" t="s">
        <v>535</v>
      </c>
      <c r="C308" s="10" t="s">
        <v>533</v>
      </c>
      <c r="D308" s="10" t="s">
        <v>201</v>
      </c>
      <c r="E308" s="10" t="s">
        <v>34</v>
      </c>
      <c r="F308" s="10" t="s">
        <v>35</v>
      </c>
      <c r="G308" s="8" t="s">
        <v>41</v>
      </c>
      <c r="H308" s="12">
        <v>1</v>
      </c>
      <c r="I308" s="12">
        <v>1</v>
      </c>
      <c r="J308" s="15">
        <v>8000.0</v>
      </c>
      <c r="K308" s="15"/>
      <c r="L308" s="17">
        <f>IF(J308&gt;0, K308/J308, 0)</f>
        <v>0</v>
      </c>
      <c r="M308" s="15">
        <v>8000.0</v>
      </c>
      <c r="N308" s="15"/>
      <c r="O308" s="15">
        <f>M308-N308</f>
        <v>8000</v>
      </c>
      <c r="P308" s="10" t="s">
        <v>42</v>
      </c>
      <c r="Q308" s="10" t="s">
        <v>43</v>
      </c>
      <c r="R308" s="10" t="s">
        <v>44</v>
      </c>
      <c r="S308" s="8" t="s">
        <v>2129</v>
      </c>
      <c r="T308" s="8" t="s">
        <v>44</v>
      </c>
    </row>
    <row r="309" spans="1:20">
      <c r="A309" s="11">
        <v>302</v>
      </c>
      <c r="B309" s="11" t="s">
        <v>537</v>
      </c>
      <c r="C309" s="11" t="s">
        <v>533</v>
      </c>
      <c r="D309" s="11" t="s">
        <v>201</v>
      </c>
      <c r="E309" s="11" t="s">
        <v>34</v>
      </c>
      <c r="F309" s="11" t="s">
        <v>35</v>
      </c>
      <c r="G309" s="9" t="s">
        <v>41</v>
      </c>
      <c r="H309" s="13">
        <v>1</v>
      </c>
      <c r="I309" s="13">
        <v>1</v>
      </c>
      <c r="J309" s="16">
        <v>8500.0</v>
      </c>
      <c r="K309" s="16"/>
      <c r="L309" s="18">
        <f>IF(J309&gt;0, K309/J309, 0)</f>
        <v>0</v>
      </c>
      <c r="M309" s="16">
        <v>8500.0</v>
      </c>
      <c r="N309" s="16"/>
      <c r="O309" s="16">
        <f>M309-N309</f>
        <v>8500</v>
      </c>
      <c r="P309" s="11" t="s">
        <v>42</v>
      </c>
      <c r="Q309" s="11" t="s">
        <v>43</v>
      </c>
      <c r="R309" s="11" t="s">
        <v>44</v>
      </c>
      <c r="S309" s="9" t="s">
        <v>2024</v>
      </c>
      <c r="T309" s="9" t="s">
        <v>44</v>
      </c>
    </row>
    <row r="310" spans="1:20">
      <c r="A310" s="10">
        <v>303</v>
      </c>
      <c r="B310" s="10" t="s">
        <v>538</v>
      </c>
      <c r="C310" s="10" t="s">
        <v>533</v>
      </c>
      <c r="D310" s="10" t="s">
        <v>201</v>
      </c>
      <c r="E310" s="10" t="s">
        <v>34</v>
      </c>
      <c r="F310" s="10" t="s">
        <v>35</v>
      </c>
      <c r="G310" s="8" t="s">
        <v>41</v>
      </c>
      <c r="H310" s="12">
        <v>1</v>
      </c>
      <c r="I310" s="12">
        <v>1</v>
      </c>
      <c r="J310" s="15">
        <v>8500.0</v>
      </c>
      <c r="K310" s="15"/>
      <c r="L310" s="17">
        <f>IF(J310&gt;0, K310/J310, 0)</f>
        <v>0</v>
      </c>
      <c r="M310" s="15">
        <v>8500.0</v>
      </c>
      <c r="N310" s="15"/>
      <c r="O310" s="15">
        <f>M310-N310</f>
        <v>8500</v>
      </c>
      <c r="P310" s="10" t="s">
        <v>42</v>
      </c>
      <c r="Q310" s="10" t="s">
        <v>43</v>
      </c>
      <c r="R310" s="10" t="s">
        <v>44</v>
      </c>
      <c r="S310" s="8" t="s">
        <v>2024</v>
      </c>
      <c r="T310" s="8" t="s">
        <v>44</v>
      </c>
    </row>
    <row r="311" spans="1:20">
      <c r="A311" s="11">
        <v>304</v>
      </c>
      <c r="B311" s="11" t="s">
        <v>539</v>
      </c>
      <c r="C311" s="11" t="s">
        <v>533</v>
      </c>
      <c r="D311" s="11" t="s">
        <v>201</v>
      </c>
      <c r="E311" s="11" t="s">
        <v>34</v>
      </c>
      <c r="F311" s="11" t="s">
        <v>35</v>
      </c>
      <c r="G311" s="9" t="s">
        <v>41</v>
      </c>
      <c r="H311" s="13">
        <v>1</v>
      </c>
      <c r="I311" s="13">
        <v>1</v>
      </c>
      <c r="J311" s="16">
        <v>18000.0</v>
      </c>
      <c r="K311" s="16"/>
      <c r="L311" s="18">
        <f>IF(J311&gt;0, K311/J311, 0)</f>
        <v>0</v>
      </c>
      <c r="M311" s="16">
        <v>18000.0</v>
      </c>
      <c r="N311" s="16"/>
      <c r="O311" s="16">
        <f>M311-N311</f>
        <v>18000</v>
      </c>
      <c r="P311" s="11" t="s">
        <v>42</v>
      </c>
      <c r="Q311" s="11" t="s">
        <v>43</v>
      </c>
      <c r="R311" s="11" t="s">
        <v>44</v>
      </c>
      <c r="S311" s="9" t="s">
        <v>2065</v>
      </c>
      <c r="T311" s="9" t="s">
        <v>44</v>
      </c>
    </row>
    <row r="312" spans="1:20">
      <c r="A312" s="10">
        <v>305</v>
      </c>
      <c r="B312" s="10" t="s">
        <v>540</v>
      </c>
      <c r="C312" s="10" t="s">
        <v>533</v>
      </c>
      <c r="D312" s="10" t="s">
        <v>201</v>
      </c>
      <c r="E312" s="10" t="s">
        <v>34</v>
      </c>
      <c r="F312" s="10" t="s">
        <v>35</v>
      </c>
      <c r="G312" s="8" t="s">
        <v>41</v>
      </c>
      <c r="H312" s="12">
        <v>1</v>
      </c>
      <c r="I312" s="12">
        <v>1</v>
      </c>
      <c r="J312" s="15">
        <v>9000.0</v>
      </c>
      <c r="K312" s="15"/>
      <c r="L312" s="17">
        <f>IF(J312&gt;0, K312/J312, 0)</f>
        <v>0</v>
      </c>
      <c r="M312" s="15">
        <v>9000.0</v>
      </c>
      <c r="N312" s="15"/>
      <c r="O312" s="15">
        <f>M312-N312</f>
        <v>9000</v>
      </c>
      <c r="P312" s="10" t="s">
        <v>42</v>
      </c>
      <c r="Q312" s="10" t="s">
        <v>43</v>
      </c>
      <c r="R312" s="10" t="s">
        <v>44</v>
      </c>
      <c r="S312" s="8" t="s">
        <v>2027</v>
      </c>
      <c r="T312" s="8" t="s">
        <v>44</v>
      </c>
    </row>
    <row r="313" spans="1:20">
      <c r="A313" s="11">
        <v>306</v>
      </c>
      <c r="B313" s="11" t="s">
        <v>541</v>
      </c>
      <c r="C313" s="11" t="s">
        <v>533</v>
      </c>
      <c r="D313" s="11" t="s">
        <v>201</v>
      </c>
      <c r="E313" s="11" t="s">
        <v>34</v>
      </c>
      <c r="F313" s="11" t="s">
        <v>35</v>
      </c>
      <c r="G313" s="9" t="s">
        <v>41</v>
      </c>
      <c r="H313" s="13">
        <v>1</v>
      </c>
      <c r="I313" s="13">
        <v>1</v>
      </c>
      <c r="J313" s="16">
        <v>9000.0</v>
      </c>
      <c r="K313" s="16"/>
      <c r="L313" s="18">
        <f>IF(J313&gt;0, K313/J313, 0)</f>
        <v>0</v>
      </c>
      <c r="M313" s="16">
        <v>9000.0</v>
      </c>
      <c r="N313" s="16"/>
      <c r="O313" s="16">
        <f>M313-N313</f>
        <v>9000</v>
      </c>
      <c r="P313" s="11" t="s">
        <v>42</v>
      </c>
      <c r="Q313" s="11" t="s">
        <v>43</v>
      </c>
      <c r="R313" s="11" t="s">
        <v>44</v>
      </c>
      <c r="S313" s="9" t="s">
        <v>2027</v>
      </c>
      <c r="T313" s="9" t="s">
        <v>44</v>
      </c>
    </row>
    <row r="314" spans="1:20">
      <c r="A314" s="10">
        <v>307</v>
      </c>
      <c r="B314" s="10" t="s">
        <v>542</v>
      </c>
      <c r="C314" s="10" t="s">
        <v>533</v>
      </c>
      <c r="D314" s="10" t="s">
        <v>201</v>
      </c>
      <c r="E314" s="10" t="s">
        <v>34</v>
      </c>
      <c r="F314" s="10" t="s">
        <v>35</v>
      </c>
      <c r="G314" s="8" t="s">
        <v>41</v>
      </c>
      <c r="H314" s="12">
        <v>1</v>
      </c>
      <c r="I314" s="12">
        <v>1</v>
      </c>
      <c r="J314" s="15">
        <v>8000.0</v>
      </c>
      <c r="K314" s="15"/>
      <c r="L314" s="17">
        <f>IF(J314&gt;0, K314/J314, 0)</f>
        <v>0</v>
      </c>
      <c r="M314" s="15">
        <v>8000.0</v>
      </c>
      <c r="N314" s="15"/>
      <c r="O314" s="15">
        <f>M314-N314</f>
        <v>8000</v>
      </c>
      <c r="P314" s="10" t="s">
        <v>42</v>
      </c>
      <c r="Q314" s="10" t="s">
        <v>43</v>
      </c>
      <c r="R314" s="10" t="s">
        <v>44</v>
      </c>
      <c r="S314" s="8" t="s">
        <v>2028</v>
      </c>
      <c r="T314" s="8" t="s">
        <v>44</v>
      </c>
    </row>
    <row r="315" spans="1:20">
      <c r="A315" s="11">
        <v>308</v>
      </c>
      <c r="B315" s="11" t="s">
        <v>543</v>
      </c>
      <c r="C315" s="11" t="s">
        <v>544</v>
      </c>
      <c r="D315" s="11" t="s">
        <v>201</v>
      </c>
      <c r="E315" s="11" t="s">
        <v>34</v>
      </c>
      <c r="F315" s="11" t="s">
        <v>35</v>
      </c>
      <c r="G315" s="9" t="s">
        <v>41</v>
      </c>
      <c r="H315" s="13">
        <v>1</v>
      </c>
      <c r="I315" s="13">
        <v>1</v>
      </c>
      <c r="J315" s="16">
        <v>18000.0</v>
      </c>
      <c r="K315" s="16"/>
      <c r="L315" s="18">
        <f>IF(J315&gt;0, K315/J315, 0)</f>
        <v>0</v>
      </c>
      <c r="M315" s="16">
        <v>18000.0</v>
      </c>
      <c r="N315" s="16"/>
      <c r="O315" s="16">
        <f>M315-N315</f>
        <v>18000</v>
      </c>
      <c r="P315" s="11" t="s">
        <v>42</v>
      </c>
      <c r="Q315" s="11" t="s">
        <v>43</v>
      </c>
      <c r="R315" s="11" t="s">
        <v>44</v>
      </c>
      <c r="S315" s="9" t="s">
        <v>2064</v>
      </c>
      <c r="T315" s="9" t="s">
        <v>44</v>
      </c>
    </row>
    <row r="316" spans="1:20">
      <c r="A316" s="10">
        <v>309</v>
      </c>
      <c r="B316" s="10" t="s">
        <v>545</v>
      </c>
      <c r="C316" s="10" t="s">
        <v>544</v>
      </c>
      <c r="D316" s="10" t="s">
        <v>201</v>
      </c>
      <c r="E316" s="10" t="s">
        <v>34</v>
      </c>
      <c r="F316" s="10" t="s">
        <v>35</v>
      </c>
      <c r="G316" s="8" t="s">
        <v>41</v>
      </c>
      <c r="H316" s="12">
        <v>1</v>
      </c>
      <c r="I316" s="12">
        <v>1</v>
      </c>
      <c r="J316" s="15">
        <v>16000.0</v>
      </c>
      <c r="K316" s="15"/>
      <c r="L316" s="17">
        <f>IF(J316&gt;0, K316/J316, 0)</f>
        <v>0</v>
      </c>
      <c r="M316" s="15">
        <v>16000.0</v>
      </c>
      <c r="N316" s="15"/>
      <c r="O316" s="15">
        <f>M316-N316</f>
        <v>16000</v>
      </c>
      <c r="P316" s="10" t="s">
        <v>42</v>
      </c>
      <c r="Q316" s="10" t="s">
        <v>43</v>
      </c>
      <c r="R316" s="10" t="s">
        <v>44</v>
      </c>
      <c r="S316" s="8" t="s">
        <v>2040</v>
      </c>
      <c r="T316" s="8" t="s">
        <v>44</v>
      </c>
    </row>
    <row r="317" spans="1:20">
      <c r="A317" s="11">
        <v>310</v>
      </c>
      <c r="B317" s="11" t="s">
        <v>546</v>
      </c>
      <c r="C317" s="11" t="s">
        <v>544</v>
      </c>
      <c r="D317" s="11" t="s">
        <v>201</v>
      </c>
      <c r="E317" s="11" t="s">
        <v>34</v>
      </c>
      <c r="F317" s="11" t="s">
        <v>35</v>
      </c>
      <c r="G317" s="9" t="s">
        <v>41</v>
      </c>
      <c r="H317" s="13">
        <v>1</v>
      </c>
      <c r="I317" s="13">
        <v>1</v>
      </c>
      <c r="J317" s="16">
        <v>8000.0</v>
      </c>
      <c r="K317" s="16"/>
      <c r="L317" s="18">
        <f>IF(J317&gt;0, K317/J317, 0)</f>
        <v>0</v>
      </c>
      <c r="M317" s="16">
        <v>8000.0</v>
      </c>
      <c r="N317" s="16"/>
      <c r="O317" s="16">
        <f>M317-N317</f>
        <v>8000</v>
      </c>
      <c r="P317" s="11" t="s">
        <v>42</v>
      </c>
      <c r="Q317" s="11" t="s">
        <v>43</v>
      </c>
      <c r="R317" s="11" t="s">
        <v>44</v>
      </c>
      <c r="S317" s="9" t="s">
        <v>2068</v>
      </c>
      <c r="T317" s="9" t="s">
        <v>44</v>
      </c>
    </row>
    <row r="318" spans="1:20">
      <c r="A318" s="10">
        <v>311</v>
      </c>
      <c r="B318" s="10" t="s">
        <v>547</v>
      </c>
      <c r="C318" s="10" t="s">
        <v>544</v>
      </c>
      <c r="D318" s="10" t="s">
        <v>201</v>
      </c>
      <c r="E318" s="10" t="s">
        <v>34</v>
      </c>
      <c r="F318" s="10" t="s">
        <v>35</v>
      </c>
      <c r="G318" s="8" t="s">
        <v>41</v>
      </c>
      <c r="H318" s="12">
        <v>1</v>
      </c>
      <c r="I318" s="12">
        <v>1</v>
      </c>
      <c r="J318" s="15">
        <v>7000.0</v>
      </c>
      <c r="K318" s="15"/>
      <c r="L318" s="17">
        <f>IF(J318&gt;0, K318/J318, 0)</f>
        <v>0</v>
      </c>
      <c r="M318" s="15">
        <v>7000.0</v>
      </c>
      <c r="N318" s="15"/>
      <c r="O318" s="15">
        <f>M318-N318</f>
        <v>7000</v>
      </c>
      <c r="P318" s="10" t="s">
        <v>42</v>
      </c>
      <c r="Q318" s="10" t="s">
        <v>43</v>
      </c>
      <c r="R318" s="10" t="s">
        <v>44</v>
      </c>
      <c r="S318" s="8" t="s">
        <v>2101</v>
      </c>
      <c r="T318" s="8" t="s">
        <v>44</v>
      </c>
    </row>
    <row r="319" spans="1:20">
      <c r="A319" s="11">
        <v>312</v>
      </c>
      <c r="B319" s="11" t="s">
        <v>548</v>
      </c>
      <c r="C319" s="11" t="s">
        <v>544</v>
      </c>
      <c r="D319" s="11" t="s">
        <v>201</v>
      </c>
      <c r="E319" s="11" t="s">
        <v>34</v>
      </c>
      <c r="F319" s="11" t="s">
        <v>35</v>
      </c>
      <c r="G319" s="9" t="s">
        <v>41</v>
      </c>
      <c r="H319" s="13">
        <v>1</v>
      </c>
      <c r="I319" s="13">
        <v>1</v>
      </c>
      <c r="J319" s="16">
        <v>8000.0</v>
      </c>
      <c r="K319" s="16"/>
      <c r="L319" s="18">
        <f>IF(J319&gt;0, K319/J319, 0)</f>
        <v>0</v>
      </c>
      <c r="M319" s="16">
        <v>8000.0</v>
      </c>
      <c r="N319" s="16"/>
      <c r="O319" s="16">
        <f>M319-N319</f>
        <v>8000</v>
      </c>
      <c r="P319" s="11" t="s">
        <v>42</v>
      </c>
      <c r="Q319" s="11" t="s">
        <v>43</v>
      </c>
      <c r="R319" s="11" t="s">
        <v>44</v>
      </c>
      <c r="S319" s="9" t="s">
        <v>2111</v>
      </c>
      <c r="T319" s="9" t="s">
        <v>44</v>
      </c>
    </row>
    <row r="320" spans="1:20">
      <c r="A320" s="10">
        <v>313</v>
      </c>
      <c r="B320" s="10" t="s">
        <v>549</v>
      </c>
      <c r="C320" s="10" t="s">
        <v>544</v>
      </c>
      <c r="D320" s="10" t="s">
        <v>201</v>
      </c>
      <c r="E320" s="10" t="s">
        <v>34</v>
      </c>
      <c r="F320" s="10" t="s">
        <v>35</v>
      </c>
      <c r="G320" s="8" t="s">
        <v>41</v>
      </c>
      <c r="H320" s="12">
        <v>1</v>
      </c>
      <c r="I320" s="12">
        <v>1</v>
      </c>
      <c r="J320" s="15">
        <v>7000.0</v>
      </c>
      <c r="K320" s="15"/>
      <c r="L320" s="17">
        <f>IF(J320&gt;0, K320/J320, 0)</f>
        <v>0</v>
      </c>
      <c r="M320" s="15">
        <v>7000.0</v>
      </c>
      <c r="N320" s="15"/>
      <c r="O320" s="15">
        <f>M320-N320</f>
        <v>7000</v>
      </c>
      <c r="P320" s="10" t="s">
        <v>42</v>
      </c>
      <c r="Q320" s="10" t="s">
        <v>43</v>
      </c>
      <c r="R320" s="10" t="s">
        <v>44</v>
      </c>
      <c r="S320" s="8" t="s">
        <v>2088</v>
      </c>
      <c r="T320" s="8" t="s">
        <v>44</v>
      </c>
    </row>
    <row r="321" spans="1:20">
      <c r="A321" s="11">
        <v>314</v>
      </c>
      <c r="B321" s="11" t="s">
        <v>550</v>
      </c>
      <c r="C321" s="11" t="s">
        <v>551</v>
      </c>
      <c r="D321" s="11" t="s">
        <v>201</v>
      </c>
      <c r="E321" s="11" t="s">
        <v>70</v>
      </c>
      <c r="F321" s="11" t="s">
        <v>35</v>
      </c>
      <c r="G321" s="9" t="s">
        <v>41</v>
      </c>
      <c r="H321" s="13">
        <v>1</v>
      </c>
      <c r="I321" s="13">
        <v>2</v>
      </c>
      <c r="J321" s="16">
        <v>20000.0</v>
      </c>
      <c r="K321" s="16"/>
      <c r="L321" s="18">
        <f>IF(J321&gt;0, K321/J321, 0)</f>
        <v>0</v>
      </c>
      <c r="M321" s="16">
        <v>20000.0</v>
      </c>
      <c r="N321" s="16"/>
      <c r="O321" s="16">
        <f>M321-N321</f>
        <v>20000</v>
      </c>
      <c r="P321" s="11" t="s">
        <v>42</v>
      </c>
      <c r="Q321" s="11" t="s">
        <v>73</v>
      </c>
      <c r="R321" s="11" t="s">
        <v>44</v>
      </c>
      <c r="S321" s="9" t="s">
        <v>2091</v>
      </c>
      <c r="T321" s="9" t="s">
        <v>44</v>
      </c>
    </row>
    <row r="322" spans="1:20">
      <c r="A322" s="10">
        <v>315</v>
      </c>
      <c r="B322" s="10" t="s">
        <v>552</v>
      </c>
      <c r="C322" s="10" t="s">
        <v>551</v>
      </c>
      <c r="D322" s="10" t="s">
        <v>201</v>
      </c>
      <c r="E322" s="10" t="s">
        <v>34</v>
      </c>
      <c r="F322" s="10" t="s">
        <v>35</v>
      </c>
      <c r="G322" s="8" t="s">
        <v>41</v>
      </c>
      <c r="H322" s="12">
        <v>1</v>
      </c>
      <c r="I322" s="12">
        <v>1</v>
      </c>
      <c r="J322" s="15">
        <v>8500.0</v>
      </c>
      <c r="K322" s="15"/>
      <c r="L322" s="17">
        <f>IF(J322&gt;0, K322/J322, 0)</f>
        <v>0</v>
      </c>
      <c r="M322" s="15">
        <v>8500.0</v>
      </c>
      <c r="N322" s="15"/>
      <c r="O322" s="15">
        <f>M322-N322</f>
        <v>8500</v>
      </c>
      <c r="P322" s="10" t="s">
        <v>42</v>
      </c>
      <c r="Q322" s="10" t="s">
        <v>43</v>
      </c>
      <c r="R322" s="10" t="s">
        <v>44</v>
      </c>
      <c r="S322" s="8" t="s">
        <v>2024</v>
      </c>
      <c r="T322" s="8" t="s">
        <v>44</v>
      </c>
    </row>
    <row r="323" spans="1:20">
      <c r="A323" s="11">
        <v>316</v>
      </c>
      <c r="B323" s="11" t="s">
        <v>553</v>
      </c>
      <c r="C323" s="11" t="s">
        <v>551</v>
      </c>
      <c r="D323" s="11" t="s">
        <v>201</v>
      </c>
      <c r="E323" s="11" t="s">
        <v>34</v>
      </c>
      <c r="F323" s="11" t="s">
        <v>35</v>
      </c>
      <c r="G323" s="9" t="s">
        <v>41</v>
      </c>
      <c r="H323" s="13">
        <v>1</v>
      </c>
      <c r="I323" s="13">
        <v>1</v>
      </c>
      <c r="J323" s="16">
        <v>9500.0</v>
      </c>
      <c r="K323" s="16"/>
      <c r="L323" s="18">
        <f>IF(J323&gt;0, K323/J323, 0)</f>
        <v>0</v>
      </c>
      <c r="M323" s="16">
        <v>9500.0</v>
      </c>
      <c r="N323" s="16"/>
      <c r="O323" s="16">
        <f>M323-N323</f>
        <v>9500</v>
      </c>
      <c r="P323" s="11" t="s">
        <v>42</v>
      </c>
      <c r="Q323" s="11" t="s">
        <v>43</v>
      </c>
      <c r="R323" s="11" t="s">
        <v>44</v>
      </c>
      <c r="S323" s="9" t="s">
        <v>2081</v>
      </c>
      <c r="T323" s="9" t="s">
        <v>44</v>
      </c>
    </row>
    <row r="324" spans="1:20">
      <c r="A324" s="10">
        <v>317</v>
      </c>
      <c r="B324" s="10" t="s">
        <v>554</v>
      </c>
      <c r="C324" s="10" t="s">
        <v>551</v>
      </c>
      <c r="D324" s="10" t="s">
        <v>201</v>
      </c>
      <c r="E324" s="10" t="s">
        <v>34</v>
      </c>
      <c r="F324" s="10" t="s">
        <v>35</v>
      </c>
      <c r="G324" s="8" t="s">
        <v>41</v>
      </c>
      <c r="H324" s="12">
        <v>1</v>
      </c>
      <c r="I324" s="12">
        <v>1</v>
      </c>
      <c r="J324" s="15">
        <v>16500.0</v>
      </c>
      <c r="K324" s="15"/>
      <c r="L324" s="17">
        <f>IF(J324&gt;0, K324/J324, 0)</f>
        <v>0</v>
      </c>
      <c r="M324" s="15">
        <v>16500.0</v>
      </c>
      <c r="N324" s="15"/>
      <c r="O324" s="15">
        <f>M324-N324</f>
        <v>16500</v>
      </c>
      <c r="P324" s="10" t="s">
        <v>42</v>
      </c>
      <c r="Q324" s="10" t="s">
        <v>43</v>
      </c>
      <c r="R324" s="10" t="s">
        <v>44</v>
      </c>
      <c r="S324" s="8" t="s">
        <v>2064</v>
      </c>
      <c r="T324" s="8" t="s">
        <v>44</v>
      </c>
    </row>
    <row r="325" spans="1:20">
      <c r="A325" s="11">
        <v>318</v>
      </c>
      <c r="B325" s="11" t="s">
        <v>555</v>
      </c>
      <c r="C325" s="11" t="s">
        <v>551</v>
      </c>
      <c r="D325" s="11" t="s">
        <v>201</v>
      </c>
      <c r="E325" s="11" t="s">
        <v>34</v>
      </c>
      <c r="F325" s="11" t="s">
        <v>35</v>
      </c>
      <c r="G325" s="9" t="s">
        <v>41</v>
      </c>
      <c r="H325" s="13">
        <v>1</v>
      </c>
      <c r="I325" s="13">
        <v>1</v>
      </c>
      <c r="J325" s="16">
        <v>18000.0</v>
      </c>
      <c r="K325" s="16"/>
      <c r="L325" s="18">
        <f>IF(J325&gt;0, K325/J325, 0)</f>
        <v>0</v>
      </c>
      <c r="M325" s="16">
        <v>18000.0</v>
      </c>
      <c r="N325" s="16"/>
      <c r="O325" s="16">
        <f>M325-N325</f>
        <v>18000</v>
      </c>
      <c r="P325" s="11" t="s">
        <v>42</v>
      </c>
      <c r="Q325" s="11" t="s">
        <v>43</v>
      </c>
      <c r="R325" s="11" t="s">
        <v>44</v>
      </c>
      <c r="S325" s="9" t="s">
        <v>2065</v>
      </c>
      <c r="T325" s="9" t="s">
        <v>44</v>
      </c>
    </row>
    <row r="326" spans="1:20">
      <c r="A326" s="10">
        <v>319</v>
      </c>
      <c r="B326" s="10" t="s">
        <v>556</v>
      </c>
      <c r="C326" s="10" t="s">
        <v>551</v>
      </c>
      <c r="D326" s="10" t="s">
        <v>201</v>
      </c>
      <c r="E326" s="10" t="s">
        <v>70</v>
      </c>
      <c r="F326" s="10" t="s">
        <v>35</v>
      </c>
      <c r="G326" s="8" t="s">
        <v>41</v>
      </c>
      <c r="H326" s="12">
        <v>1</v>
      </c>
      <c r="I326" s="12">
        <v>1</v>
      </c>
      <c r="J326" s="15">
        <v>8000.0</v>
      </c>
      <c r="K326" s="15"/>
      <c r="L326" s="17">
        <f>IF(J326&gt;0, K326/J326, 0)</f>
        <v>0</v>
      </c>
      <c r="M326" s="15">
        <v>8000.0</v>
      </c>
      <c r="N326" s="15"/>
      <c r="O326" s="15">
        <f>M326-N326</f>
        <v>8000</v>
      </c>
      <c r="P326" s="10" t="s">
        <v>42</v>
      </c>
      <c r="Q326" s="10" t="s">
        <v>73</v>
      </c>
      <c r="R326" s="10" t="s">
        <v>44</v>
      </c>
      <c r="S326" s="8" t="s">
        <v>2029</v>
      </c>
      <c r="T326" s="8" t="s">
        <v>44</v>
      </c>
    </row>
    <row r="327" spans="1:20">
      <c r="A327" s="11">
        <v>320</v>
      </c>
      <c r="B327" s="11" t="s">
        <v>557</v>
      </c>
      <c r="C327" s="11" t="s">
        <v>551</v>
      </c>
      <c r="D327" s="11" t="s">
        <v>201</v>
      </c>
      <c r="E327" s="11" t="s">
        <v>70</v>
      </c>
      <c r="F327" s="11" t="s">
        <v>35</v>
      </c>
      <c r="G327" s="9" t="s">
        <v>41</v>
      </c>
      <c r="H327" s="13">
        <v>1</v>
      </c>
      <c r="I327" s="13">
        <v>1</v>
      </c>
      <c r="J327" s="16">
        <v>9000.0</v>
      </c>
      <c r="K327" s="16"/>
      <c r="L327" s="18">
        <f>IF(J327&gt;0, K327/J327, 0)</f>
        <v>0</v>
      </c>
      <c r="M327" s="16">
        <v>9000.0</v>
      </c>
      <c r="N327" s="16"/>
      <c r="O327" s="16">
        <f>M327-N327</f>
        <v>9000</v>
      </c>
      <c r="P327" s="11" t="s">
        <v>42</v>
      </c>
      <c r="Q327" s="11" t="s">
        <v>73</v>
      </c>
      <c r="R327" s="11" t="s">
        <v>44</v>
      </c>
      <c r="S327" s="9" t="s">
        <v>2030</v>
      </c>
      <c r="T327" s="9" t="s">
        <v>44</v>
      </c>
    </row>
    <row r="328" spans="1:20">
      <c r="A328" s="10">
        <v>321</v>
      </c>
      <c r="B328" s="10" t="s">
        <v>558</v>
      </c>
      <c r="C328" s="10" t="s">
        <v>551</v>
      </c>
      <c r="D328" s="10" t="s">
        <v>201</v>
      </c>
      <c r="E328" s="10" t="s">
        <v>34</v>
      </c>
      <c r="F328" s="10" t="s">
        <v>35</v>
      </c>
      <c r="G328" s="8" t="s">
        <v>41</v>
      </c>
      <c r="H328" s="12">
        <v>1</v>
      </c>
      <c r="I328" s="12">
        <v>2</v>
      </c>
      <c r="J328" s="15">
        <v>14000.0</v>
      </c>
      <c r="K328" s="15"/>
      <c r="L328" s="17">
        <f>IF(J328&gt;0, K328/J328, 0)</f>
        <v>0</v>
      </c>
      <c r="M328" s="15">
        <v>14000.0</v>
      </c>
      <c r="N328" s="15"/>
      <c r="O328" s="15">
        <f>M328-N328</f>
        <v>14000</v>
      </c>
      <c r="P328" s="10" t="s">
        <v>42</v>
      </c>
      <c r="Q328" s="10" t="s">
        <v>43</v>
      </c>
      <c r="R328" s="10" t="s">
        <v>44</v>
      </c>
      <c r="S328" s="8" t="s">
        <v>2048</v>
      </c>
      <c r="T328" s="8" t="s">
        <v>44</v>
      </c>
    </row>
    <row r="329" spans="1:20">
      <c r="A329" s="11">
        <v>322</v>
      </c>
      <c r="B329" s="11" t="s">
        <v>559</v>
      </c>
      <c r="C329" s="11" t="s">
        <v>551</v>
      </c>
      <c r="D329" s="11" t="s">
        <v>201</v>
      </c>
      <c r="E329" s="11" t="s">
        <v>34</v>
      </c>
      <c r="F329" s="11" t="s">
        <v>35</v>
      </c>
      <c r="G329" s="9" t="s">
        <v>41</v>
      </c>
      <c r="H329" s="13">
        <v>1</v>
      </c>
      <c r="I329" s="13">
        <v>1</v>
      </c>
      <c r="J329" s="16">
        <v>16000.0</v>
      </c>
      <c r="K329" s="16"/>
      <c r="L329" s="18">
        <f>IF(J329&gt;0, K329/J329, 0)</f>
        <v>0</v>
      </c>
      <c r="M329" s="16">
        <v>16000.0</v>
      </c>
      <c r="N329" s="16"/>
      <c r="O329" s="16">
        <f>M329-N329</f>
        <v>16000</v>
      </c>
      <c r="P329" s="11" t="s">
        <v>42</v>
      </c>
      <c r="Q329" s="11" t="s">
        <v>43</v>
      </c>
      <c r="R329" s="11" t="s">
        <v>44</v>
      </c>
      <c r="S329" s="9" t="s">
        <v>2040</v>
      </c>
      <c r="T329" s="9" t="s">
        <v>44</v>
      </c>
    </row>
    <row r="330" spans="1:20">
      <c r="A330" s="10">
        <v>323</v>
      </c>
      <c r="B330" s="10" t="s">
        <v>560</v>
      </c>
      <c r="C330" s="10" t="s">
        <v>551</v>
      </c>
      <c r="D330" s="10" t="s">
        <v>201</v>
      </c>
      <c r="E330" s="10" t="s">
        <v>34</v>
      </c>
      <c r="F330" s="10" t="s">
        <v>35</v>
      </c>
      <c r="G330" s="8" t="s">
        <v>41</v>
      </c>
      <c r="H330" s="12">
        <v>1</v>
      </c>
      <c r="I330" s="12">
        <v>1</v>
      </c>
      <c r="J330" s="15">
        <v>18000.0</v>
      </c>
      <c r="K330" s="15"/>
      <c r="L330" s="17">
        <f>IF(J330&gt;0, K330/J330, 0)</f>
        <v>0</v>
      </c>
      <c r="M330" s="15">
        <v>18000.0</v>
      </c>
      <c r="N330" s="15"/>
      <c r="O330" s="15">
        <f>M330-N330</f>
        <v>18000</v>
      </c>
      <c r="P330" s="10" t="s">
        <v>42</v>
      </c>
      <c r="Q330" s="10" t="s">
        <v>43</v>
      </c>
      <c r="R330" s="10" t="s">
        <v>44</v>
      </c>
      <c r="S330" s="8" t="s">
        <v>2135</v>
      </c>
      <c r="T330" s="8" t="s">
        <v>44</v>
      </c>
    </row>
    <row r="331" spans="1:20">
      <c r="A331" s="11">
        <v>324</v>
      </c>
      <c r="B331" s="11" t="s">
        <v>562</v>
      </c>
      <c r="C331" s="11" t="s">
        <v>563</v>
      </c>
      <c r="D331" s="11" t="s">
        <v>201</v>
      </c>
      <c r="E331" s="11" t="s">
        <v>70</v>
      </c>
      <c r="F331" s="11" t="s">
        <v>35</v>
      </c>
      <c r="G331" s="9" t="s">
        <v>41</v>
      </c>
      <c r="H331" s="13">
        <v>1</v>
      </c>
      <c r="I331" s="13">
        <v>1</v>
      </c>
      <c r="J331" s="16">
        <v>9000.0</v>
      </c>
      <c r="K331" s="16"/>
      <c r="L331" s="18">
        <f>IF(J331&gt;0, K331/J331, 0)</f>
        <v>0</v>
      </c>
      <c r="M331" s="16">
        <v>9000.0</v>
      </c>
      <c r="N331" s="16"/>
      <c r="O331" s="16">
        <f>M331-N331</f>
        <v>9000</v>
      </c>
      <c r="P331" s="11" t="s">
        <v>42</v>
      </c>
      <c r="Q331" s="11" t="s">
        <v>73</v>
      </c>
      <c r="R331" s="11" t="s">
        <v>44</v>
      </c>
      <c r="S331" s="9" t="s">
        <v>2100</v>
      </c>
      <c r="T331" s="9" t="s">
        <v>44</v>
      </c>
    </row>
    <row r="332" spans="1:20">
      <c r="A332" s="10">
        <v>325</v>
      </c>
      <c r="B332" s="10" t="s">
        <v>564</v>
      </c>
      <c r="C332" s="10" t="s">
        <v>563</v>
      </c>
      <c r="D332" s="10" t="s">
        <v>201</v>
      </c>
      <c r="E332" s="10" t="s">
        <v>70</v>
      </c>
      <c r="F332" s="10" t="s">
        <v>35</v>
      </c>
      <c r="G332" s="8" t="s">
        <v>41</v>
      </c>
      <c r="H332" s="12">
        <v>1</v>
      </c>
      <c r="I332" s="12">
        <v>1</v>
      </c>
      <c r="J332" s="15">
        <v>18000.0</v>
      </c>
      <c r="K332" s="15"/>
      <c r="L332" s="17">
        <f>IF(J332&gt;0, K332/J332, 0)</f>
        <v>0</v>
      </c>
      <c r="M332" s="15">
        <v>18000.0</v>
      </c>
      <c r="N332" s="15"/>
      <c r="O332" s="15">
        <f>M332-N332</f>
        <v>18000</v>
      </c>
      <c r="P332" s="10" t="s">
        <v>42</v>
      </c>
      <c r="Q332" s="10" t="s">
        <v>73</v>
      </c>
      <c r="R332" s="10" t="s">
        <v>44</v>
      </c>
      <c r="S332" s="8" t="s">
        <v>2039</v>
      </c>
      <c r="T332" s="8" t="s">
        <v>44</v>
      </c>
    </row>
    <row r="333" spans="1:20">
      <c r="A333" s="11">
        <v>326</v>
      </c>
      <c r="B333" s="11" t="s">
        <v>565</v>
      </c>
      <c r="C333" s="11" t="s">
        <v>563</v>
      </c>
      <c r="D333" s="11" t="s">
        <v>201</v>
      </c>
      <c r="E333" s="11" t="s">
        <v>70</v>
      </c>
      <c r="F333" s="11" t="s">
        <v>35</v>
      </c>
      <c r="G333" s="9" t="s">
        <v>41</v>
      </c>
      <c r="H333" s="13">
        <v>1</v>
      </c>
      <c r="I333" s="13">
        <v>1</v>
      </c>
      <c r="J333" s="16">
        <v>10000.0</v>
      </c>
      <c r="K333" s="16"/>
      <c r="L333" s="18">
        <f>IF(J333&gt;0, K333/J333, 0)</f>
        <v>0</v>
      </c>
      <c r="M333" s="16">
        <v>10000.0</v>
      </c>
      <c r="N333" s="16"/>
      <c r="O333" s="16">
        <f>M333-N333</f>
        <v>10000</v>
      </c>
      <c r="P333" s="11" t="s">
        <v>42</v>
      </c>
      <c r="Q333" s="11" t="s">
        <v>73</v>
      </c>
      <c r="R333" s="11" t="s">
        <v>44</v>
      </c>
      <c r="S333" s="9" t="s">
        <v>2020</v>
      </c>
      <c r="T333" s="9" t="s">
        <v>44</v>
      </c>
    </row>
    <row r="334" spans="1:20">
      <c r="A334" s="10">
        <v>327</v>
      </c>
      <c r="B334" s="10" t="s">
        <v>566</v>
      </c>
      <c r="C334" s="10" t="s">
        <v>563</v>
      </c>
      <c r="D334" s="10" t="s">
        <v>201</v>
      </c>
      <c r="E334" s="10" t="s">
        <v>34</v>
      </c>
      <c r="F334" s="10" t="s">
        <v>35</v>
      </c>
      <c r="G334" s="8" t="s">
        <v>41</v>
      </c>
      <c r="H334" s="12">
        <v>1</v>
      </c>
      <c r="I334" s="12">
        <v>1</v>
      </c>
      <c r="J334" s="15">
        <v>8500.0</v>
      </c>
      <c r="K334" s="15"/>
      <c r="L334" s="17">
        <f>IF(J334&gt;0, K334/J334, 0)</f>
        <v>0</v>
      </c>
      <c r="M334" s="15">
        <v>8500.0</v>
      </c>
      <c r="N334" s="15"/>
      <c r="O334" s="15">
        <f>M334-N334</f>
        <v>8500</v>
      </c>
      <c r="P334" s="10" t="s">
        <v>42</v>
      </c>
      <c r="Q334" s="10" t="s">
        <v>43</v>
      </c>
      <c r="R334" s="10" t="s">
        <v>44</v>
      </c>
      <c r="S334" s="8" t="s">
        <v>2045</v>
      </c>
      <c r="T334" s="8" t="s">
        <v>44</v>
      </c>
    </row>
    <row r="335" spans="1:20">
      <c r="A335" s="11">
        <v>328</v>
      </c>
      <c r="B335" s="11" t="s">
        <v>567</v>
      </c>
      <c r="C335" s="11" t="s">
        <v>563</v>
      </c>
      <c r="D335" s="11" t="s">
        <v>201</v>
      </c>
      <c r="E335" s="11" t="s">
        <v>34</v>
      </c>
      <c r="F335" s="11" t="s">
        <v>35</v>
      </c>
      <c r="G335" s="9" t="s">
        <v>41</v>
      </c>
      <c r="H335" s="13">
        <v>1</v>
      </c>
      <c r="I335" s="13">
        <v>1</v>
      </c>
      <c r="J335" s="16">
        <v>8000.0</v>
      </c>
      <c r="K335" s="16"/>
      <c r="L335" s="18">
        <f>IF(J335&gt;0, K335/J335, 0)</f>
        <v>0</v>
      </c>
      <c r="M335" s="16">
        <v>8000.0</v>
      </c>
      <c r="N335" s="16"/>
      <c r="O335" s="16">
        <f>M335-N335</f>
        <v>8000</v>
      </c>
      <c r="P335" s="11" t="s">
        <v>42</v>
      </c>
      <c r="Q335" s="11" t="s">
        <v>43</v>
      </c>
      <c r="R335" s="11" t="s">
        <v>44</v>
      </c>
      <c r="S335" s="9" t="s">
        <v>2068</v>
      </c>
      <c r="T335" s="9" t="s">
        <v>44</v>
      </c>
    </row>
    <row r="336" spans="1:20">
      <c r="A336" s="10">
        <v>329</v>
      </c>
      <c r="B336" s="10" t="s">
        <v>568</v>
      </c>
      <c r="C336" s="10" t="s">
        <v>563</v>
      </c>
      <c r="D336" s="10" t="s">
        <v>201</v>
      </c>
      <c r="E336" s="10" t="s">
        <v>34</v>
      </c>
      <c r="F336" s="10" t="s">
        <v>35</v>
      </c>
      <c r="G336" s="8" t="s">
        <v>41</v>
      </c>
      <c r="H336" s="12">
        <v>1</v>
      </c>
      <c r="I336" s="12">
        <v>1</v>
      </c>
      <c r="J336" s="15">
        <v>18000.0</v>
      </c>
      <c r="K336" s="15"/>
      <c r="L336" s="17">
        <f>IF(J336&gt;0, K336/J336, 0)</f>
        <v>0</v>
      </c>
      <c r="M336" s="15">
        <v>18000.0</v>
      </c>
      <c r="N336" s="15"/>
      <c r="O336" s="15">
        <f>M336-N336</f>
        <v>18000</v>
      </c>
      <c r="P336" s="10" t="s">
        <v>42</v>
      </c>
      <c r="Q336" s="10" t="s">
        <v>43</v>
      </c>
      <c r="R336" s="10" t="s">
        <v>44</v>
      </c>
      <c r="S336" s="8" t="s">
        <v>2114</v>
      </c>
      <c r="T336" s="8" t="s">
        <v>44</v>
      </c>
    </row>
    <row r="337" spans="1:20">
      <c r="A337" s="11">
        <v>330</v>
      </c>
      <c r="B337" s="11" t="s">
        <v>569</v>
      </c>
      <c r="C337" s="11" t="s">
        <v>563</v>
      </c>
      <c r="D337" s="11" t="s">
        <v>201</v>
      </c>
      <c r="E337" s="11" t="s">
        <v>34</v>
      </c>
      <c r="F337" s="11" t="s">
        <v>35</v>
      </c>
      <c r="G337" s="9" t="s">
        <v>41</v>
      </c>
      <c r="H337" s="13">
        <v>1</v>
      </c>
      <c r="I337" s="13">
        <v>1</v>
      </c>
      <c r="J337" s="16">
        <v>5000.0</v>
      </c>
      <c r="K337" s="16"/>
      <c r="L337" s="18">
        <f>IF(J337&gt;0, K337/J337, 0)</f>
        <v>0</v>
      </c>
      <c r="M337" s="16">
        <v>5000.0</v>
      </c>
      <c r="N337" s="16"/>
      <c r="O337" s="16">
        <f>M337-N337</f>
        <v>5000</v>
      </c>
      <c r="P337" s="11" t="s">
        <v>42</v>
      </c>
      <c r="Q337" s="11" t="s">
        <v>43</v>
      </c>
      <c r="R337" s="11" t="s">
        <v>44</v>
      </c>
      <c r="S337" s="9" t="s">
        <v>2136</v>
      </c>
      <c r="T337" s="9" t="s">
        <v>44</v>
      </c>
    </row>
    <row r="338" spans="1:20">
      <c r="A338" s="10">
        <v>331</v>
      </c>
      <c r="B338" s="10" t="s">
        <v>572</v>
      </c>
      <c r="C338" s="10" t="s">
        <v>563</v>
      </c>
      <c r="D338" s="10" t="s">
        <v>201</v>
      </c>
      <c r="E338" s="10" t="s">
        <v>70</v>
      </c>
      <c r="F338" s="10" t="s">
        <v>35</v>
      </c>
      <c r="G338" s="8" t="s">
        <v>41</v>
      </c>
      <c r="H338" s="12">
        <v>1</v>
      </c>
      <c r="I338" s="12">
        <v>1</v>
      </c>
      <c r="J338" s="15">
        <v>10000.0</v>
      </c>
      <c r="K338" s="15"/>
      <c r="L338" s="17">
        <f>IF(J338&gt;0, K338/J338, 0)</f>
        <v>0</v>
      </c>
      <c r="M338" s="15">
        <v>10000.0</v>
      </c>
      <c r="N338" s="15"/>
      <c r="O338" s="15">
        <f>M338-N338</f>
        <v>10000</v>
      </c>
      <c r="P338" s="10" t="s">
        <v>42</v>
      </c>
      <c r="Q338" s="10" t="s">
        <v>73</v>
      </c>
      <c r="R338" s="10" t="s">
        <v>44</v>
      </c>
      <c r="S338" s="8" t="s">
        <v>2137</v>
      </c>
      <c r="T338" s="8" t="s">
        <v>44</v>
      </c>
    </row>
    <row r="339" spans="1:20">
      <c r="A339" s="11">
        <v>332</v>
      </c>
      <c r="B339" s="11" t="s">
        <v>574</v>
      </c>
      <c r="C339" s="11" t="s">
        <v>563</v>
      </c>
      <c r="D339" s="11" t="s">
        <v>201</v>
      </c>
      <c r="E339" s="11" t="s">
        <v>70</v>
      </c>
      <c r="F339" s="11" t="s">
        <v>35</v>
      </c>
      <c r="G339" s="9" t="s">
        <v>41</v>
      </c>
      <c r="H339" s="13">
        <v>1</v>
      </c>
      <c r="I339" s="13">
        <v>1</v>
      </c>
      <c r="J339" s="16">
        <v>10000.0</v>
      </c>
      <c r="K339" s="16"/>
      <c r="L339" s="18">
        <f>IF(J339&gt;0, K339/J339, 0)</f>
        <v>0</v>
      </c>
      <c r="M339" s="16">
        <v>10000.0</v>
      </c>
      <c r="N339" s="16"/>
      <c r="O339" s="16">
        <f>M339-N339</f>
        <v>10000</v>
      </c>
      <c r="P339" s="11" t="s">
        <v>42</v>
      </c>
      <c r="Q339" s="11" t="s">
        <v>73</v>
      </c>
      <c r="R339" s="11" t="s">
        <v>44</v>
      </c>
      <c r="S339" s="9" t="s">
        <v>2084</v>
      </c>
      <c r="T339" s="9" t="s">
        <v>44</v>
      </c>
    </row>
    <row r="340" spans="1:20">
      <c r="A340" s="10">
        <v>333</v>
      </c>
      <c r="B340" s="10" t="s">
        <v>575</v>
      </c>
      <c r="C340" s="10" t="s">
        <v>563</v>
      </c>
      <c r="D340" s="10" t="s">
        <v>201</v>
      </c>
      <c r="E340" s="10" t="s">
        <v>70</v>
      </c>
      <c r="F340" s="10" t="s">
        <v>35</v>
      </c>
      <c r="G340" s="8" t="s">
        <v>41</v>
      </c>
      <c r="H340" s="12">
        <v>1</v>
      </c>
      <c r="I340" s="12">
        <v>1</v>
      </c>
      <c r="J340" s="15">
        <v>8000.0</v>
      </c>
      <c r="K340" s="15"/>
      <c r="L340" s="17">
        <f>IF(J340&gt;0, K340/J340, 0)</f>
        <v>0</v>
      </c>
      <c r="M340" s="15">
        <v>8000.0</v>
      </c>
      <c r="N340" s="15"/>
      <c r="O340" s="15">
        <f>M340-N340</f>
        <v>8000</v>
      </c>
      <c r="P340" s="10" t="s">
        <v>42</v>
      </c>
      <c r="Q340" s="10" t="s">
        <v>73</v>
      </c>
      <c r="R340" s="10" t="s">
        <v>44</v>
      </c>
      <c r="S340" s="8" t="s">
        <v>2138</v>
      </c>
      <c r="T340" s="8" t="s">
        <v>44</v>
      </c>
    </row>
    <row r="341" spans="1:20">
      <c r="A341" s="11">
        <v>334</v>
      </c>
      <c r="B341" s="11" t="s">
        <v>576</v>
      </c>
      <c r="C341" s="11" t="s">
        <v>563</v>
      </c>
      <c r="D341" s="11" t="s">
        <v>201</v>
      </c>
      <c r="E341" s="11" t="s">
        <v>34</v>
      </c>
      <c r="F341" s="11" t="s">
        <v>35</v>
      </c>
      <c r="G341" s="9" t="s">
        <v>41</v>
      </c>
      <c r="H341" s="13">
        <v>1</v>
      </c>
      <c r="I341" s="13">
        <v>1</v>
      </c>
      <c r="J341" s="16">
        <v>16000.0</v>
      </c>
      <c r="K341" s="16"/>
      <c r="L341" s="18">
        <f>IF(J341&gt;0, K341/J341, 0)</f>
        <v>0</v>
      </c>
      <c r="M341" s="16">
        <v>16000.0</v>
      </c>
      <c r="N341" s="16"/>
      <c r="O341" s="16">
        <f>M341-N341</f>
        <v>16000</v>
      </c>
      <c r="P341" s="11" t="s">
        <v>42</v>
      </c>
      <c r="Q341" s="11" t="s">
        <v>43</v>
      </c>
      <c r="R341" s="11" t="s">
        <v>44</v>
      </c>
      <c r="S341" s="9" t="s">
        <v>2078</v>
      </c>
      <c r="T341" s="9" t="s">
        <v>44</v>
      </c>
    </row>
    <row r="342" spans="1:20">
      <c r="A342" s="10">
        <v>335</v>
      </c>
      <c r="B342" s="10" t="s">
        <v>577</v>
      </c>
      <c r="C342" s="10" t="s">
        <v>563</v>
      </c>
      <c r="D342" s="10" t="s">
        <v>201</v>
      </c>
      <c r="E342" s="10" t="s">
        <v>34</v>
      </c>
      <c r="F342" s="10" t="s">
        <v>35</v>
      </c>
      <c r="G342" s="8" t="s">
        <v>41</v>
      </c>
      <c r="H342" s="12">
        <v>1</v>
      </c>
      <c r="I342" s="12">
        <v>1</v>
      </c>
      <c r="J342" s="15">
        <v>8000.0</v>
      </c>
      <c r="K342" s="15"/>
      <c r="L342" s="17">
        <f>IF(J342&gt;0, K342/J342, 0)</f>
        <v>0</v>
      </c>
      <c r="M342" s="15">
        <v>8000.0</v>
      </c>
      <c r="N342" s="15"/>
      <c r="O342" s="15">
        <f>M342-N342</f>
        <v>8000</v>
      </c>
      <c r="P342" s="10" t="s">
        <v>42</v>
      </c>
      <c r="Q342" s="10" t="s">
        <v>43</v>
      </c>
      <c r="R342" s="10" t="s">
        <v>44</v>
      </c>
      <c r="S342" s="8" t="s">
        <v>2111</v>
      </c>
      <c r="T342" s="8" t="s">
        <v>44</v>
      </c>
    </row>
    <row r="343" spans="1:20">
      <c r="A343" s="11">
        <v>336</v>
      </c>
      <c r="B343" s="11" t="s">
        <v>578</v>
      </c>
      <c r="C343" s="11" t="s">
        <v>563</v>
      </c>
      <c r="D343" s="11" t="s">
        <v>201</v>
      </c>
      <c r="E343" s="11" t="s">
        <v>34</v>
      </c>
      <c r="F343" s="11" t="s">
        <v>35</v>
      </c>
      <c r="G343" s="9" t="s">
        <v>41</v>
      </c>
      <c r="H343" s="13">
        <v>1</v>
      </c>
      <c r="I343" s="13">
        <v>1</v>
      </c>
      <c r="J343" s="16">
        <v>7000.0</v>
      </c>
      <c r="K343" s="16"/>
      <c r="L343" s="18">
        <f>IF(J343&gt;0, K343/J343, 0)</f>
        <v>0</v>
      </c>
      <c r="M343" s="16">
        <v>7000.0</v>
      </c>
      <c r="N343" s="16"/>
      <c r="O343" s="16">
        <f>M343-N343</f>
        <v>7000</v>
      </c>
      <c r="P343" s="11" t="s">
        <v>42</v>
      </c>
      <c r="Q343" s="11" t="s">
        <v>43</v>
      </c>
      <c r="R343" s="11" t="s">
        <v>44</v>
      </c>
      <c r="S343" s="9" t="s">
        <v>2077</v>
      </c>
      <c r="T343" s="9" t="s">
        <v>44</v>
      </c>
    </row>
    <row r="344" spans="1:20">
      <c r="A344" s="10">
        <v>337</v>
      </c>
      <c r="B344" s="10" t="s">
        <v>579</v>
      </c>
      <c r="C344" s="10" t="s">
        <v>563</v>
      </c>
      <c r="D344" s="10" t="s">
        <v>201</v>
      </c>
      <c r="E344" s="10" t="s">
        <v>70</v>
      </c>
      <c r="F344" s="10" t="s">
        <v>35</v>
      </c>
      <c r="G344" s="8" t="s">
        <v>41</v>
      </c>
      <c r="H344" s="12">
        <v>1</v>
      </c>
      <c r="I344" s="12">
        <v>1</v>
      </c>
      <c r="J344" s="15">
        <v>8000.0</v>
      </c>
      <c r="K344" s="15"/>
      <c r="L344" s="17">
        <f>IF(J344&gt;0, K344/J344, 0)</f>
        <v>0</v>
      </c>
      <c r="M344" s="15">
        <v>8000.0</v>
      </c>
      <c r="N344" s="15"/>
      <c r="O344" s="15">
        <f>M344-N344</f>
        <v>8000</v>
      </c>
      <c r="P344" s="10" t="s">
        <v>42</v>
      </c>
      <c r="Q344" s="10" t="s">
        <v>73</v>
      </c>
      <c r="R344" s="10" t="s">
        <v>44</v>
      </c>
      <c r="S344" s="8" t="s">
        <v>2139</v>
      </c>
      <c r="T344" s="8" t="s">
        <v>44</v>
      </c>
    </row>
    <row r="345" spans="1:20">
      <c r="A345" s="11">
        <v>338</v>
      </c>
      <c r="B345" s="11" t="s">
        <v>581</v>
      </c>
      <c r="C345" s="11" t="s">
        <v>563</v>
      </c>
      <c r="D345" s="11" t="s">
        <v>201</v>
      </c>
      <c r="E345" s="11" t="s">
        <v>34</v>
      </c>
      <c r="F345" s="11" t="s">
        <v>35</v>
      </c>
      <c r="G345" s="9" t="s">
        <v>41</v>
      </c>
      <c r="H345" s="13">
        <v>1</v>
      </c>
      <c r="I345" s="13">
        <v>1</v>
      </c>
      <c r="J345" s="16">
        <v>16000.0</v>
      </c>
      <c r="K345" s="16"/>
      <c r="L345" s="18">
        <f>IF(J345&gt;0, K345/J345, 0)</f>
        <v>0</v>
      </c>
      <c r="M345" s="16">
        <v>16000.0</v>
      </c>
      <c r="N345" s="16"/>
      <c r="O345" s="16">
        <f>M345-N345</f>
        <v>16000</v>
      </c>
      <c r="P345" s="11" t="s">
        <v>42</v>
      </c>
      <c r="Q345" s="11" t="s">
        <v>43</v>
      </c>
      <c r="R345" s="11" t="s">
        <v>44</v>
      </c>
      <c r="S345" s="9" t="s">
        <v>2078</v>
      </c>
      <c r="T345" s="9" t="s">
        <v>44</v>
      </c>
    </row>
    <row r="346" spans="1:20">
      <c r="A346" s="10">
        <v>339</v>
      </c>
      <c r="B346" s="10" t="s">
        <v>582</v>
      </c>
      <c r="C346" s="10" t="s">
        <v>563</v>
      </c>
      <c r="D346" s="10" t="s">
        <v>201</v>
      </c>
      <c r="E346" s="10" t="s">
        <v>34</v>
      </c>
      <c r="F346" s="10" t="s">
        <v>35</v>
      </c>
      <c r="G346" s="8" t="s">
        <v>41</v>
      </c>
      <c r="H346" s="12">
        <v>1</v>
      </c>
      <c r="I346" s="12">
        <v>1</v>
      </c>
      <c r="J346" s="15">
        <v>8000.0</v>
      </c>
      <c r="K346" s="15"/>
      <c r="L346" s="17">
        <f>IF(J346&gt;0, K346/J346, 0)</f>
        <v>0</v>
      </c>
      <c r="M346" s="15">
        <v>8000.0</v>
      </c>
      <c r="N346" s="15"/>
      <c r="O346" s="15">
        <f>M346-N346</f>
        <v>8000</v>
      </c>
      <c r="P346" s="10" t="s">
        <v>42</v>
      </c>
      <c r="Q346" s="10" t="s">
        <v>43</v>
      </c>
      <c r="R346" s="10" t="s">
        <v>44</v>
      </c>
      <c r="S346" s="8" t="s">
        <v>2111</v>
      </c>
      <c r="T346" s="8" t="s">
        <v>44</v>
      </c>
    </row>
    <row r="347" spans="1:20">
      <c r="A347" s="11">
        <v>340</v>
      </c>
      <c r="B347" s="11" t="s">
        <v>583</v>
      </c>
      <c r="C347" s="11" t="s">
        <v>563</v>
      </c>
      <c r="D347" s="11" t="s">
        <v>201</v>
      </c>
      <c r="E347" s="11" t="s">
        <v>34</v>
      </c>
      <c r="F347" s="11" t="s">
        <v>35</v>
      </c>
      <c r="G347" s="9" t="s">
        <v>41</v>
      </c>
      <c r="H347" s="13">
        <v>1</v>
      </c>
      <c r="I347" s="13">
        <v>1</v>
      </c>
      <c r="J347" s="16">
        <v>8000.0</v>
      </c>
      <c r="K347" s="16"/>
      <c r="L347" s="18">
        <f>IF(J347&gt;0, K347/J347, 0)</f>
        <v>0</v>
      </c>
      <c r="M347" s="16">
        <v>8000.0</v>
      </c>
      <c r="N347" s="16"/>
      <c r="O347" s="16">
        <f>M347-N347</f>
        <v>8000</v>
      </c>
      <c r="P347" s="11" t="s">
        <v>42</v>
      </c>
      <c r="Q347" s="11" t="s">
        <v>43</v>
      </c>
      <c r="R347" s="11" t="s">
        <v>44</v>
      </c>
      <c r="S347" s="9" t="s">
        <v>2106</v>
      </c>
      <c r="T347" s="9" t="s">
        <v>44</v>
      </c>
    </row>
    <row r="348" spans="1:20">
      <c r="A348" s="10">
        <v>341</v>
      </c>
      <c r="B348" s="10" t="s">
        <v>584</v>
      </c>
      <c r="C348" s="10" t="s">
        <v>563</v>
      </c>
      <c r="D348" s="10" t="s">
        <v>201</v>
      </c>
      <c r="E348" s="10" t="s">
        <v>34</v>
      </c>
      <c r="F348" s="10" t="s">
        <v>35</v>
      </c>
      <c r="G348" s="8" t="s">
        <v>41</v>
      </c>
      <c r="H348" s="12">
        <v>1</v>
      </c>
      <c r="I348" s="12">
        <v>2</v>
      </c>
      <c r="J348" s="15">
        <v>14000.0</v>
      </c>
      <c r="K348" s="15"/>
      <c r="L348" s="17">
        <f>IF(J348&gt;0, K348/J348, 0)</f>
        <v>0</v>
      </c>
      <c r="M348" s="15">
        <v>14000.0</v>
      </c>
      <c r="N348" s="15"/>
      <c r="O348" s="15">
        <f>M348-N348</f>
        <v>14000</v>
      </c>
      <c r="P348" s="10" t="s">
        <v>42</v>
      </c>
      <c r="Q348" s="10" t="s">
        <v>43</v>
      </c>
      <c r="R348" s="10" t="s">
        <v>44</v>
      </c>
      <c r="S348" s="8" t="s">
        <v>2140</v>
      </c>
      <c r="T348" s="8" t="s">
        <v>44</v>
      </c>
    </row>
    <row r="349" spans="1:20">
      <c r="A349" s="11">
        <v>342</v>
      </c>
      <c r="B349" s="11" t="s">
        <v>585</v>
      </c>
      <c r="C349" s="11" t="s">
        <v>563</v>
      </c>
      <c r="D349" s="11" t="s">
        <v>201</v>
      </c>
      <c r="E349" s="11" t="s">
        <v>70</v>
      </c>
      <c r="F349" s="11" t="s">
        <v>35</v>
      </c>
      <c r="G349" s="9" t="s">
        <v>41</v>
      </c>
      <c r="H349" s="13">
        <v>1</v>
      </c>
      <c r="I349" s="13">
        <v>1</v>
      </c>
      <c r="J349" s="16">
        <v>10000.0</v>
      </c>
      <c r="K349" s="16"/>
      <c r="L349" s="18">
        <f>IF(J349&gt;0, K349/J349, 0)</f>
        <v>0</v>
      </c>
      <c r="M349" s="16">
        <v>10000.0</v>
      </c>
      <c r="N349" s="16"/>
      <c r="O349" s="16">
        <f>M349-N349</f>
        <v>10000</v>
      </c>
      <c r="P349" s="11" t="s">
        <v>42</v>
      </c>
      <c r="Q349" s="11" t="s">
        <v>73</v>
      </c>
      <c r="R349" s="11" t="s">
        <v>44</v>
      </c>
      <c r="S349" s="9" t="s">
        <v>2084</v>
      </c>
      <c r="T349" s="9" t="s">
        <v>44</v>
      </c>
    </row>
    <row r="350" spans="1:20">
      <c r="A350" s="10">
        <v>343</v>
      </c>
      <c r="B350" s="10" t="s">
        <v>586</v>
      </c>
      <c r="C350" s="10" t="s">
        <v>563</v>
      </c>
      <c r="D350" s="10" t="s">
        <v>201</v>
      </c>
      <c r="E350" s="10" t="s">
        <v>34</v>
      </c>
      <c r="F350" s="10" t="s">
        <v>35</v>
      </c>
      <c r="G350" s="8" t="s">
        <v>41</v>
      </c>
      <c r="H350" s="12">
        <v>1</v>
      </c>
      <c r="I350" s="12">
        <v>1</v>
      </c>
      <c r="J350" s="15">
        <v>8000.0</v>
      </c>
      <c r="K350" s="15"/>
      <c r="L350" s="17">
        <f>IF(J350&gt;0, K350/J350, 0)</f>
        <v>0</v>
      </c>
      <c r="M350" s="15">
        <v>8000.0</v>
      </c>
      <c r="N350" s="15"/>
      <c r="O350" s="15">
        <f>M350-N350</f>
        <v>8000</v>
      </c>
      <c r="P350" s="10" t="s">
        <v>42</v>
      </c>
      <c r="Q350" s="10" t="s">
        <v>43</v>
      </c>
      <c r="R350" s="10" t="s">
        <v>44</v>
      </c>
      <c r="S350" s="8" t="s">
        <v>2138</v>
      </c>
      <c r="T350" s="8" t="s">
        <v>44</v>
      </c>
    </row>
    <row r="351" spans="1:20">
      <c r="A351" s="11">
        <v>344</v>
      </c>
      <c r="B351" s="11" t="s">
        <v>587</v>
      </c>
      <c r="C351" s="11" t="s">
        <v>563</v>
      </c>
      <c r="D351" s="11" t="s">
        <v>201</v>
      </c>
      <c r="E351" s="11" t="s">
        <v>34</v>
      </c>
      <c r="F351" s="11" t="s">
        <v>35</v>
      </c>
      <c r="G351" s="9" t="s">
        <v>41</v>
      </c>
      <c r="H351" s="13">
        <v>1</v>
      </c>
      <c r="I351" s="13">
        <v>1</v>
      </c>
      <c r="J351" s="16">
        <v>16000.0</v>
      </c>
      <c r="K351" s="16"/>
      <c r="L351" s="18">
        <f>IF(J351&gt;0, K351/J351, 0)</f>
        <v>0</v>
      </c>
      <c r="M351" s="16">
        <v>16000.0</v>
      </c>
      <c r="N351" s="16"/>
      <c r="O351" s="16">
        <f>M351-N351</f>
        <v>16000</v>
      </c>
      <c r="P351" s="11" t="s">
        <v>42</v>
      </c>
      <c r="Q351" s="11" t="s">
        <v>43</v>
      </c>
      <c r="R351" s="11" t="s">
        <v>44</v>
      </c>
      <c r="S351" s="9" t="s">
        <v>2073</v>
      </c>
      <c r="T351" s="9" t="s">
        <v>44</v>
      </c>
    </row>
    <row r="352" spans="1:20">
      <c r="A352" s="10">
        <v>345</v>
      </c>
      <c r="B352" s="10" t="s">
        <v>588</v>
      </c>
      <c r="C352" s="10" t="s">
        <v>563</v>
      </c>
      <c r="D352" s="10" t="s">
        <v>201</v>
      </c>
      <c r="E352" s="10" t="s">
        <v>34</v>
      </c>
      <c r="F352" s="10" t="s">
        <v>35</v>
      </c>
      <c r="G352" s="8" t="s">
        <v>41</v>
      </c>
      <c r="H352" s="12">
        <v>1</v>
      </c>
      <c r="I352" s="12">
        <v>1</v>
      </c>
      <c r="J352" s="15">
        <v>8000.0</v>
      </c>
      <c r="K352" s="15"/>
      <c r="L352" s="17">
        <f>IF(J352&gt;0, K352/J352, 0)</f>
        <v>0</v>
      </c>
      <c r="M352" s="15">
        <v>8000.0</v>
      </c>
      <c r="N352" s="15"/>
      <c r="O352" s="15">
        <f>M352-N352</f>
        <v>8000</v>
      </c>
      <c r="P352" s="10" t="s">
        <v>42</v>
      </c>
      <c r="Q352" s="10" t="s">
        <v>43</v>
      </c>
      <c r="R352" s="10" t="s">
        <v>44</v>
      </c>
      <c r="S352" s="8" t="s">
        <v>2111</v>
      </c>
      <c r="T352" s="8" t="s">
        <v>44</v>
      </c>
    </row>
    <row r="353" spans="1:20">
      <c r="A353" s="11">
        <v>346</v>
      </c>
      <c r="B353" s="11" t="s">
        <v>589</v>
      </c>
      <c r="C353" s="11" t="s">
        <v>563</v>
      </c>
      <c r="D353" s="11" t="s">
        <v>201</v>
      </c>
      <c r="E353" s="11" t="s">
        <v>34</v>
      </c>
      <c r="F353" s="11" t="s">
        <v>35</v>
      </c>
      <c r="G353" s="9" t="s">
        <v>41</v>
      </c>
      <c r="H353" s="13">
        <v>1</v>
      </c>
      <c r="I353" s="13">
        <v>2</v>
      </c>
      <c r="J353" s="16">
        <v>14000.0</v>
      </c>
      <c r="K353" s="16"/>
      <c r="L353" s="18">
        <f>IF(J353&gt;0, K353/J353, 0)</f>
        <v>0</v>
      </c>
      <c r="M353" s="16">
        <v>14000.0</v>
      </c>
      <c r="N353" s="16"/>
      <c r="O353" s="16">
        <f>M353-N353</f>
        <v>14000</v>
      </c>
      <c r="P353" s="11" t="s">
        <v>42</v>
      </c>
      <c r="Q353" s="11" t="s">
        <v>43</v>
      </c>
      <c r="R353" s="11" t="s">
        <v>44</v>
      </c>
      <c r="S353" s="9" t="s">
        <v>2140</v>
      </c>
      <c r="T353" s="9" t="s">
        <v>44</v>
      </c>
    </row>
    <row r="354" spans="1:20">
      <c r="A354" s="10">
        <v>347</v>
      </c>
      <c r="B354" s="10" t="s">
        <v>590</v>
      </c>
      <c r="C354" s="10" t="s">
        <v>563</v>
      </c>
      <c r="D354" s="10" t="s">
        <v>201</v>
      </c>
      <c r="E354" s="10" t="s">
        <v>34</v>
      </c>
      <c r="F354" s="10" t="s">
        <v>35</v>
      </c>
      <c r="G354" s="8" t="s">
        <v>41</v>
      </c>
      <c r="H354" s="12">
        <v>1</v>
      </c>
      <c r="I354" s="12">
        <v>1</v>
      </c>
      <c r="J354" s="15">
        <v>8500.0</v>
      </c>
      <c r="K354" s="15"/>
      <c r="L354" s="17">
        <f>IF(J354&gt;0, K354/J354, 0)</f>
        <v>0</v>
      </c>
      <c r="M354" s="15">
        <v>8500.0</v>
      </c>
      <c r="N354" s="15"/>
      <c r="O354" s="15">
        <f>M354-N354</f>
        <v>8500</v>
      </c>
      <c r="P354" s="10" t="s">
        <v>42</v>
      </c>
      <c r="Q354" s="10" t="s">
        <v>43</v>
      </c>
      <c r="R354" s="10" t="s">
        <v>44</v>
      </c>
      <c r="S354" s="8" t="s">
        <v>2045</v>
      </c>
      <c r="T354" s="8" t="s">
        <v>44</v>
      </c>
    </row>
    <row r="355" spans="1:20">
      <c r="A355" s="11">
        <v>348</v>
      </c>
      <c r="B355" s="11" t="s">
        <v>591</v>
      </c>
      <c r="C355" s="11" t="s">
        <v>563</v>
      </c>
      <c r="D355" s="11" t="s">
        <v>201</v>
      </c>
      <c r="E355" s="11" t="s">
        <v>34</v>
      </c>
      <c r="F355" s="11" t="s">
        <v>35</v>
      </c>
      <c r="G355" s="9" t="s">
        <v>41</v>
      </c>
      <c r="H355" s="13">
        <v>1</v>
      </c>
      <c r="I355" s="13">
        <v>2</v>
      </c>
      <c r="J355" s="16">
        <v>16000.0</v>
      </c>
      <c r="K355" s="16"/>
      <c r="L355" s="18">
        <f>IF(J355&gt;0, K355/J355, 0)</f>
        <v>0</v>
      </c>
      <c r="M355" s="16">
        <v>16000.0</v>
      </c>
      <c r="N355" s="16"/>
      <c r="O355" s="16">
        <f>M355-N355</f>
        <v>16000</v>
      </c>
      <c r="P355" s="11" t="s">
        <v>42</v>
      </c>
      <c r="Q355" s="11" t="s">
        <v>43</v>
      </c>
      <c r="R355" s="11" t="s">
        <v>44</v>
      </c>
      <c r="S355" s="9" t="s">
        <v>2093</v>
      </c>
      <c r="T355" s="9" t="s">
        <v>44</v>
      </c>
    </row>
    <row r="356" spans="1:20">
      <c r="A356" s="10">
        <v>349</v>
      </c>
      <c r="B356" s="10" t="s">
        <v>592</v>
      </c>
      <c r="C356" s="10" t="s">
        <v>563</v>
      </c>
      <c r="D356" s="10" t="s">
        <v>201</v>
      </c>
      <c r="E356" s="10" t="s">
        <v>34</v>
      </c>
      <c r="F356" s="10" t="s">
        <v>35</v>
      </c>
      <c r="G356" s="8" t="s">
        <v>41</v>
      </c>
      <c r="H356" s="12">
        <v>1</v>
      </c>
      <c r="I356" s="12">
        <v>1</v>
      </c>
      <c r="J356" s="15">
        <v>8000.0</v>
      </c>
      <c r="K356" s="15"/>
      <c r="L356" s="17">
        <f>IF(J356&gt;0, K356/J356, 0)</f>
        <v>0</v>
      </c>
      <c r="M356" s="15">
        <v>8000.0</v>
      </c>
      <c r="N356" s="15"/>
      <c r="O356" s="15">
        <f>M356-N356</f>
        <v>8000</v>
      </c>
      <c r="P356" s="10" t="s">
        <v>42</v>
      </c>
      <c r="Q356" s="10" t="s">
        <v>43</v>
      </c>
      <c r="R356" s="10" t="s">
        <v>44</v>
      </c>
      <c r="S356" s="8" t="s">
        <v>2106</v>
      </c>
      <c r="T356" s="8" t="s">
        <v>44</v>
      </c>
    </row>
    <row r="357" spans="1:20">
      <c r="A357" s="11">
        <v>350</v>
      </c>
      <c r="B357" s="11" t="s">
        <v>593</v>
      </c>
      <c r="C357" s="11" t="s">
        <v>563</v>
      </c>
      <c r="D357" s="11" t="s">
        <v>201</v>
      </c>
      <c r="E357" s="11" t="s">
        <v>34</v>
      </c>
      <c r="F357" s="11" t="s">
        <v>35</v>
      </c>
      <c r="G357" s="9" t="s">
        <v>41</v>
      </c>
      <c r="H357" s="13">
        <v>1</v>
      </c>
      <c r="I357" s="13">
        <v>1</v>
      </c>
      <c r="J357" s="16">
        <v>16000.0</v>
      </c>
      <c r="K357" s="16"/>
      <c r="L357" s="18">
        <f>IF(J357&gt;0, K357/J357, 0)</f>
        <v>0</v>
      </c>
      <c r="M357" s="16">
        <v>16000.0</v>
      </c>
      <c r="N357" s="16"/>
      <c r="O357" s="16">
        <f>M357-N357</f>
        <v>16000</v>
      </c>
      <c r="P357" s="11" t="s">
        <v>42</v>
      </c>
      <c r="Q357" s="11" t="s">
        <v>43</v>
      </c>
      <c r="R357" s="11" t="s">
        <v>44</v>
      </c>
      <c r="S357" s="9" t="s">
        <v>2078</v>
      </c>
      <c r="T357" s="9" t="s">
        <v>44</v>
      </c>
    </row>
    <row r="358" spans="1:20">
      <c r="A358" s="10">
        <v>351</v>
      </c>
      <c r="B358" s="10" t="s">
        <v>594</v>
      </c>
      <c r="C358" s="10" t="s">
        <v>595</v>
      </c>
      <c r="D358" s="10" t="s">
        <v>201</v>
      </c>
      <c r="E358" s="10" t="s">
        <v>34</v>
      </c>
      <c r="F358" s="10" t="s">
        <v>35</v>
      </c>
      <c r="G358" s="8" t="s">
        <v>41</v>
      </c>
      <c r="H358" s="12">
        <v>1</v>
      </c>
      <c r="I358" s="12">
        <v>1</v>
      </c>
      <c r="J358" s="15">
        <v>9000.0</v>
      </c>
      <c r="K358" s="15"/>
      <c r="L358" s="17">
        <f>IF(J358&gt;0, K358/J358, 0)</f>
        <v>0</v>
      </c>
      <c r="M358" s="15">
        <v>9000.0</v>
      </c>
      <c r="N358" s="15"/>
      <c r="O358" s="15">
        <f>M358-N358</f>
        <v>9000</v>
      </c>
      <c r="P358" s="10" t="s">
        <v>42</v>
      </c>
      <c r="Q358" s="10" t="s">
        <v>43</v>
      </c>
      <c r="R358" s="10" t="s">
        <v>44</v>
      </c>
      <c r="S358" s="8" t="s">
        <v>2083</v>
      </c>
      <c r="T358" s="8" t="s">
        <v>44</v>
      </c>
    </row>
    <row r="359" spans="1:20">
      <c r="A359" s="11">
        <v>352</v>
      </c>
      <c r="B359" s="11" t="s">
        <v>596</v>
      </c>
      <c r="C359" s="11" t="s">
        <v>595</v>
      </c>
      <c r="D359" s="11" t="s">
        <v>201</v>
      </c>
      <c r="E359" s="11" t="s">
        <v>34</v>
      </c>
      <c r="F359" s="11" t="s">
        <v>35</v>
      </c>
      <c r="G359" s="9" t="s">
        <v>41</v>
      </c>
      <c r="H359" s="13">
        <v>1</v>
      </c>
      <c r="I359" s="13">
        <v>1</v>
      </c>
      <c r="J359" s="16">
        <v>18000.0</v>
      </c>
      <c r="K359" s="16"/>
      <c r="L359" s="18">
        <f>IF(J359&gt;0, K359/J359, 0)</f>
        <v>0</v>
      </c>
      <c r="M359" s="16">
        <v>18000.0</v>
      </c>
      <c r="N359" s="16"/>
      <c r="O359" s="16">
        <f>M359-N359</f>
        <v>18000</v>
      </c>
      <c r="P359" s="11" t="s">
        <v>42</v>
      </c>
      <c r="Q359" s="11" t="s">
        <v>43</v>
      </c>
      <c r="R359" s="11" t="s">
        <v>44</v>
      </c>
      <c r="S359" s="9" t="s">
        <v>2141</v>
      </c>
      <c r="T359" s="9" t="s">
        <v>44</v>
      </c>
    </row>
    <row r="360" spans="1:20">
      <c r="A360" s="10">
        <v>353</v>
      </c>
      <c r="B360" s="10" t="s">
        <v>598</v>
      </c>
      <c r="C360" s="10" t="s">
        <v>595</v>
      </c>
      <c r="D360" s="10" t="s">
        <v>201</v>
      </c>
      <c r="E360" s="10" t="s">
        <v>34</v>
      </c>
      <c r="F360" s="10" t="s">
        <v>35</v>
      </c>
      <c r="G360" s="8" t="s">
        <v>41</v>
      </c>
      <c r="H360" s="12">
        <v>1</v>
      </c>
      <c r="I360" s="12">
        <v>1</v>
      </c>
      <c r="J360" s="15">
        <v>10000.0</v>
      </c>
      <c r="K360" s="15"/>
      <c r="L360" s="17">
        <f>IF(J360&gt;0, K360/J360, 0)</f>
        <v>0</v>
      </c>
      <c r="M360" s="15">
        <v>10000.0</v>
      </c>
      <c r="N360" s="15"/>
      <c r="O360" s="15">
        <f>M360-N360</f>
        <v>10000</v>
      </c>
      <c r="P360" s="10" t="s">
        <v>42</v>
      </c>
      <c r="Q360" s="10" t="s">
        <v>43</v>
      </c>
      <c r="R360" s="10" t="s">
        <v>44</v>
      </c>
      <c r="S360" s="8" t="s">
        <v>2076</v>
      </c>
      <c r="T360" s="8" t="s">
        <v>44</v>
      </c>
    </row>
    <row r="361" spans="1:20">
      <c r="A361" s="11">
        <v>354</v>
      </c>
      <c r="B361" s="11" t="s">
        <v>599</v>
      </c>
      <c r="C361" s="11" t="s">
        <v>595</v>
      </c>
      <c r="D361" s="11" t="s">
        <v>201</v>
      </c>
      <c r="E361" s="11" t="s">
        <v>70</v>
      </c>
      <c r="F361" s="11" t="s">
        <v>35</v>
      </c>
      <c r="G361" s="9" t="s">
        <v>41</v>
      </c>
      <c r="H361" s="13">
        <v>1</v>
      </c>
      <c r="I361" s="13">
        <v>1</v>
      </c>
      <c r="J361" s="16">
        <v>8000.0</v>
      </c>
      <c r="K361" s="16"/>
      <c r="L361" s="18">
        <f>IF(J361&gt;0, K361/J361, 0)</f>
        <v>0</v>
      </c>
      <c r="M361" s="16">
        <v>8000.0</v>
      </c>
      <c r="N361" s="16"/>
      <c r="O361" s="16">
        <f>M361-N361</f>
        <v>8000</v>
      </c>
      <c r="P361" s="11" t="s">
        <v>42</v>
      </c>
      <c r="Q361" s="11" t="s">
        <v>73</v>
      </c>
      <c r="R361" s="11" t="s">
        <v>44</v>
      </c>
      <c r="S361" s="9" t="s">
        <v>2142</v>
      </c>
      <c r="T361" s="9" t="s">
        <v>44</v>
      </c>
    </row>
    <row r="362" spans="1:20">
      <c r="A362" s="10">
        <v>355</v>
      </c>
      <c r="B362" s="10" t="s">
        <v>601</v>
      </c>
      <c r="C362" s="10" t="s">
        <v>595</v>
      </c>
      <c r="D362" s="10" t="s">
        <v>201</v>
      </c>
      <c r="E362" s="10" t="s">
        <v>34</v>
      </c>
      <c r="F362" s="10" t="s">
        <v>35</v>
      </c>
      <c r="G362" s="8" t="s">
        <v>41</v>
      </c>
      <c r="H362" s="12">
        <v>1</v>
      </c>
      <c r="I362" s="12">
        <v>1</v>
      </c>
      <c r="J362" s="15">
        <v>15000.0</v>
      </c>
      <c r="K362" s="15"/>
      <c r="L362" s="17">
        <f>IF(J362&gt;0, K362/J362, 0)</f>
        <v>0</v>
      </c>
      <c r="M362" s="15">
        <v>15000.0</v>
      </c>
      <c r="N362" s="15"/>
      <c r="O362" s="15">
        <f>M362-N362</f>
        <v>15000</v>
      </c>
      <c r="P362" s="10" t="s">
        <v>42</v>
      </c>
      <c r="Q362" s="10" t="s">
        <v>43</v>
      </c>
      <c r="R362" s="10" t="s">
        <v>44</v>
      </c>
      <c r="S362" s="8" t="s">
        <v>2143</v>
      </c>
      <c r="T362" s="8" t="s">
        <v>44</v>
      </c>
    </row>
    <row r="363" spans="1:20">
      <c r="A363" s="11">
        <v>356</v>
      </c>
      <c r="B363" s="11" t="s">
        <v>604</v>
      </c>
      <c r="C363" s="11" t="s">
        <v>595</v>
      </c>
      <c r="D363" s="11" t="s">
        <v>201</v>
      </c>
      <c r="E363" s="11" t="s">
        <v>34</v>
      </c>
      <c r="F363" s="11" t="s">
        <v>35</v>
      </c>
      <c r="G363" s="9" t="s">
        <v>41</v>
      </c>
      <c r="H363" s="13">
        <v>1</v>
      </c>
      <c r="I363" s="13">
        <v>1</v>
      </c>
      <c r="J363" s="16">
        <v>18000.0</v>
      </c>
      <c r="K363" s="16"/>
      <c r="L363" s="18">
        <f>IF(J363&gt;0, K363/J363, 0)</f>
        <v>0</v>
      </c>
      <c r="M363" s="16">
        <v>18000.0</v>
      </c>
      <c r="N363" s="16"/>
      <c r="O363" s="16">
        <f>M363-N363</f>
        <v>18000</v>
      </c>
      <c r="P363" s="11" t="s">
        <v>42</v>
      </c>
      <c r="Q363" s="11" t="s">
        <v>43</v>
      </c>
      <c r="R363" s="11" t="s">
        <v>44</v>
      </c>
      <c r="S363" s="9" t="s">
        <v>2118</v>
      </c>
      <c r="T363" s="9" t="s">
        <v>44</v>
      </c>
    </row>
    <row r="364" spans="1:20">
      <c r="A364" s="10">
        <v>357</v>
      </c>
      <c r="B364" s="10" t="s">
        <v>605</v>
      </c>
      <c r="C364" s="10" t="s">
        <v>595</v>
      </c>
      <c r="D364" s="10" t="s">
        <v>201</v>
      </c>
      <c r="E364" s="10" t="s">
        <v>34</v>
      </c>
      <c r="F364" s="10" t="s">
        <v>35</v>
      </c>
      <c r="G364" s="8" t="s">
        <v>41</v>
      </c>
      <c r="H364" s="12">
        <v>1</v>
      </c>
      <c r="I364" s="12">
        <v>1</v>
      </c>
      <c r="J364" s="15">
        <v>16000.0</v>
      </c>
      <c r="K364" s="15"/>
      <c r="L364" s="17">
        <f>IF(J364&gt;0, K364/J364, 0)</f>
        <v>0</v>
      </c>
      <c r="M364" s="15">
        <v>16000.0</v>
      </c>
      <c r="N364" s="15"/>
      <c r="O364" s="15">
        <f>M364-N364</f>
        <v>16000</v>
      </c>
      <c r="P364" s="10" t="s">
        <v>42</v>
      </c>
      <c r="Q364" s="10" t="s">
        <v>43</v>
      </c>
      <c r="R364" s="10" t="s">
        <v>44</v>
      </c>
      <c r="S364" s="8" t="s">
        <v>2078</v>
      </c>
      <c r="T364" s="8" t="s">
        <v>44</v>
      </c>
    </row>
    <row r="365" spans="1:20">
      <c r="A365" s="11">
        <v>358</v>
      </c>
      <c r="B365" s="11" t="s">
        <v>606</v>
      </c>
      <c r="C365" s="11" t="s">
        <v>595</v>
      </c>
      <c r="D365" s="11" t="s">
        <v>201</v>
      </c>
      <c r="E365" s="11" t="s">
        <v>34</v>
      </c>
      <c r="F365" s="11" t="s">
        <v>35</v>
      </c>
      <c r="G365" s="9" t="s">
        <v>41</v>
      </c>
      <c r="H365" s="13">
        <v>1</v>
      </c>
      <c r="I365" s="13">
        <v>1</v>
      </c>
      <c r="J365" s="16">
        <v>8000.0</v>
      </c>
      <c r="K365" s="16"/>
      <c r="L365" s="18">
        <f>IF(J365&gt;0, K365/J365, 0)</f>
        <v>0</v>
      </c>
      <c r="M365" s="16">
        <v>8000.0</v>
      </c>
      <c r="N365" s="16"/>
      <c r="O365" s="16">
        <f>M365-N365</f>
        <v>8000</v>
      </c>
      <c r="P365" s="11" t="s">
        <v>42</v>
      </c>
      <c r="Q365" s="11" t="s">
        <v>43</v>
      </c>
      <c r="R365" s="11" t="s">
        <v>44</v>
      </c>
      <c r="S365" s="9" t="s">
        <v>2111</v>
      </c>
      <c r="T365" s="9" t="s">
        <v>44</v>
      </c>
    </row>
    <row r="366" spans="1:20">
      <c r="A366" s="10">
        <v>359</v>
      </c>
      <c r="B366" s="10" t="s">
        <v>607</v>
      </c>
      <c r="C366" s="10" t="s">
        <v>595</v>
      </c>
      <c r="D366" s="10" t="s">
        <v>201</v>
      </c>
      <c r="E366" s="10" t="s">
        <v>34</v>
      </c>
      <c r="F366" s="10" t="s">
        <v>35</v>
      </c>
      <c r="G366" s="8" t="s">
        <v>41</v>
      </c>
      <c r="H366" s="12">
        <v>1</v>
      </c>
      <c r="I366" s="12">
        <v>1</v>
      </c>
      <c r="J366" s="15">
        <v>8000.0</v>
      </c>
      <c r="K366" s="15"/>
      <c r="L366" s="17">
        <f>IF(J366&gt;0, K366/J366, 0)</f>
        <v>0</v>
      </c>
      <c r="M366" s="15">
        <v>8000.0</v>
      </c>
      <c r="N366" s="15"/>
      <c r="O366" s="15">
        <f>M366-N366</f>
        <v>8000</v>
      </c>
      <c r="P366" s="10" t="s">
        <v>42</v>
      </c>
      <c r="Q366" s="10" t="s">
        <v>43</v>
      </c>
      <c r="R366" s="10" t="s">
        <v>44</v>
      </c>
      <c r="S366" s="8" t="s">
        <v>2144</v>
      </c>
      <c r="T366" s="8" t="s">
        <v>44</v>
      </c>
    </row>
    <row r="367" spans="1:20">
      <c r="A367" s="11">
        <v>360</v>
      </c>
      <c r="B367" s="11" t="s">
        <v>609</v>
      </c>
      <c r="C367" s="11" t="s">
        <v>595</v>
      </c>
      <c r="D367" s="11" t="s">
        <v>201</v>
      </c>
      <c r="E367" s="11" t="s">
        <v>34</v>
      </c>
      <c r="F367" s="11" t="s">
        <v>35</v>
      </c>
      <c r="G367" s="9" t="s">
        <v>41</v>
      </c>
      <c r="H367" s="13">
        <v>1</v>
      </c>
      <c r="I367" s="13">
        <v>1</v>
      </c>
      <c r="J367" s="16">
        <v>7000.0</v>
      </c>
      <c r="K367" s="16"/>
      <c r="L367" s="18">
        <f>IF(J367&gt;0, K367/J367, 0)</f>
        <v>0</v>
      </c>
      <c r="M367" s="16">
        <v>7000.0</v>
      </c>
      <c r="N367" s="16"/>
      <c r="O367" s="16">
        <f>M367-N367</f>
        <v>7000</v>
      </c>
      <c r="P367" s="11" t="s">
        <v>42</v>
      </c>
      <c r="Q367" s="11" t="s">
        <v>43</v>
      </c>
      <c r="R367" s="11" t="s">
        <v>44</v>
      </c>
      <c r="S367" s="9" t="s">
        <v>2088</v>
      </c>
      <c r="T367" s="9" t="s">
        <v>44</v>
      </c>
    </row>
    <row r="368" spans="1:20">
      <c r="A368" s="10">
        <v>361</v>
      </c>
      <c r="B368" s="10" t="s">
        <v>610</v>
      </c>
      <c r="C368" s="10" t="s">
        <v>595</v>
      </c>
      <c r="D368" s="10" t="s">
        <v>201</v>
      </c>
      <c r="E368" s="10" t="s">
        <v>34</v>
      </c>
      <c r="F368" s="10" t="s">
        <v>35</v>
      </c>
      <c r="G368" s="8" t="s">
        <v>41</v>
      </c>
      <c r="H368" s="12">
        <v>1</v>
      </c>
      <c r="I368" s="12">
        <v>1</v>
      </c>
      <c r="J368" s="15">
        <v>5000.0</v>
      </c>
      <c r="K368" s="15"/>
      <c r="L368" s="17">
        <f>IF(J368&gt;0, K368/J368, 0)</f>
        <v>0</v>
      </c>
      <c r="M368" s="15">
        <v>5000.0</v>
      </c>
      <c r="N368" s="15"/>
      <c r="O368" s="15">
        <f>M368-N368</f>
        <v>5000</v>
      </c>
      <c r="P368" s="10" t="s">
        <v>42</v>
      </c>
      <c r="Q368" s="10" t="s">
        <v>43</v>
      </c>
      <c r="R368" s="10" t="s">
        <v>44</v>
      </c>
      <c r="S368" s="8" t="s">
        <v>2145</v>
      </c>
      <c r="T368" s="8" t="s">
        <v>44</v>
      </c>
    </row>
    <row r="369" spans="1:20">
      <c r="A369" s="11">
        <v>362</v>
      </c>
      <c r="B369" s="11" t="s">
        <v>613</v>
      </c>
      <c r="C369" s="11" t="s">
        <v>595</v>
      </c>
      <c r="D369" s="11" t="s">
        <v>201</v>
      </c>
      <c r="E369" s="11" t="s">
        <v>34</v>
      </c>
      <c r="F369" s="11" t="s">
        <v>35</v>
      </c>
      <c r="G369" s="9" t="s">
        <v>41</v>
      </c>
      <c r="H369" s="13">
        <v>1</v>
      </c>
      <c r="I369" s="13">
        <v>1</v>
      </c>
      <c r="J369" s="16">
        <v>9000.0</v>
      </c>
      <c r="K369" s="16"/>
      <c r="L369" s="18">
        <f>IF(J369&gt;0, K369/J369, 0)</f>
        <v>0</v>
      </c>
      <c r="M369" s="16">
        <v>9000.0</v>
      </c>
      <c r="N369" s="16"/>
      <c r="O369" s="16">
        <f>M369-N369</f>
        <v>9000</v>
      </c>
      <c r="P369" s="11" t="s">
        <v>42</v>
      </c>
      <c r="Q369" s="11" t="s">
        <v>43</v>
      </c>
      <c r="R369" s="11" t="s">
        <v>44</v>
      </c>
      <c r="S369" s="9" t="s">
        <v>2067</v>
      </c>
      <c r="T369" s="9" t="s">
        <v>44</v>
      </c>
    </row>
    <row r="370" spans="1:20">
      <c r="A370" s="10">
        <v>363</v>
      </c>
      <c r="B370" s="10" t="s">
        <v>614</v>
      </c>
      <c r="C370" s="10" t="s">
        <v>595</v>
      </c>
      <c r="D370" s="10" t="s">
        <v>201</v>
      </c>
      <c r="E370" s="10" t="s">
        <v>34</v>
      </c>
      <c r="F370" s="10" t="s">
        <v>35</v>
      </c>
      <c r="G370" s="8" t="s">
        <v>41</v>
      </c>
      <c r="H370" s="12">
        <v>1</v>
      </c>
      <c r="I370" s="12">
        <v>1</v>
      </c>
      <c r="J370" s="15">
        <v>8000.0</v>
      </c>
      <c r="K370" s="15"/>
      <c r="L370" s="17">
        <f>IF(J370&gt;0, K370/J370, 0)</f>
        <v>0</v>
      </c>
      <c r="M370" s="15">
        <v>8000.0</v>
      </c>
      <c r="N370" s="15"/>
      <c r="O370" s="15">
        <f>M370-N370</f>
        <v>8000</v>
      </c>
      <c r="P370" s="10" t="s">
        <v>42</v>
      </c>
      <c r="Q370" s="10" t="s">
        <v>43</v>
      </c>
      <c r="R370" s="10" t="s">
        <v>44</v>
      </c>
      <c r="S370" s="8" t="s">
        <v>2098</v>
      </c>
      <c r="T370" s="8" t="s">
        <v>44</v>
      </c>
    </row>
    <row r="371" spans="1:20">
      <c r="A371" s="11">
        <v>364</v>
      </c>
      <c r="B371" s="11" t="s">
        <v>615</v>
      </c>
      <c r="C371" s="11" t="s">
        <v>595</v>
      </c>
      <c r="D371" s="11" t="s">
        <v>201</v>
      </c>
      <c r="E371" s="11" t="s">
        <v>34</v>
      </c>
      <c r="F371" s="11" t="s">
        <v>35</v>
      </c>
      <c r="G371" s="9" t="s">
        <v>41</v>
      </c>
      <c r="H371" s="13">
        <v>1</v>
      </c>
      <c r="I371" s="13">
        <v>1</v>
      </c>
      <c r="J371" s="16">
        <v>18000.0</v>
      </c>
      <c r="K371" s="16"/>
      <c r="L371" s="18">
        <f>IF(J371&gt;0, K371/J371, 0)</f>
        <v>0</v>
      </c>
      <c r="M371" s="16">
        <v>18000.0</v>
      </c>
      <c r="N371" s="16"/>
      <c r="O371" s="16">
        <f>M371-N371</f>
        <v>18000</v>
      </c>
      <c r="P371" s="11" t="s">
        <v>42</v>
      </c>
      <c r="Q371" s="11" t="s">
        <v>43</v>
      </c>
      <c r="R371" s="11" t="s">
        <v>44</v>
      </c>
      <c r="S371" s="9" t="s">
        <v>2021</v>
      </c>
      <c r="T371" s="9" t="s">
        <v>44</v>
      </c>
    </row>
    <row r="372" spans="1:20">
      <c r="A372" s="10">
        <v>365</v>
      </c>
      <c r="B372" s="10" t="s">
        <v>616</v>
      </c>
      <c r="C372" s="10" t="s">
        <v>595</v>
      </c>
      <c r="D372" s="10" t="s">
        <v>201</v>
      </c>
      <c r="E372" s="10" t="s">
        <v>34</v>
      </c>
      <c r="F372" s="10" t="s">
        <v>35</v>
      </c>
      <c r="G372" s="8" t="s">
        <v>41</v>
      </c>
      <c r="H372" s="12">
        <v>1</v>
      </c>
      <c r="I372" s="12">
        <v>2</v>
      </c>
      <c r="J372" s="15">
        <v>18000.0</v>
      </c>
      <c r="K372" s="15"/>
      <c r="L372" s="17">
        <f>IF(J372&gt;0, K372/J372, 0)</f>
        <v>0</v>
      </c>
      <c r="M372" s="15">
        <v>18000.0</v>
      </c>
      <c r="N372" s="15"/>
      <c r="O372" s="15">
        <f>M372-N372</f>
        <v>18000</v>
      </c>
      <c r="P372" s="10" t="s">
        <v>42</v>
      </c>
      <c r="Q372" s="10" t="s">
        <v>43</v>
      </c>
      <c r="R372" s="10" t="s">
        <v>44</v>
      </c>
      <c r="S372" s="8" t="s">
        <v>2089</v>
      </c>
      <c r="T372" s="8" t="s">
        <v>44</v>
      </c>
    </row>
    <row r="373" spans="1:20">
      <c r="A373" s="11">
        <v>366</v>
      </c>
      <c r="B373" s="11" t="s">
        <v>617</v>
      </c>
      <c r="C373" s="11" t="s">
        <v>595</v>
      </c>
      <c r="D373" s="11" t="s">
        <v>201</v>
      </c>
      <c r="E373" s="11" t="s">
        <v>70</v>
      </c>
      <c r="F373" s="11" t="s">
        <v>35</v>
      </c>
      <c r="G373" s="9" t="s">
        <v>41</v>
      </c>
      <c r="H373" s="13">
        <v>1</v>
      </c>
      <c r="I373" s="13">
        <v>1</v>
      </c>
      <c r="J373" s="16">
        <v>5000.0</v>
      </c>
      <c r="K373" s="16"/>
      <c r="L373" s="18">
        <f>IF(J373&gt;0, K373/J373, 0)</f>
        <v>0</v>
      </c>
      <c r="M373" s="16">
        <v>5000.0</v>
      </c>
      <c r="N373" s="16"/>
      <c r="O373" s="16">
        <f>M373-N373</f>
        <v>5000</v>
      </c>
      <c r="P373" s="11" t="s">
        <v>42</v>
      </c>
      <c r="Q373" s="11" t="s">
        <v>73</v>
      </c>
      <c r="R373" s="11" t="s">
        <v>44</v>
      </c>
      <c r="S373" s="9" t="s">
        <v>2136</v>
      </c>
      <c r="T373" s="9" t="s">
        <v>44</v>
      </c>
    </row>
    <row r="374" spans="1:20">
      <c r="A374" s="10">
        <v>367</v>
      </c>
      <c r="B374" s="10" t="s">
        <v>618</v>
      </c>
      <c r="C374" s="10" t="s">
        <v>595</v>
      </c>
      <c r="D374" s="10" t="s">
        <v>201</v>
      </c>
      <c r="E374" s="10" t="s">
        <v>34</v>
      </c>
      <c r="F374" s="10" t="s">
        <v>35</v>
      </c>
      <c r="G374" s="8" t="s">
        <v>41</v>
      </c>
      <c r="H374" s="12">
        <v>1</v>
      </c>
      <c r="I374" s="12">
        <v>2</v>
      </c>
      <c r="J374" s="15">
        <v>14000.0</v>
      </c>
      <c r="K374" s="15"/>
      <c r="L374" s="17">
        <f>IF(J374&gt;0, K374/J374, 0)</f>
        <v>0</v>
      </c>
      <c r="M374" s="15">
        <v>14000.0</v>
      </c>
      <c r="N374" s="15"/>
      <c r="O374" s="15">
        <f>M374-N374</f>
        <v>14000</v>
      </c>
      <c r="P374" s="10" t="s">
        <v>42</v>
      </c>
      <c r="Q374" s="10" t="s">
        <v>43</v>
      </c>
      <c r="R374" s="10" t="s">
        <v>44</v>
      </c>
      <c r="S374" s="8" t="s">
        <v>2146</v>
      </c>
      <c r="T374" s="8" t="s">
        <v>44</v>
      </c>
    </row>
    <row r="375" spans="1:20">
      <c r="A375" s="11">
        <v>368</v>
      </c>
      <c r="B375" s="11" t="s">
        <v>619</v>
      </c>
      <c r="C375" s="11" t="s">
        <v>595</v>
      </c>
      <c r="D375" s="11" t="s">
        <v>201</v>
      </c>
      <c r="E375" s="11" t="s">
        <v>34</v>
      </c>
      <c r="F375" s="11" t="s">
        <v>35</v>
      </c>
      <c r="G375" s="9" t="s">
        <v>41</v>
      </c>
      <c r="H375" s="13">
        <v>1</v>
      </c>
      <c r="I375" s="13">
        <v>1</v>
      </c>
      <c r="J375" s="16">
        <v>18000.0</v>
      </c>
      <c r="K375" s="16"/>
      <c r="L375" s="18">
        <f>IF(J375&gt;0, K375/J375, 0)</f>
        <v>0</v>
      </c>
      <c r="M375" s="16">
        <v>18000.0</v>
      </c>
      <c r="N375" s="16"/>
      <c r="O375" s="16">
        <f>M375-N375</f>
        <v>18000</v>
      </c>
      <c r="P375" s="11" t="s">
        <v>42</v>
      </c>
      <c r="Q375" s="11" t="s">
        <v>43</v>
      </c>
      <c r="R375" s="11" t="s">
        <v>44</v>
      </c>
      <c r="S375" s="9" t="s">
        <v>2114</v>
      </c>
      <c r="T375" s="9" t="s">
        <v>44</v>
      </c>
    </row>
    <row r="376" spans="1:20">
      <c r="A376" s="10">
        <v>369</v>
      </c>
      <c r="B376" s="10" t="s">
        <v>620</v>
      </c>
      <c r="C376" s="10" t="s">
        <v>595</v>
      </c>
      <c r="D376" s="10" t="s">
        <v>201</v>
      </c>
      <c r="E376" s="10" t="s">
        <v>34</v>
      </c>
      <c r="F376" s="10" t="s">
        <v>35</v>
      </c>
      <c r="G376" s="8" t="s">
        <v>41</v>
      </c>
      <c r="H376" s="12">
        <v>1</v>
      </c>
      <c r="I376" s="12">
        <v>1</v>
      </c>
      <c r="J376" s="15">
        <v>8000.0</v>
      </c>
      <c r="K376" s="15"/>
      <c r="L376" s="17">
        <f>IF(J376&gt;0, K376/J376, 0)</f>
        <v>0</v>
      </c>
      <c r="M376" s="15">
        <v>8000.0</v>
      </c>
      <c r="N376" s="15"/>
      <c r="O376" s="15">
        <f>M376-N376</f>
        <v>8000</v>
      </c>
      <c r="P376" s="10" t="s">
        <v>42</v>
      </c>
      <c r="Q376" s="10" t="s">
        <v>43</v>
      </c>
      <c r="R376" s="10" t="s">
        <v>44</v>
      </c>
      <c r="S376" s="8" t="s">
        <v>2115</v>
      </c>
      <c r="T376" s="8" t="s">
        <v>44</v>
      </c>
    </row>
    <row r="377" spans="1:20">
      <c r="A377" s="11">
        <v>370</v>
      </c>
      <c r="B377" s="11" t="s">
        <v>621</v>
      </c>
      <c r="C377" s="11" t="s">
        <v>595</v>
      </c>
      <c r="D377" s="11" t="s">
        <v>201</v>
      </c>
      <c r="E377" s="11" t="s">
        <v>34</v>
      </c>
      <c r="F377" s="11" t="s">
        <v>35</v>
      </c>
      <c r="G377" s="9" t="s">
        <v>41</v>
      </c>
      <c r="H377" s="13">
        <v>1</v>
      </c>
      <c r="I377" s="13">
        <v>2</v>
      </c>
      <c r="J377" s="16">
        <v>14000.0</v>
      </c>
      <c r="K377" s="16"/>
      <c r="L377" s="18">
        <f>IF(J377&gt;0, K377/J377, 0)</f>
        <v>0</v>
      </c>
      <c r="M377" s="16">
        <v>14000.0</v>
      </c>
      <c r="N377" s="16"/>
      <c r="O377" s="16">
        <f>M377-N377</f>
        <v>14000</v>
      </c>
      <c r="P377" s="11" t="s">
        <v>42</v>
      </c>
      <c r="Q377" s="11" t="s">
        <v>43</v>
      </c>
      <c r="R377" s="11" t="s">
        <v>44</v>
      </c>
      <c r="S377" s="9" t="s">
        <v>2063</v>
      </c>
      <c r="T377" s="9" t="s">
        <v>44</v>
      </c>
    </row>
    <row r="378" spans="1:20">
      <c r="A378" s="10">
        <v>371</v>
      </c>
      <c r="B378" s="10" t="s">
        <v>622</v>
      </c>
      <c r="C378" s="10" t="s">
        <v>595</v>
      </c>
      <c r="D378" s="10" t="s">
        <v>201</v>
      </c>
      <c r="E378" s="10" t="s">
        <v>70</v>
      </c>
      <c r="F378" s="10" t="s">
        <v>35</v>
      </c>
      <c r="G378" s="8" t="s">
        <v>41</v>
      </c>
      <c r="H378" s="12">
        <v>1</v>
      </c>
      <c r="I378" s="12">
        <v>1</v>
      </c>
      <c r="J378" s="15">
        <v>8000.0</v>
      </c>
      <c r="K378" s="15"/>
      <c r="L378" s="17">
        <f>IF(J378&gt;0, K378/J378, 0)</f>
        <v>0</v>
      </c>
      <c r="M378" s="15">
        <v>8000.0</v>
      </c>
      <c r="N378" s="15"/>
      <c r="O378" s="15">
        <f>M378-N378</f>
        <v>8000</v>
      </c>
      <c r="P378" s="10" t="s">
        <v>42</v>
      </c>
      <c r="Q378" s="10" t="s">
        <v>73</v>
      </c>
      <c r="R378" s="10" t="s">
        <v>44</v>
      </c>
      <c r="S378" s="8" t="s">
        <v>2142</v>
      </c>
      <c r="T378" s="8" t="s">
        <v>44</v>
      </c>
    </row>
    <row r="379" spans="1:20">
      <c r="A379" s="11">
        <v>372</v>
      </c>
      <c r="B379" s="11" t="s">
        <v>623</v>
      </c>
      <c r="C379" s="11" t="s">
        <v>595</v>
      </c>
      <c r="D379" s="11" t="s">
        <v>201</v>
      </c>
      <c r="E379" s="11" t="s">
        <v>34</v>
      </c>
      <c r="F379" s="11" t="s">
        <v>35</v>
      </c>
      <c r="G379" s="9" t="s">
        <v>41</v>
      </c>
      <c r="H379" s="13">
        <v>1</v>
      </c>
      <c r="I379" s="13">
        <v>1</v>
      </c>
      <c r="J379" s="16">
        <v>16000.0</v>
      </c>
      <c r="K379" s="16"/>
      <c r="L379" s="18">
        <f>IF(J379&gt;0, K379/J379, 0)</f>
        <v>0</v>
      </c>
      <c r="M379" s="16">
        <v>16000.0</v>
      </c>
      <c r="N379" s="16"/>
      <c r="O379" s="16">
        <f>M379-N379</f>
        <v>16000</v>
      </c>
      <c r="P379" s="11" t="s">
        <v>42</v>
      </c>
      <c r="Q379" s="11" t="s">
        <v>43</v>
      </c>
      <c r="R379" s="11" t="s">
        <v>44</v>
      </c>
      <c r="S379" s="9" t="s">
        <v>2090</v>
      </c>
      <c r="T379" s="9" t="s">
        <v>44</v>
      </c>
    </row>
    <row r="380" spans="1:20">
      <c r="A380" s="10">
        <v>373</v>
      </c>
      <c r="B380" s="10" t="s">
        <v>624</v>
      </c>
      <c r="C380" s="10" t="s">
        <v>595</v>
      </c>
      <c r="D380" s="10" t="s">
        <v>201</v>
      </c>
      <c r="E380" s="10" t="s">
        <v>34</v>
      </c>
      <c r="F380" s="10" t="s">
        <v>35</v>
      </c>
      <c r="G380" s="8" t="s">
        <v>41</v>
      </c>
      <c r="H380" s="12">
        <v>1</v>
      </c>
      <c r="I380" s="12">
        <v>1</v>
      </c>
      <c r="J380" s="15">
        <v>8000.0</v>
      </c>
      <c r="K380" s="15"/>
      <c r="L380" s="17">
        <f>IF(J380&gt;0, K380/J380, 0)</f>
        <v>0</v>
      </c>
      <c r="M380" s="15">
        <v>8000.0</v>
      </c>
      <c r="N380" s="15"/>
      <c r="O380" s="15">
        <f>M380-N380</f>
        <v>8000</v>
      </c>
      <c r="P380" s="10" t="s">
        <v>42</v>
      </c>
      <c r="Q380" s="10" t="s">
        <v>43</v>
      </c>
      <c r="R380" s="10" t="s">
        <v>44</v>
      </c>
      <c r="S380" s="8" t="s">
        <v>2111</v>
      </c>
      <c r="T380" s="8" t="s">
        <v>44</v>
      </c>
    </row>
    <row r="381" spans="1:20">
      <c r="A381" s="11">
        <v>374</v>
      </c>
      <c r="B381" s="11" t="s">
        <v>625</v>
      </c>
      <c r="C381" s="11" t="s">
        <v>595</v>
      </c>
      <c r="D381" s="11" t="s">
        <v>201</v>
      </c>
      <c r="E381" s="11" t="s">
        <v>34</v>
      </c>
      <c r="F381" s="11" t="s">
        <v>35</v>
      </c>
      <c r="G381" s="9" t="s">
        <v>41</v>
      </c>
      <c r="H381" s="13">
        <v>1</v>
      </c>
      <c r="I381" s="13">
        <v>1</v>
      </c>
      <c r="J381" s="16">
        <v>8000.0</v>
      </c>
      <c r="K381" s="16"/>
      <c r="L381" s="18">
        <f>IF(J381&gt;0, K381/J381, 0)</f>
        <v>0</v>
      </c>
      <c r="M381" s="16">
        <v>8000.0</v>
      </c>
      <c r="N381" s="16"/>
      <c r="O381" s="16">
        <f>M381-N381</f>
        <v>8000</v>
      </c>
      <c r="P381" s="11" t="s">
        <v>42</v>
      </c>
      <c r="Q381" s="11" t="s">
        <v>43</v>
      </c>
      <c r="R381" s="11" t="s">
        <v>44</v>
      </c>
      <c r="S381" s="9" t="s">
        <v>2106</v>
      </c>
      <c r="T381" s="9" t="s">
        <v>44</v>
      </c>
    </row>
    <row r="382" spans="1:20">
      <c r="A382" s="10">
        <v>375</v>
      </c>
      <c r="B382" s="10" t="s">
        <v>626</v>
      </c>
      <c r="C382" s="10" t="s">
        <v>595</v>
      </c>
      <c r="D382" s="10" t="s">
        <v>201</v>
      </c>
      <c r="E382" s="10" t="s">
        <v>34</v>
      </c>
      <c r="F382" s="10" t="s">
        <v>35</v>
      </c>
      <c r="G382" s="8" t="s">
        <v>41</v>
      </c>
      <c r="H382" s="12">
        <v>1</v>
      </c>
      <c r="I382" s="12">
        <v>2</v>
      </c>
      <c r="J382" s="15">
        <v>14000.0</v>
      </c>
      <c r="K382" s="15"/>
      <c r="L382" s="17">
        <f>IF(J382&gt;0, K382/J382, 0)</f>
        <v>0</v>
      </c>
      <c r="M382" s="15">
        <v>14000.0</v>
      </c>
      <c r="N382" s="15"/>
      <c r="O382" s="15">
        <f>M382-N382</f>
        <v>14000</v>
      </c>
      <c r="P382" s="10" t="s">
        <v>42</v>
      </c>
      <c r="Q382" s="10" t="s">
        <v>43</v>
      </c>
      <c r="R382" s="10" t="s">
        <v>44</v>
      </c>
      <c r="S382" s="8" t="s">
        <v>2146</v>
      </c>
      <c r="T382" s="8" t="s">
        <v>44</v>
      </c>
    </row>
    <row r="383" spans="1:20">
      <c r="A383" s="11">
        <v>376</v>
      </c>
      <c r="B383" s="11" t="s">
        <v>627</v>
      </c>
      <c r="C383" s="11" t="s">
        <v>595</v>
      </c>
      <c r="D383" s="11" t="s">
        <v>201</v>
      </c>
      <c r="E383" s="11" t="s">
        <v>70</v>
      </c>
      <c r="F383" s="11" t="s">
        <v>35</v>
      </c>
      <c r="G383" s="9" t="s">
        <v>41</v>
      </c>
      <c r="H383" s="13">
        <v>1</v>
      </c>
      <c r="I383" s="13">
        <v>1</v>
      </c>
      <c r="J383" s="16">
        <v>8000.0</v>
      </c>
      <c r="K383" s="16"/>
      <c r="L383" s="18">
        <f>IF(J383&gt;0, K383/J383, 0)</f>
        <v>0</v>
      </c>
      <c r="M383" s="16">
        <v>8000.0</v>
      </c>
      <c r="N383" s="16"/>
      <c r="O383" s="16">
        <f>M383-N383</f>
        <v>8000</v>
      </c>
      <c r="P383" s="11" t="s">
        <v>42</v>
      </c>
      <c r="Q383" s="11" t="s">
        <v>73</v>
      </c>
      <c r="R383" s="11" t="s">
        <v>44</v>
      </c>
      <c r="S383" s="9" t="s">
        <v>2139</v>
      </c>
      <c r="T383" s="9" t="s">
        <v>44</v>
      </c>
    </row>
    <row r="384" spans="1:20">
      <c r="A384" s="10">
        <v>377</v>
      </c>
      <c r="B384" s="10" t="s">
        <v>628</v>
      </c>
      <c r="C384" s="10" t="s">
        <v>595</v>
      </c>
      <c r="D384" s="10" t="s">
        <v>201</v>
      </c>
      <c r="E384" s="10" t="s">
        <v>34</v>
      </c>
      <c r="F384" s="10" t="s">
        <v>35</v>
      </c>
      <c r="G384" s="8" t="s">
        <v>41</v>
      </c>
      <c r="H384" s="12">
        <v>1</v>
      </c>
      <c r="I384" s="12">
        <v>1</v>
      </c>
      <c r="J384" s="15">
        <v>16000.0</v>
      </c>
      <c r="K384" s="15"/>
      <c r="L384" s="17">
        <f>IF(J384&gt;0, K384/J384, 0)</f>
        <v>0</v>
      </c>
      <c r="M384" s="15">
        <v>16000.0</v>
      </c>
      <c r="N384" s="15"/>
      <c r="O384" s="15">
        <f>M384-N384</f>
        <v>16000</v>
      </c>
      <c r="P384" s="10" t="s">
        <v>42</v>
      </c>
      <c r="Q384" s="10" t="s">
        <v>43</v>
      </c>
      <c r="R384" s="10" t="s">
        <v>44</v>
      </c>
      <c r="S384" s="8" t="s">
        <v>2040</v>
      </c>
      <c r="T384" s="8" t="s">
        <v>44</v>
      </c>
    </row>
    <row r="385" spans="1:20">
      <c r="A385" s="11">
        <v>378</v>
      </c>
      <c r="B385" s="11" t="s">
        <v>629</v>
      </c>
      <c r="C385" s="11" t="s">
        <v>595</v>
      </c>
      <c r="D385" s="11" t="s">
        <v>201</v>
      </c>
      <c r="E385" s="11" t="s">
        <v>34</v>
      </c>
      <c r="F385" s="11" t="s">
        <v>35</v>
      </c>
      <c r="G385" s="9" t="s">
        <v>41</v>
      </c>
      <c r="H385" s="13">
        <v>1</v>
      </c>
      <c r="I385" s="13">
        <v>2</v>
      </c>
      <c r="J385" s="16">
        <v>14000.0</v>
      </c>
      <c r="K385" s="16"/>
      <c r="L385" s="18">
        <f>IF(J385&gt;0, K385/J385, 0)</f>
        <v>0</v>
      </c>
      <c r="M385" s="16">
        <v>14000.0</v>
      </c>
      <c r="N385" s="16"/>
      <c r="O385" s="16">
        <f>M385-N385</f>
        <v>14000</v>
      </c>
      <c r="P385" s="11" t="s">
        <v>42</v>
      </c>
      <c r="Q385" s="11" t="s">
        <v>43</v>
      </c>
      <c r="R385" s="11" t="s">
        <v>44</v>
      </c>
      <c r="S385" s="9" t="s">
        <v>2063</v>
      </c>
      <c r="T385" s="9" t="s">
        <v>44</v>
      </c>
    </row>
    <row r="386" spans="1:20">
      <c r="A386" s="10">
        <v>379</v>
      </c>
      <c r="B386" s="10" t="s">
        <v>630</v>
      </c>
      <c r="C386" s="10" t="s">
        <v>595</v>
      </c>
      <c r="D386" s="10" t="s">
        <v>201</v>
      </c>
      <c r="E386" s="10" t="s">
        <v>34</v>
      </c>
      <c r="F386" s="10" t="s">
        <v>35</v>
      </c>
      <c r="G386" s="8" t="s">
        <v>41</v>
      </c>
      <c r="H386" s="12">
        <v>1</v>
      </c>
      <c r="I386" s="12">
        <v>3</v>
      </c>
      <c r="J386" s="15">
        <v>21000.0</v>
      </c>
      <c r="K386" s="15"/>
      <c r="L386" s="17">
        <f>IF(J386&gt;0, K386/J386, 0)</f>
        <v>0</v>
      </c>
      <c r="M386" s="15">
        <v>21000.0</v>
      </c>
      <c r="N386" s="15"/>
      <c r="O386" s="15">
        <f>M386-N386</f>
        <v>21000</v>
      </c>
      <c r="P386" s="10" t="s">
        <v>42</v>
      </c>
      <c r="Q386" s="10" t="s">
        <v>43</v>
      </c>
      <c r="R386" s="10" t="s">
        <v>44</v>
      </c>
      <c r="S386" s="8" t="s">
        <v>2096</v>
      </c>
      <c r="T386" s="8" t="s">
        <v>44</v>
      </c>
    </row>
    <row r="387" spans="1:20">
      <c r="A387" s="11">
        <v>380</v>
      </c>
      <c r="B387" s="11" t="s">
        <v>631</v>
      </c>
      <c r="C387" s="11" t="s">
        <v>595</v>
      </c>
      <c r="D387" s="11" t="s">
        <v>201</v>
      </c>
      <c r="E387" s="11" t="s">
        <v>34</v>
      </c>
      <c r="F387" s="11" t="s">
        <v>35</v>
      </c>
      <c r="G387" s="9" t="s">
        <v>41</v>
      </c>
      <c r="H387" s="13">
        <v>1</v>
      </c>
      <c r="I387" s="13">
        <v>1</v>
      </c>
      <c r="J387" s="16">
        <v>16000.0</v>
      </c>
      <c r="K387" s="16"/>
      <c r="L387" s="18">
        <f>IF(J387&gt;0, K387/J387, 0)</f>
        <v>0</v>
      </c>
      <c r="M387" s="16">
        <v>16000.0</v>
      </c>
      <c r="N387" s="16"/>
      <c r="O387" s="16">
        <f>M387-N387</f>
        <v>16000</v>
      </c>
      <c r="P387" s="11" t="s">
        <v>42</v>
      </c>
      <c r="Q387" s="11" t="s">
        <v>43</v>
      </c>
      <c r="R387" s="11" t="s">
        <v>44</v>
      </c>
      <c r="S387" s="9" t="s">
        <v>2090</v>
      </c>
      <c r="T387" s="9" t="s">
        <v>44</v>
      </c>
    </row>
    <row r="388" spans="1:20">
      <c r="A388" s="10">
        <v>381</v>
      </c>
      <c r="B388" s="10" t="s">
        <v>632</v>
      </c>
      <c r="C388" s="10" t="s">
        <v>633</v>
      </c>
      <c r="D388" s="10" t="s">
        <v>201</v>
      </c>
      <c r="E388" s="10" t="s">
        <v>34</v>
      </c>
      <c r="F388" s="10" t="s">
        <v>35</v>
      </c>
      <c r="G388" s="8" t="s">
        <v>41</v>
      </c>
      <c r="H388" s="12">
        <v>1</v>
      </c>
      <c r="I388" s="12">
        <v>1</v>
      </c>
      <c r="J388" s="15">
        <v>9000.0</v>
      </c>
      <c r="K388" s="15"/>
      <c r="L388" s="17">
        <f>IF(J388&gt;0, K388/J388, 0)</f>
        <v>0</v>
      </c>
      <c r="M388" s="15">
        <v>9000.0</v>
      </c>
      <c r="N388" s="15"/>
      <c r="O388" s="15">
        <f>M388-N388</f>
        <v>9000</v>
      </c>
      <c r="P388" s="10" t="s">
        <v>42</v>
      </c>
      <c r="Q388" s="10" t="s">
        <v>43</v>
      </c>
      <c r="R388" s="10" t="s">
        <v>44</v>
      </c>
      <c r="S388" s="8" t="s">
        <v>2142</v>
      </c>
      <c r="T388" s="8" t="s">
        <v>44</v>
      </c>
    </row>
    <row r="389" spans="1:20">
      <c r="A389" s="11">
        <v>382</v>
      </c>
      <c r="B389" s="11" t="s">
        <v>634</v>
      </c>
      <c r="C389" s="11" t="s">
        <v>633</v>
      </c>
      <c r="D389" s="11" t="s">
        <v>201</v>
      </c>
      <c r="E389" s="11" t="s">
        <v>70</v>
      </c>
      <c r="F389" s="11" t="s">
        <v>35</v>
      </c>
      <c r="G389" s="9" t="s">
        <v>41</v>
      </c>
      <c r="H389" s="13">
        <v>1</v>
      </c>
      <c r="I389" s="13">
        <v>1</v>
      </c>
      <c r="J389" s="16">
        <v>11000.0</v>
      </c>
      <c r="K389" s="16"/>
      <c r="L389" s="18">
        <f>IF(J389&gt;0, K389/J389, 0)</f>
        <v>0</v>
      </c>
      <c r="M389" s="16">
        <v>11000.0</v>
      </c>
      <c r="N389" s="16"/>
      <c r="O389" s="16">
        <f>M389-N389</f>
        <v>11000</v>
      </c>
      <c r="P389" s="11" t="s">
        <v>42</v>
      </c>
      <c r="Q389" s="11" t="s">
        <v>73</v>
      </c>
      <c r="R389" s="11" t="s">
        <v>44</v>
      </c>
      <c r="S389" s="9" t="s">
        <v>2106</v>
      </c>
      <c r="T389" s="9" t="s">
        <v>44</v>
      </c>
    </row>
    <row r="390" spans="1:20">
      <c r="A390" s="10">
        <v>383</v>
      </c>
      <c r="B390" s="10" t="s">
        <v>636</v>
      </c>
      <c r="C390" s="10" t="s">
        <v>633</v>
      </c>
      <c r="D390" s="10" t="s">
        <v>201</v>
      </c>
      <c r="E390" s="10" t="s">
        <v>34</v>
      </c>
      <c r="F390" s="10" t="s">
        <v>35</v>
      </c>
      <c r="G390" s="8" t="s">
        <v>41</v>
      </c>
      <c r="H390" s="12">
        <v>1</v>
      </c>
      <c r="I390" s="12">
        <v>1</v>
      </c>
      <c r="J390" s="15">
        <v>9000.0</v>
      </c>
      <c r="K390" s="15"/>
      <c r="L390" s="17">
        <f>IF(J390&gt;0, K390/J390, 0)</f>
        <v>0</v>
      </c>
      <c r="M390" s="15">
        <v>9000.0</v>
      </c>
      <c r="N390" s="15"/>
      <c r="O390" s="15">
        <f>M390-N390</f>
        <v>9000</v>
      </c>
      <c r="P390" s="10" t="s">
        <v>42</v>
      </c>
      <c r="Q390" s="10" t="s">
        <v>43</v>
      </c>
      <c r="R390" s="10" t="s">
        <v>44</v>
      </c>
      <c r="S390" s="8" t="s">
        <v>2027</v>
      </c>
      <c r="T390" s="8" t="s">
        <v>44</v>
      </c>
    </row>
    <row r="391" spans="1:20">
      <c r="A391" s="11">
        <v>384</v>
      </c>
      <c r="B391" s="11" t="s">
        <v>637</v>
      </c>
      <c r="C391" s="11" t="s">
        <v>633</v>
      </c>
      <c r="D391" s="11" t="s">
        <v>201</v>
      </c>
      <c r="E391" s="11" t="s">
        <v>34</v>
      </c>
      <c r="F391" s="11" t="s">
        <v>35</v>
      </c>
      <c r="G391" s="9" t="s">
        <v>41</v>
      </c>
      <c r="H391" s="13">
        <v>1</v>
      </c>
      <c r="I391" s="13">
        <v>1</v>
      </c>
      <c r="J391" s="16">
        <v>16500.0</v>
      </c>
      <c r="K391" s="16"/>
      <c r="L391" s="18">
        <f>IF(J391&gt;0, K391/J391, 0)</f>
        <v>0</v>
      </c>
      <c r="M391" s="16">
        <v>16500.0</v>
      </c>
      <c r="N391" s="16"/>
      <c r="O391" s="16">
        <f>M391-N391</f>
        <v>16500</v>
      </c>
      <c r="P391" s="11" t="s">
        <v>42</v>
      </c>
      <c r="Q391" s="11" t="s">
        <v>43</v>
      </c>
      <c r="R391" s="11" t="s">
        <v>44</v>
      </c>
      <c r="S391" s="9" t="s">
        <v>2072</v>
      </c>
      <c r="T391" s="9" t="s">
        <v>44</v>
      </c>
    </row>
    <row r="392" spans="1:20">
      <c r="A392" s="10">
        <v>385</v>
      </c>
      <c r="B392" s="10" t="s">
        <v>638</v>
      </c>
      <c r="C392" s="10" t="s">
        <v>633</v>
      </c>
      <c r="D392" s="10" t="s">
        <v>201</v>
      </c>
      <c r="E392" s="10" t="s">
        <v>34</v>
      </c>
      <c r="F392" s="10" t="s">
        <v>35</v>
      </c>
      <c r="G392" s="8" t="s">
        <v>41</v>
      </c>
      <c r="H392" s="12">
        <v>1</v>
      </c>
      <c r="I392" s="12">
        <v>1</v>
      </c>
      <c r="J392" s="15">
        <v>16000.0</v>
      </c>
      <c r="K392" s="15"/>
      <c r="L392" s="17">
        <f>IF(J392&gt;0, K392/J392, 0)</f>
        <v>0</v>
      </c>
      <c r="M392" s="15">
        <v>16000.0</v>
      </c>
      <c r="N392" s="15"/>
      <c r="O392" s="15">
        <f>M392-N392</f>
        <v>16000</v>
      </c>
      <c r="P392" s="10" t="s">
        <v>42</v>
      </c>
      <c r="Q392" s="10" t="s">
        <v>43</v>
      </c>
      <c r="R392" s="10" t="s">
        <v>44</v>
      </c>
      <c r="S392" s="8" t="s">
        <v>2090</v>
      </c>
      <c r="T392" s="8" t="s">
        <v>44</v>
      </c>
    </row>
    <row r="393" spans="1:20">
      <c r="A393" s="11">
        <v>386</v>
      </c>
      <c r="B393" s="11" t="s">
        <v>639</v>
      </c>
      <c r="C393" s="11" t="s">
        <v>633</v>
      </c>
      <c r="D393" s="11" t="s">
        <v>201</v>
      </c>
      <c r="E393" s="11" t="s">
        <v>34</v>
      </c>
      <c r="F393" s="11" t="s">
        <v>35</v>
      </c>
      <c r="G393" s="9" t="s">
        <v>41</v>
      </c>
      <c r="H393" s="13">
        <v>1</v>
      </c>
      <c r="I393" s="13">
        <v>1</v>
      </c>
      <c r="J393" s="16">
        <v>8000.0</v>
      </c>
      <c r="K393" s="16"/>
      <c r="L393" s="18">
        <f>IF(J393&gt;0, K393/J393, 0)</f>
        <v>0</v>
      </c>
      <c r="M393" s="16">
        <v>8000.0</v>
      </c>
      <c r="N393" s="16"/>
      <c r="O393" s="16">
        <f>M393-N393</f>
        <v>8000</v>
      </c>
      <c r="P393" s="11" t="s">
        <v>42</v>
      </c>
      <c r="Q393" s="11" t="s">
        <v>43</v>
      </c>
      <c r="R393" s="11" t="s">
        <v>44</v>
      </c>
      <c r="S393" s="9" t="s">
        <v>2106</v>
      </c>
      <c r="T393" s="9" t="s">
        <v>44</v>
      </c>
    </row>
    <row r="394" spans="1:20">
      <c r="A394" s="10">
        <v>387</v>
      </c>
      <c r="B394" s="10" t="s">
        <v>640</v>
      </c>
      <c r="C394" s="10" t="s">
        <v>633</v>
      </c>
      <c r="D394" s="10" t="s">
        <v>201</v>
      </c>
      <c r="E394" s="10" t="s">
        <v>34</v>
      </c>
      <c r="F394" s="10" t="s">
        <v>35</v>
      </c>
      <c r="G394" s="8" t="s">
        <v>41</v>
      </c>
      <c r="H394" s="12">
        <v>1</v>
      </c>
      <c r="I394" s="12">
        <v>2</v>
      </c>
      <c r="J394" s="15">
        <v>14000.0</v>
      </c>
      <c r="K394" s="15"/>
      <c r="L394" s="17">
        <f>IF(J394&gt;0, K394/J394, 0)</f>
        <v>0</v>
      </c>
      <c r="M394" s="15">
        <v>14000.0</v>
      </c>
      <c r="N394" s="15"/>
      <c r="O394" s="15">
        <f>M394-N394</f>
        <v>14000</v>
      </c>
      <c r="P394" s="10" t="s">
        <v>42</v>
      </c>
      <c r="Q394" s="10" t="s">
        <v>43</v>
      </c>
      <c r="R394" s="10" t="s">
        <v>44</v>
      </c>
      <c r="S394" s="8" t="s">
        <v>2116</v>
      </c>
      <c r="T394" s="8" t="s">
        <v>44</v>
      </c>
    </row>
    <row r="395" spans="1:20">
      <c r="A395" s="11">
        <v>388</v>
      </c>
      <c r="B395" s="11" t="s">
        <v>641</v>
      </c>
      <c r="C395" s="11" t="s">
        <v>633</v>
      </c>
      <c r="D395" s="11" t="s">
        <v>201</v>
      </c>
      <c r="E395" s="11" t="s">
        <v>34</v>
      </c>
      <c r="F395" s="11" t="s">
        <v>35</v>
      </c>
      <c r="G395" s="9" t="s">
        <v>41</v>
      </c>
      <c r="H395" s="13">
        <v>1</v>
      </c>
      <c r="I395" s="13">
        <v>1</v>
      </c>
      <c r="J395" s="16">
        <v>8500.0</v>
      </c>
      <c r="K395" s="16"/>
      <c r="L395" s="18">
        <f>IF(J395&gt;0, K395/J395, 0)</f>
        <v>0</v>
      </c>
      <c r="M395" s="16">
        <v>8500.0</v>
      </c>
      <c r="N395" s="16"/>
      <c r="O395" s="16">
        <f>M395-N395</f>
        <v>8500</v>
      </c>
      <c r="P395" s="11" t="s">
        <v>42</v>
      </c>
      <c r="Q395" s="11" t="s">
        <v>43</v>
      </c>
      <c r="R395" s="11" t="s">
        <v>44</v>
      </c>
      <c r="S395" s="9" t="s">
        <v>2045</v>
      </c>
      <c r="T395" s="9" t="s">
        <v>44</v>
      </c>
    </row>
    <row r="396" spans="1:20">
      <c r="A396" s="10">
        <v>389</v>
      </c>
      <c r="B396" s="10" t="s">
        <v>642</v>
      </c>
      <c r="C396" s="10" t="s">
        <v>633</v>
      </c>
      <c r="D396" s="10" t="s">
        <v>201</v>
      </c>
      <c r="E396" s="10" t="s">
        <v>34</v>
      </c>
      <c r="F396" s="10" t="s">
        <v>35</v>
      </c>
      <c r="G396" s="8" t="s">
        <v>41</v>
      </c>
      <c r="H396" s="12">
        <v>1</v>
      </c>
      <c r="I396" s="12">
        <v>2</v>
      </c>
      <c r="J396" s="15">
        <v>16000.0</v>
      </c>
      <c r="K396" s="15"/>
      <c r="L396" s="17">
        <f>IF(J396&gt;0, K396/J396, 0)</f>
        <v>0</v>
      </c>
      <c r="M396" s="15">
        <v>16000.0</v>
      </c>
      <c r="N396" s="15"/>
      <c r="O396" s="15">
        <f>M396-N396</f>
        <v>16000</v>
      </c>
      <c r="P396" s="10" t="s">
        <v>42</v>
      </c>
      <c r="Q396" s="10" t="s">
        <v>43</v>
      </c>
      <c r="R396" s="10" t="s">
        <v>44</v>
      </c>
      <c r="S396" s="8" t="s">
        <v>2147</v>
      </c>
      <c r="T396" s="8" t="s">
        <v>44</v>
      </c>
    </row>
    <row r="397" spans="1:20">
      <c r="A397" s="11">
        <v>390</v>
      </c>
      <c r="B397" s="11" t="s">
        <v>643</v>
      </c>
      <c r="C397" s="11" t="s">
        <v>633</v>
      </c>
      <c r="D397" s="11" t="s">
        <v>201</v>
      </c>
      <c r="E397" s="11" t="s">
        <v>70</v>
      </c>
      <c r="F397" s="11" t="s">
        <v>35</v>
      </c>
      <c r="G397" s="9" t="s">
        <v>41</v>
      </c>
      <c r="H397" s="13">
        <v>1</v>
      </c>
      <c r="I397" s="13">
        <v>1</v>
      </c>
      <c r="J397" s="16">
        <v>18000.0</v>
      </c>
      <c r="K397" s="16"/>
      <c r="L397" s="18">
        <f>IF(J397&gt;0, K397/J397, 0)</f>
        <v>0</v>
      </c>
      <c r="M397" s="16">
        <v>18000.0</v>
      </c>
      <c r="N397" s="16"/>
      <c r="O397" s="16">
        <f>M397-N397</f>
        <v>18000</v>
      </c>
      <c r="P397" s="11" t="s">
        <v>42</v>
      </c>
      <c r="Q397" s="11" t="s">
        <v>73</v>
      </c>
      <c r="R397" s="11" t="s">
        <v>44</v>
      </c>
      <c r="S397" s="9" t="s">
        <v>2070</v>
      </c>
      <c r="T397" s="9" t="s">
        <v>44</v>
      </c>
    </row>
    <row r="398" spans="1:20">
      <c r="A398" s="10">
        <v>391</v>
      </c>
      <c r="B398" s="10" t="s">
        <v>644</v>
      </c>
      <c r="C398" s="10" t="s">
        <v>633</v>
      </c>
      <c r="D398" s="10" t="s">
        <v>201</v>
      </c>
      <c r="E398" s="10" t="s">
        <v>34</v>
      </c>
      <c r="F398" s="10" t="s">
        <v>35</v>
      </c>
      <c r="G398" s="8" t="s">
        <v>41</v>
      </c>
      <c r="H398" s="12">
        <v>1</v>
      </c>
      <c r="I398" s="12">
        <v>1</v>
      </c>
      <c r="J398" s="15">
        <v>8000.0</v>
      </c>
      <c r="K398" s="15"/>
      <c r="L398" s="17">
        <f>IF(J398&gt;0, K398/J398, 0)</f>
        <v>0</v>
      </c>
      <c r="M398" s="15">
        <v>8000.0</v>
      </c>
      <c r="N398" s="15"/>
      <c r="O398" s="15">
        <f>M398-N398</f>
        <v>8000</v>
      </c>
      <c r="P398" s="10" t="s">
        <v>42</v>
      </c>
      <c r="Q398" s="10" t="s">
        <v>43</v>
      </c>
      <c r="R398" s="10" t="s">
        <v>44</v>
      </c>
      <c r="S398" s="8" t="s">
        <v>2068</v>
      </c>
      <c r="T398" s="8" t="s">
        <v>44</v>
      </c>
    </row>
    <row r="399" spans="1:20">
      <c r="A399" s="11">
        <v>392</v>
      </c>
      <c r="B399" s="11" t="s">
        <v>646</v>
      </c>
      <c r="C399" s="11" t="s">
        <v>633</v>
      </c>
      <c r="D399" s="11" t="s">
        <v>201</v>
      </c>
      <c r="E399" s="11" t="s">
        <v>34</v>
      </c>
      <c r="F399" s="11" t="s">
        <v>35</v>
      </c>
      <c r="G399" s="9" t="s">
        <v>41</v>
      </c>
      <c r="H399" s="13">
        <v>1</v>
      </c>
      <c r="I399" s="13">
        <v>1</v>
      </c>
      <c r="J399" s="16">
        <v>7500.0</v>
      </c>
      <c r="K399" s="16"/>
      <c r="L399" s="18">
        <f>IF(J399&gt;0, K399/J399, 0)</f>
        <v>0</v>
      </c>
      <c r="M399" s="16">
        <v>7500.0</v>
      </c>
      <c r="N399" s="16"/>
      <c r="O399" s="16">
        <f>M399-N399</f>
        <v>7500</v>
      </c>
      <c r="P399" s="11" t="s">
        <v>42</v>
      </c>
      <c r="Q399" s="11" t="s">
        <v>43</v>
      </c>
      <c r="R399" s="11" t="s">
        <v>44</v>
      </c>
      <c r="S399" s="9" t="s">
        <v>2023</v>
      </c>
      <c r="T399" s="9" t="s">
        <v>44</v>
      </c>
    </row>
    <row r="400" spans="1:20">
      <c r="A400" s="10">
        <v>393</v>
      </c>
      <c r="B400" s="10" t="s">
        <v>647</v>
      </c>
      <c r="C400" s="10" t="s">
        <v>633</v>
      </c>
      <c r="D400" s="10" t="s">
        <v>201</v>
      </c>
      <c r="E400" s="10" t="s">
        <v>34</v>
      </c>
      <c r="F400" s="10" t="s">
        <v>35</v>
      </c>
      <c r="G400" s="8" t="s">
        <v>41</v>
      </c>
      <c r="H400" s="12">
        <v>1</v>
      </c>
      <c r="I400" s="12">
        <v>1</v>
      </c>
      <c r="J400" s="15">
        <v>8500.0</v>
      </c>
      <c r="K400" s="15"/>
      <c r="L400" s="17">
        <f>IF(J400&gt;0, K400/J400, 0)</f>
        <v>0</v>
      </c>
      <c r="M400" s="15">
        <v>8500.0</v>
      </c>
      <c r="N400" s="15"/>
      <c r="O400" s="15">
        <f>M400-N400</f>
        <v>8500</v>
      </c>
      <c r="P400" s="10" t="s">
        <v>42</v>
      </c>
      <c r="Q400" s="10" t="s">
        <v>43</v>
      </c>
      <c r="R400" s="10" t="s">
        <v>44</v>
      </c>
      <c r="S400" s="8" t="s">
        <v>2148</v>
      </c>
      <c r="T400" s="8" t="s">
        <v>44</v>
      </c>
    </row>
    <row r="401" spans="1:20">
      <c r="A401" s="11">
        <v>394</v>
      </c>
      <c r="B401" s="11" t="s">
        <v>649</v>
      </c>
      <c r="C401" s="11" t="s">
        <v>633</v>
      </c>
      <c r="D401" s="11" t="s">
        <v>201</v>
      </c>
      <c r="E401" s="11" t="s">
        <v>34</v>
      </c>
      <c r="F401" s="11" t="s">
        <v>35</v>
      </c>
      <c r="G401" s="9" t="s">
        <v>41</v>
      </c>
      <c r="H401" s="13">
        <v>1</v>
      </c>
      <c r="I401" s="13">
        <v>1</v>
      </c>
      <c r="J401" s="16">
        <v>8500.0</v>
      </c>
      <c r="K401" s="16"/>
      <c r="L401" s="18">
        <f>IF(J401&gt;0, K401/J401, 0)</f>
        <v>0</v>
      </c>
      <c r="M401" s="16">
        <v>8500.0</v>
      </c>
      <c r="N401" s="16"/>
      <c r="O401" s="16">
        <f>M401-N401</f>
        <v>8500</v>
      </c>
      <c r="P401" s="11" t="s">
        <v>42</v>
      </c>
      <c r="Q401" s="11" t="s">
        <v>43</v>
      </c>
      <c r="R401" s="11" t="s">
        <v>44</v>
      </c>
      <c r="S401" s="9" t="s">
        <v>2119</v>
      </c>
      <c r="T401" s="9" t="s">
        <v>44</v>
      </c>
    </row>
    <row r="402" spans="1:20">
      <c r="A402" s="10">
        <v>395</v>
      </c>
      <c r="B402" s="10" t="s">
        <v>650</v>
      </c>
      <c r="C402" s="10" t="s">
        <v>633</v>
      </c>
      <c r="D402" s="10" t="s">
        <v>201</v>
      </c>
      <c r="E402" s="10" t="s">
        <v>34</v>
      </c>
      <c r="F402" s="10" t="s">
        <v>35</v>
      </c>
      <c r="G402" s="8" t="s">
        <v>41</v>
      </c>
      <c r="H402" s="12">
        <v>1</v>
      </c>
      <c r="I402" s="12">
        <v>1</v>
      </c>
      <c r="J402" s="15">
        <v>9000.0</v>
      </c>
      <c r="K402" s="15"/>
      <c r="L402" s="17">
        <f>IF(J402&gt;0, K402/J402, 0)</f>
        <v>0</v>
      </c>
      <c r="M402" s="15">
        <v>9000.0</v>
      </c>
      <c r="N402" s="15"/>
      <c r="O402" s="15">
        <f>M402-N402</f>
        <v>9000</v>
      </c>
      <c r="P402" s="10" t="s">
        <v>42</v>
      </c>
      <c r="Q402" s="10" t="s">
        <v>43</v>
      </c>
      <c r="R402" s="10" t="s">
        <v>44</v>
      </c>
      <c r="S402" s="8" t="s">
        <v>2148</v>
      </c>
      <c r="T402" s="8" t="s">
        <v>44</v>
      </c>
    </row>
    <row r="403" spans="1:20">
      <c r="A403" s="11">
        <v>396</v>
      </c>
      <c r="B403" s="11" t="s">
        <v>652</v>
      </c>
      <c r="C403" s="11" t="s">
        <v>633</v>
      </c>
      <c r="D403" s="11" t="s">
        <v>201</v>
      </c>
      <c r="E403" s="11" t="s">
        <v>34</v>
      </c>
      <c r="F403" s="11" t="s">
        <v>35</v>
      </c>
      <c r="G403" s="9" t="s">
        <v>41</v>
      </c>
      <c r="H403" s="13">
        <v>1</v>
      </c>
      <c r="I403" s="13">
        <v>1</v>
      </c>
      <c r="J403" s="16">
        <v>8000.0</v>
      </c>
      <c r="K403" s="16"/>
      <c r="L403" s="18">
        <f>IF(J403&gt;0, K403/J403, 0)</f>
        <v>0</v>
      </c>
      <c r="M403" s="16">
        <v>8000.0</v>
      </c>
      <c r="N403" s="16"/>
      <c r="O403" s="16">
        <f>M403-N403</f>
        <v>8000</v>
      </c>
      <c r="P403" s="11" t="s">
        <v>42</v>
      </c>
      <c r="Q403" s="11" t="s">
        <v>43</v>
      </c>
      <c r="R403" s="11" t="s">
        <v>44</v>
      </c>
      <c r="S403" s="9" t="s">
        <v>2068</v>
      </c>
      <c r="T403" s="9" t="s">
        <v>44</v>
      </c>
    </row>
    <row r="404" spans="1:20">
      <c r="A404" s="10">
        <v>397</v>
      </c>
      <c r="B404" s="10" t="s">
        <v>653</v>
      </c>
      <c r="C404" s="10" t="s">
        <v>654</v>
      </c>
      <c r="D404" s="10" t="s">
        <v>655</v>
      </c>
      <c r="E404" s="10" t="s">
        <v>34</v>
      </c>
      <c r="F404" s="10" t="s">
        <v>35</v>
      </c>
      <c r="G404" s="8" t="s">
        <v>41</v>
      </c>
      <c r="H404" s="12">
        <v>1</v>
      </c>
      <c r="I404" s="12">
        <v>1</v>
      </c>
      <c r="J404" s="15">
        <v>18000.0</v>
      </c>
      <c r="K404" s="15"/>
      <c r="L404" s="17">
        <f>IF(J404&gt;0, K404/J404, 0)</f>
        <v>0</v>
      </c>
      <c r="M404" s="15">
        <v>18000.0</v>
      </c>
      <c r="N404" s="15"/>
      <c r="O404" s="15">
        <f>M404-N404</f>
        <v>18000</v>
      </c>
      <c r="P404" s="10" t="s">
        <v>42</v>
      </c>
      <c r="Q404" s="10" t="s">
        <v>43</v>
      </c>
      <c r="R404" s="10" t="s">
        <v>44</v>
      </c>
      <c r="S404" s="8" t="s">
        <v>2049</v>
      </c>
      <c r="T404" s="8" t="s">
        <v>44</v>
      </c>
    </row>
    <row r="405" spans="1:20">
      <c r="A405" s="11">
        <v>398</v>
      </c>
      <c r="B405" s="11" t="s">
        <v>656</v>
      </c>
      <c r="C405" s="11" t="s">
        <v>654</v>
      </c>
      <c r="D405" s="11" t="s">
        <v>655</v>
      </c>
      <c r="E405" s="11" t="s">
        <v>34</v>
      </c>
      <c r="F405" s="11" t="s">
        <v>35</v>
      </c>
      <c r="G405" s="9" t="s">
        <v>41</v>
      </c>
      <c r="H405" s="13">
        <v>1</v>
      </c>
      <c r="I405" s="13">
        <v>1</v>
      </c>
      <c r="J405" s="16">
        <v>16000.0</v>
      </c>
      <c r="K405" s="16"/>
      <c r="L405" s="18">
        <f>IF(J405&gt;0, K405/J405, 0)</f>
        <v>0</v>
      </c>
      <c r="M405" s="16">
        <v>16000.0</v>
      </c>
      <c r="N405" s="16"/>
      <c r="O405" s="16">
        <f>M405-N405</f>
        <v>16000</v>
      </c>
      <c r="P405" s="11" t="s">
        <v>42</v>
      </c>
      <c r="Q405" s="11" t="s">
        <v>43</v>
      </c>
      <c r="R405" s="11" t="s">
        <v>44</v>
      </c>
      <c r="S405" s="9" t="s">
        <v>2090</v>
      </c>
      <c r="T405" s="9" t="s">
        <v>44</v>
      </c>
    </row>
    <row r="406" spans="1:20">
      <c r="A406" s="10">
        <v>399</v>
      </c>
      <c r="B406" s="10" t="s">
        <v>657</v>
      </c>
      <c r="C406" s="10" t="s">
        <v>654</v>
      </c>
      <c r="D406" s="10" t="s">
        <v>655</v>
      </c>
      <c r="E406" s="10" t="s">
        <v>34</v>
      </c>
      <c r="F406" s="10" t="s">
        <v>35</v>
      </c>
      <c r="G406" s="8" t="s">
        <v>41</v>
      </c>
      <c r="H406" s="12">
        <v>1</v>
      </c>
      <c r="I406" s="12">
        <v>1</v>
      </c>
      <c r="J406" s="15">
        <v>7000.0</v>
      </c>
      <c r="K406" s="15"/>
      <c r="L406" s="17">
        <f>IF(J406&gt;0, K406/J406, 0)</f>
        <v>0</v>
      </c>
      <c r="M406" s="15">
        <v>7000.0</v>
      </c>
      <c r="N406" s="15"/>
      <c r="O406" s="15">
        <f>M406-N406</f>
        <v>7000</v>
      </c>
      <c r="P406" s="10" t="s">
        <v>42</v>
      </c>
      <c r="Q406" s="10" t="s">
        <v>43</v>
      </c>
      <c r="R406" s="10" t="s">
        <v>44</v>
      </c>
      <c r="S406" s="8" t="s">
        <v>2149</v>
      </c>
      <c r="T406" s="8" t="s">
        <v>44</v>
      </c>
    </row>
    <row r="407" spans="1:20">
      <c r="A407" s="11">
        <v>400</v>
      </c>
      <c r="B407" s="11" t="s">
        <v>659</v>
      </c>
      <c r="C407" s="11" t="s">
        <v>654</v>
      </c>
      <c r="D407" s="11" t="s">
        <v>655</v>
      </c>
      <c r="E407" s="11" t="s">
        <v>34</v>
      </c>
      <c r="F407" s="11" t="s">
        <v>35</v>
      </c>
      <c r="G407" s="9" t="s">
        <v>41</v>
      </c>
      <c r="H407" s="13">
        <v>1</v>
      </c>
      <c r="I407" s="13">
        <v>1</v>
      </c>
      <c r="J407" s="16">
        <v>7000.0</v>
      </c>
      <c r="K407" s="16"/>
      <c r="L407" s="18">
        <f>IF(J407&gt;0, K407/J407, 0)</f>
        <v>0</v>
      </c>
      <c r="M407" s="16">
        <v>7000.0</v>
      </c>
      <c r="N407" s="16"/>
      <c r="O407" s="16">
        <f>M407-N407</f>
        <v>7000</v>
      </c>
      <c r="P407" s="11" t="s">
        <v>42</v>
      </c>
      <c r="Q407" s="11" t="s">
        <v>43</v>
      </c>
      <c r="R407" s="11" t="s">
        <v>44</v>
      </c>
      <c r="S407" s="9" t="s">
        <v>2105</v>
      </c>
      <c r="T407" s="9" t="s">
        <v>44</v>
      </c>
    </row>
    <row r="408" spans="1:20">
      <c r="A408" s="10">
        <v>401</v>
      </c>
      <c r="B408" s="10" t="s">
        <v>660</v>
      </c>
      <c r="C408" s="10" t="s">
        <v>654</v>
      </c>
      <c r="D408" s="10" t="s">
        <v>655</v>
      </c>
      <c r="E408" s="10" t="s">
        <v>70</v>
      </c>
      <c r="F408" s="10" t="s">
        <v>35</v>
      </c>
      <c r="G408" s="8" t="s">
        <v>41</v>
      </c>
      <c r="H408" s="12">
        <v>1</v>
      </c>
      <c r="I408" s="12">
        <v>1</v>
      </c>
      <c r="J408" s="15">
        <v>10000.0</v>
      </c>
      <c r="K408" s="15"/>
      <c r="L408" s="17">
        <f>IF(J408&gt;0, K408/J408, 0)</f>
        <v>0</v>
      </c>
      <c r="M408" s="15">
        <v>10000.0</v>
      </c>
      <c r="N408" s="15"/>
      <c r="O408" s="15">
        <f>M408-N408</f>
        <v>10000</v>
      </c>
      <c r="P408" s="10" t="s">
        <v>42</v>
      </c>
      <c r="Q408" s="10" t="s">
        <v>73</v>
      </c>
      <c r="R408" s="10" t="s">
        <v>44</v>
      </c>
      <c r="S408" s="8" t="s">
        <v>2020</v>
      </c>
      <c r="T408" s="8" t="s">
        <v>44</v>
      </c>
    </row>
    <row r="409" spans="1:20">
      <c r="A409" s="11">
        <v>402</v>
      </c>
      <c r="B409" s="11" t="s">
        <v>661</v>
      </c>
      <c r="C409" s="11" t="s">
        <v>654</v>
      </c>
      <c r="D409" s="11" t="s">
        <v>655</v>
      </c>
      <c r="E409" s="11" t="s">
        <v>34</v>
      </c>
      <c r="F409" s="11" t="s">
        <v>35</v>
      </c>
      <c r="G409" s="9" t="s">
        <v>41</v>
      </c>
      <c r="H409" s="13">
        <v>1</v>
      </c>
      <c r="I409" s="13">
        <v>3</v>
      </c>
      <c r="J409" s="16">
        <v>27000.0</v>
      </c>
      <c r="K409" s="16"/>
      <c r="L409" s="18">
        <f>IF(J409&gt;0, K409/J409, 0)</f>
        <v>0</v>
      </c>
      <c r="M409" s="16">
        <v>27000.0</v>
      </c>
      <c r="N409" s="16"/>
      <c r="O409" s="16">
        <f>M409-N409</f>
        <v>27000</v>
      </c>
      <c r="P409" s="11" t="s">
        <v>42</v>
      </c>
      <c r="Q409" s="11" t="s">
        <v>43</v>
      </c>
      <c r="R409" s="11" t="s">
        <v>44</v>
      </c>
      <c r="S409" s="9" t="s">
        <v>2150</v>
      </c>
      <c r="T409" s="9" t="s">
        <v>44</v>
      </c>
    </row>
    <row r="410" spans="1:20">
      <c r="A410" s="10">
        <v>403</v>
      </c>
      <c r="B410" s="10" t="s">
        <v>662</v>
      </c>
      <c r="C410" s="10" t="s">
        <v>663</v>
      </c>
      <c r="D410" s="10" t="s">
        <v>655</v>
      </c>
      <c r="E410" s="10" t="s">
        <v>34</v>
      </c>
      <c r="F410" s="10" t="s">
        <v>35</v>
      </c>
      <c r="G410" s="8" t="s">
        <v>41</v>
      </c>
      <c r="H410" s="12">
        <v>1</v>
      </c>
      <c r="I410" s="12">
        <v>1</v>
      </c>
      <c r="J410" s="15">
        <v>9500.0</v>
      </c>
      <c r="K410" s="15"/>
      <c r="L410" s="17">
        <f>IF(J410&gt;0, K410/J410, 0)</f>
        <v>0</v>
      </c>
      <c r="M410" s="15">
        <v>9500.0</v>
      </c>
      <c r="N410" s="15"/>
      <c r="O410" s="15">
        <f>M410-N410</f>
        <v>9500</v>
      </c>
      <c r="P410" s="10" t="s">
        <v>42</v>
      </c>
      <c r="Q410" s="10" t="s">
        <v>43</v>
      </c>
      <c r="R410" s="10" t="s">
        <v>44</v>
      </c>
      <c r="S410" s="8" t="s">
        <v>2081</v>
      </c>
      <c r="T410" s="8" t="s">
        <v>44</v>
      </c>
    </row>
    <row r="411" spans="1:20">
      <c r="A411" s="11">
        <v>404</v>
      </c>
      <c r="B411" s="11" t="s">
        <v>664</v>
      </c>
      <c r="C411" s="11" t="s">
        <v>663</v>
      </c>
      <c r="D411" s="11" t="s">
        <v>655</v>
      </c>
      <c r="E411" s="11" t="s">
        <v>34</v>
      </c>
      <c r="F411" s="11" t="s">
        <v>35</v>
      </c>
      <c r="G411" s="9" t="s">
        <v>41</v>
      </c>
      <c r="H411" s="13">
        <v>1</v>
      </c>
      <c r="I411" s="13">
        <v>1</v>
      </c>
      <c r="J411" s="16">
        <v>9000.0</v>
      </c>
      <c r="K411" s="16"/>
      <c r="L411" s="18">
        <f>IF(J411&gt;0, K411/J411, 0)</f>
        <v>0</v>
      </c>
      <c r="M411" s="16">
        <v>9000.0</v>
      </c>
      <c r="N411" s="16"/>
      <c r="O411" s="16">
        <f>M411-N411</f>
        <v>9000</v>
      </c>
      <c r="P411" s="11" t="s">
        <v>42</v>
      </c>
      <c r="Q411" s="11" t="s">
        <v>43</v>
      </c>
      <c r="R411" s="11" t="s">
        <v>44</v>
      </c>
      <c r="S411" s="9" t="s">
        <v>2109</v>
      </c>
      <c r="T411" s="9" t="s">
        <v>44</v>
      </c>
    </row>
    <row r="412" spans="1:20">
      <c r="A412" s="10">
        <v>405</v>
      </c>
      <c r="B412" s="10" t="s">
        <v>665</v>
      </c>
      <c r="C412" s="10" t="s">
        <v>663</v>
      </c>
      <c r="D412" s="10" t="s">
        <v>655</v>
      </c>
      <c r="E412" s="10" t="s">
        <v>34</v>
      </c>
      <c r="F412" s="10" t="s">
        <v>35</v>
      </c>
      <c r="G412" s="8" t="s">
        <v>41</v>
      </c>
      <c r="H412" s="12">
        <v>1</v>
      </c>
      <c r="I412" s="12">
        <v>1</v>
      </c>
      <c r="J412" s="15">
        <v>7500.0</v>
      </c>
      <c r="K412" s="15"/>
      <c r="L412" s="17">
        <f>IF(J412&gt;0, K412/J412, 0)</f>
        <v>0</v>
      </c>
      <c r="M412" s="15">
        <v>7500.0</v>
      </c>
      <c r="N412" s="15"/>
      <c r="O412" s="15">
        <f>M412-N412</f>
        <v>7500</v>
      </c>
      <c r="P412" s="10" t="s">
        <v>42</v>
      </c>
      <c r="Q412" s="10" t="s">
        <v>43</v>
      </c>
      <c r="R412" s="10" t="s">
        <v>44</v>
      </c>
      <c r="S412" s="8" t="s">
        <v>2108</v>
      </c>
      <c r="T412" s="8" t="s">
        <v>44</v>
      </c>
    </row>
    <row r="413" spans="1:20">
      <c r="A413" s="11">
        <v>406</v>
      </c>
      <c r="B413" s="11" t="s">
        <v>666</v>
      </c>
      <c r="C413" s="11" t="s">
        <v>663</v>
      </c>
      <c r="D413" s="11" t="s">
        <v>655</v>
      </c>
      <c r="E413" s="11" t="s">
        <v>34</v>
      </c>
      <c r="F413" s="11" t="s">
        <v>35</v>
      </c>
      <c r="G413" s="9" t="s">
        <v>41</v>
      </c>
      <c r="H413" s="13">
        <v>1</v>
      </c>
      <c r="I413" s="13">
        <v>1</v>
      </c>
      <c r="J413" s="16">
        <v>16500.0</v>
      </c>
      <c r="K413" s="16"/>
      <c r="L413" s="18">
        <f>IF(J413&gt;0, K413/J413, 0)</f>
        <v>0</v>
      </c>
      <c r="M413" s="16">
        <v>16500.0</v>
      </c>
      <c r="N413" s="16"/>
      <c r="O413" s="16">
        <f>M413-N413</f>
        <v>16500</v>
      </c>
      <c r="P413" s="11" t="s">
        <v>42</v>
      </c>
      <c r="Q413" s="11" t="s">
        <v>43</v>
      </c>
      <c r="R413" s="11" t="s">
        <v>44</v>
      </c>
      <c r="S413" s="9" t="s">
        <v>2121</v>
      </c>
      <c r="T413" s="9" t="s">
        <v>44</v>
      </c>
    </row>
    <row r="414" spans="1:20">
      <c r="A414" s="10">
        <v>407</v>
      </c>
      <c r="B414" s="10" t="s">
        <v>667</v>
      </c>
      <c r="C414" s="10" t="s">
        <v>663</v>
      </c>
      <c r="D414" s="10" t="s">
        <v>655</v>
      </c>
      <c r="E414" s="10" t="s">
        <v>34</v>
      </c>
      <c r="F414" s="10" t="s">
        <v>35</v>
      </c>
      <c r="G414" s="8" t="s">
        <v>41</v>
      </c>
      <c r="H414" s="12">
        <v>1</v>
      </c>
      <c r="I414" s="12">
        <v>1</v>
      </c>
      <c r="J414" s="15">
        <v>7500.0</v>
      </c>
      <c r="K414" s="15"/>
      <c r="L414" s="17">
        <f>IF(J414&gt;0, K414/J414, 0)</f>
        <v>0</v>
      </c>
      <c r="M414" s="15">
        <v>7500.0</v>
      </c>
      <c r="N414" s="15"/>
      <c r="O414" s="15">
        <f>M414-N414</f>
        <v>7500</v>
      </c>
      <c r="P414" s="10" t="s">
        <v>42</v>
      </c>
      <c r="Q414" s="10" t="s">
        <v>43</v>
      </c>
      <c r="R414" s="10" t="s">
        <v>44</v>
      </c>
      <c r="S414" s="8" t="s">
        <v>2151</v>
      </c>
      <c r="T414" s="8" t="s">
        <v>44</v>
      </c>
    </row>
    <row r="415" spans="1:20">
      <c r="A415" s="11">
        <v>408</v>
      </c>
      <c r="B415" s="11" t="s">
        <v>669</v>
      </c>
      <c r="C415" s="11" t="s">
        <v>663</v>
      </c>
      <c r="D415" s="11" t="s">
        <v>655</v>
      </c>
      <c r="E415" s="11" t="s">
        <v>34</v>
      </c>
      <c r="F415" s="11" t="s">
        <v>35</v>
      </c>
      <c r="G415" s="9" t="s">
        <v>41</v>
      </c>
      <c r="H415" s="13">
        <v>1</v>
      </c>
      <c r="I415" s="13">
        <v>1</v>
      </c>
      <c r="J415" s="16">
        <v>8500.0</v>
      </c>
      <c r="K415" s="16"/>
      <c r="L415" s="18">
        <f>IF(J415&gt;0, K415/J415, 0)</f>
        <v>0</v>
      </c>
      <c r="M415" s="16">
        <v>8500.0</v>
      </c>
      <c r="N415" s="16"/>
      <c r="O415" s="16">
        <f>M415-N415</f>
        <v>8500</v>
      </c>
      <c r="P415" s="11" t="s">
        <v>42</v>
      </c>
      <c r="Q415" s="11" t="s">
        <v>43</v>
      </c>
      <c r="R415" s="11" t="s">
        <v>44</v>
      </c>
      <c r="S415" s="9" t="s">
        <v>2103</v>
      </c>
      <c r="T415" s="9" t="s">
        <v>44</v>
      </c>
    </row>
    <row r="416" spans="1:20">
      <c r="A416" s="10">
        <v>409</v>
      </c>
      <c r="B416" s="10" t="s">
        <v>671</v>
      </c>
      <c r="C416" s="10" t="s">
        <v>663</v>
      </c>
      <c r="D416" s="10" t="s">
        <v>655</v>
      </c>
      <c r="E416" s="10" t="s">
        <v>34</v>
      </c>
      <c r="F416" s="10" t="s">
        <v>35</v>
      </c>
      <c r="G416" s="8" t="s">
        <v>41</v>
      </c>
      <c r="H416" s="12">
        <v>1</v>
      </c>
      <c r="I416" s="12">
        <v>1</v>
      </c>
      <c r="J416" s="15">
        <v>7000.0</v>
      </c>
      <c r="K416" s="15"/>
      <c r="L416" s="17">
        <f>IF(J416&gt;0, K416/J416, 0)</f>
        <v>0</v>
      </c>
      <c r="M416" s="15">
        <v>7000.0</v>
      </c>
      <c r="N416" s="15"/>
      <c r="O416" s="15">
        <f>M416-N416</f>
        <v>7000</v>
      </c>
      <c r="P416" s="10" t="s">
        <v>42</v>
      </c>
      <c r="Q416" s="10" t="s">
        <v>43</v>
      </c>
      <c r="R416" s="10" t="s">
        <v>44</v>
      </c>
      <c r="S416" s="8" t="s">
        <v>2100</v>
      </c>
      <c r="T416" s="8" t="s">
        <v>44</v>
      </c>
    </row>
    <row r="417" spans="1:20">
      <c r="A417" s="11">
        <v>410</v>
      </c>
      <c r="B417" s="11" t="s">
        <v>672</v>
      </c>
      <c r="C417" s="11" t="s">
        <v>663</v>
      </c>
      <c r="D417" s="11" t="s">
        <v>655</v>
      </c>
      <c r="E417" s="11" t="s">
        <v>34</v>
      </c>
      <c r="F417" s="11" t="s">
        <v>35</v>
      </c>
      <c r="G417" s="9" t="s">
        <v>41</v>
      </c>
      <c r="H417" s="13">
        <v>1</v>
      </c>
      <c r="I417" s="13">
        <v>1</v>
      </c>
      <c r="J417" s="16">
        <v>8000.0</v>
      </c>
      <c r="K417" s="16"/>
      <c r="L417" s="18">
        <f>IF(J417&gt;0, K417/J417, 0)</f>
        <v>0</v>
      </c>
      <c r="M417" s="16">
        <v>8000.0</v>
      </c>
      <c r="N417" s="16"/>
      <c r="O417" s="16">
        <f>M417-N417</f>
        <v>8000</v>
      </c>
      <c r="P417" s="11" t="s">
        <v>42</v>
      </c>
      <c r="Q417" s="11" t="s">
        <v>43</v>
      </c>
      <c r="R417" s="11" t="s">
        <v>44</v>
      </c>
      <c r="S417" s="9" t="s">
        <v>2144</v>
      </c>
      <c r="T417" s="9" t="s">
        <v>44</v>
      </c>
    </row>
    <row r="418" spans="1:20">
      <c r="A418" s="10">
        <v>411</v>
      </c>
      <c r="B418" s="10" t="s">
        <v>673</v>
      </c>
      <c r="C418" s="10" t="s">
        <v>663</v>
      </c>
      <c r="D418" s="10" t="s">
        <v>655</v>
      </c>
      <c r="E418" s="10" t="s">
        <v>34</v>
      </c>
      <c r="F418" s="10" t="s">
        <v>35</v>
      </c>
      <c r="G418" s="8" t="s">
        <v>41</v>
      </c>
      <c r="H418" s="12">
        <v>1</v>
      </c>
      <c r="I418" s="12">
        <v>1</v>
      </c>
      <c r="J418" s="15">
        <v>8000.0</v>
      </c>
      <c r="K418" s="15"/>
      <c r="L418" s="17">
        <f>IF(J418&gt;0, K418/J418, 0)</f>
        <v>0</v>
      </c>
      <c r="M418" s="15">
        <v>8000.0</v>
      </c>
      <c r="N418" s="15"/>
      <c r="O418" s="15">
        <f>M418-N418</f>
        <v>8000</v>
      </c>
      <c r="P418" s="10" t="s">
        <v>42</v>
      </c>
      <c r="Q418" s="10" t="s">
        <v>43</v>
      </c>
      <c r="R418" s="10" t="s">
        <v>44</v>
      </c>
      <c r="S418" s="8" t="s">
        <v>2045</v>
      </c>
      <c r="T418" s="8" t="s">
        <v>44</v>
      </c>
    </row>
    <row r="419" spans="1:20">
      <c r="A419" s="11">
        <v>412</v>
      </c>
      <c r="B419" s="11" t="s">
        <v>674</v>
      </c>
      <c r="C419" s="11" t="s">
        <v>663</v>
      </c>
      <c r="D419" s="11" t="s">
        <v>655</v>
      </c>
      <c r="E419" s="11" t="s">
        <v>34</v>
      </c>
      <c r="F419" s="11" t="s">
        <v>35</v>
      </c>
      <c r="G419" s="9" t="s">
        <v>41</v>
      </c>
      <c r="H419" s="13">
        <v>1</v>
      </c>
      <c r="I419" s="13">
        <v>1</v>
      </c>
      <c r="J419" s="16">
        <v>16000.0</v>
      </c>
      <c r="K419" s="16"/>
      <c r="L419" s="18">
        <f>IF(J419&gt;0, K419/J419, 0)</f>
        <v>0</v>
      </c>
      <c r="M419" s="16">
        <v>16000.0</v>
      </c>
      <c r="N419" s="16"/>
      <c r="O419" s="16">
        <f>M419-N419</f>
        <v>16000</v>
      </c>
      <c r="P419" s="11" t="s">
        <v>42</v>
      </c>
      <c r="Q419" s="11" t="s">
        <v>43</v>
      </c>
      <c r="R419" s="11" t="s">
        <v>44</v>
      </c>
      <c r="S419" s="9" t="s">
        <v>2072</v>
      </c>
      <c r="T419" s="9" t="s">
        <v>44</v>
      </c>
    </row>
    <row r="420" spans="1:20">
      <c r="A420" s="10">
        <v>413</v>
      </c>
      <c r="B420" s="10" t="s">
        <v>675</v>
      </c>
      <c r="C420" s="10" t="s">
        <v>663</v>
      </c>
      <c r="D420" s="10" t="s">
        <v>655</v>
      </c>
      <c r="E420" s="10" t="s">
        <v>34</v>
      </c>
      <c r="F420" s="10" t="s">
        <v>35</v>
      </c>
      <c r="G420" s="8" t="s">
        <v>41</v>
      </c>
      <c r="H420" s="12">
        <v>1</v>
      </c>
      <c r="I420" s="12">
        <v>1</v>
      </c>
      <c r="J420" s="15">
        <v>7000.0</v>
      </c>
      <c r="K420" s="15"/>
      <c r="L420" s="17">
        <f>IF(J420&gt;0, K420/J420, 0)</f>
        <v>0</v>
      </c>
      <c r="M420" s="15">
        <v>7000.0</v>
      </c>
      <c r="N420" s="15"/>
      <c r="O420" s="15">
        <f>M420-N420</f>
        <v>7000</v>
      </c>
      <c r="P420" s="10" t="s">
        <v>42</v>
      </c>
      <c r="Q420" s="10" t="s">
        <v>43</v>
      </c>
      <c r="R420" s="10" t="s">
        <v>44</v>
      </c>
      <c r="S420" s="8" t="s">
        <v>2020</v>
      </c>
      <c r="T420" s="8" t="s">
        <v>44</v>
      </c>
    </row>
    <row r="421" spans="1:20">
      <c r="A421" s="11">
        <v>414</v>
      </c>
      <c r="B421" s="11" t="s">
        <v>676</v>
      </c>
      <c r="C421" s="11" t="s">
        <v>663</v>
      </c>
      <c r="D421" s="11" t="s">
        <v>655</v>
      </c>
      <c r="E421" s="11" t="s">
        <v>34</v>
      </c>
      <c r="F421" s="11" t="s">
        <v>35</v>
      </c>
      <c r="G421" s="9" t="s">
        <v>41</v>
      </c>
      <c r="H421" s="13">
        <v>1</v>
      </c>
      <c r="I421" s="13">
        <v>1</v>
      </c>
      <c r="J421" s="16">
        <v>16000.0</v>
      </c>
      <c r="K421" s="16"/>
      <c r="L421" s="18">
        <f>IF(J421&gt;0, K421/J421, 0)</f>
        <v>0</v>
      </c>
      <c r="M421" s="16">
        <v>16000.0</v>
      </c>
      <c r="N421" s="16"/>
      <c r="O421" s="16">
        <f>M421-N421</f>
        <v>16000</v>
      </c>
      <c r="P421" s="11" t="s">
        <v>42</v>
      </c>
      <c r="Q421" s="11" t="s">
        <v>43</v>
      </c>
      <c r="R421" s="11" t="s">
        <v>44</v>
      </c>
      <c r="S421" s="9" t="s">
        <v>2078</v>
      </c>
      <c r="T421" s="9" t="s">
        <v>44</v>
      </c>
    </row>
    <row r="422" spans="1:20">
      <c r="A422" s="10">
        <v>415</v>
      </c>
      <c r="B422" s="10" t="s">
        <v>677</v>
      </c>
      <c r="C422" s="10" t="s">
        <v>663</v>
      </c>
      <c r="D422" s="10" t="s">
        <v>655</v>
      </c>
      <c r="E422" s="10" t="s">
        <v>34</v>
      </c>
      <c r="F422" s="10" t="s">
        <v>35</v>
      </c>
      <c r="G422" s="8" t="s">
        <v>41</v>
      </c>
      <c r="H422" s="12">
        <v>1</v>
      </c>
      <c r="I422" s="12">
        <v>1</v>
      </c>
      <c r="J422" s="15">
        <v>8000.0</v>
      </c>
      <c r="K422" s="15"/>
      <c r="L422" s="17">
        <f>IF(J422&gt;0, K422/J422, 0)</f>
        <v>0</v>
      </c>
      <c r="M422" s="15">
        <v>8000.0</v>
      </c>
      <c r="N422" s="15"/>
      <c r="O422" s="15">
        <f>M422-N422</f>
        <v>8000</v>
      </c>
      <c r="P422" s="10" t="s">
        <v>42</v>
      </c>
      <c r="Q422" s="10" t="s">
        <v>43</v>
      </c>
      <c r="R422" s="10" t="s">
        <v>44</v>
      </c>
      <c r="S422" s="8" t="s">
        <v>2137</v>
      </c>
      <c r="T422" s="8" t="s">
        <v>44</v>
      </c>
    </row>
    <row r="423" spans="1:20">
      <c r="A423" s="11">
        <v>416</v>
      </c>
      <c r="B423" s="11" t="s">
        <v>678</v>
      </c>
      <c r="C423" s="11" t="s">
        <v>663</v>
      </c>
      <c r="D423" s="11" t="s">
        <v>655</v>
      </c>
      <c r="E423" s="11" t="s">
        <v>34</v>
      </c>
      <c r="F423" s="11" t="s">
        <v>35</v>
      </c>
      <c r="G423" s="9" t="s">
        <v>41</v>
      </c>
      <c r="H423" s="13">
        <v>1</v>
      </c>
      <c r="I423" s="13">
        <v>1</v>
      </c>
      <c r="J423" s="16">
        <v>8000.0</v>
      </c>
      <c r="K423" s="16"/>
      <c r="L423" s="18">
        <f>IF(J423&gt;0, K423/J423, 0)</f>
        <v>0</v>
      </c>
      <c r="M423" s="16">
        <v>8000.0</v>
      </c>
      <c r="N423" s="16"/>
      <c r="O423" s="16">
        <f>M423-N423</f>
        <v>8000</v>
      </c>
      <c r="P423" s="11" t="s">
        <v>42</v>
      </c>
      <c r="Q423" s="11" t="s">
        <v>43</v>
      </c>
      <c r="R423" s="11" t="s">
        <v>44</v>
      </c>
      <c r="S423" s="9" t="s">
        <v>2087</v>
      </c>
      <c r="T423" s="9" t="s">
        <v>44</v>
      </c>
    </row>
    <row r="424" spans="1:20">
      <c r="A424" s="10">
        <v>417</v>
      </c>
      <c r="B424" s="10" t="s">
        <v>679</v>
      </c>
      <c r="C424" s="10" t="s">
        <v>663</v>
      </c>
      <c r="D424" s="10" t="s">
        <v>655</v>
      </c>
      <c r="E424" s="10" t="s">
        <v>34</v>
      </c>
      <c r="F424" s="10" t="s">
        <v>35</v>
      </c>
      <c r="G424" s="8" t="s">
        <v>41</v>
      </c>
      <c r="H424" s="12">
        <v>1</v>
      </c>
      <c r="I424" s="12">
        <v>1</v>
      </c>
      <c r="J424" s="15">
        <v>7000.0</v>
      </c>
      <c r="K424" s="15"/>
      <c r="L424" s="17">
        <f>IF(J424&gt;0, K424/J424, 0)</f>
        <v>0</v>
      </c>
      <c r="M424" s="15">
        <v>7000.0</v>
      </c>
      <c r="N424" s="15"/>
      <c r="O424" s="15">
        <f>M424-N424</f>
        <v>7000</v>
      </c>
      <c r="P424" s="10" t="s">
        <v>42</v>
      </c>
      <c r="Q424" s="10" t="s">
        <v>43</v>
      </c>
      <c r="R424" s="10" t="s">
        <v>44</v>
      </c>
      <c r="S424" s="8" t="s">
        <v>2088</v>
      </c>
      <c r="T424" s="8" t="s">
        <v>44</v>
      </c>
    </row>
    <row r="425" spans="1:20">
      <c r="A425" s="11">
        <v>418</v>
      </c>
      <c r="B425" s="11" t="s">
        <v>680</v>
      </c>
      <c r="C425" s="11" t="s">
        <v>681</v>
      </c>
      <c r="D425" s="11" t="s">
        <v>655</v>
      </c>
      <c r="E425" s="11" t="s">
        <v>34</v>
      </c>
      <c r="F425" s="11" t="s">
        <v>35</v>
      </c>
      <c r="G425" s="9" t="s">
        <v>41</v>
      </c>
      <c r="H425" s="13">
        <v>1</v>
      </c>
      <c r="I425" s="13">
        <v>1</v>
      </c>
      <c r="J425" s="16">
        <v>8000.0</v>
      </c>
      <c r="K425" s="16"/>
      <c r="L425" s="18">
        <f>IF(J425&gt;0, K425/J425, 0)</f>
        <v>0</v>
      </c>
      <c r="M425" s="16">
        <v>8000.0</v>
      </c>
      <c r="N425" s="16"/>
      <c r="O425" s="16">
        <f>M425-N425</f>
        <v>8000</v>
      </c>
      <c r="P425" s="11" t="s">
        <v>42</v>
      </c>
      <c r="Q425" s="11" t="s">
        <v>43</v>
      </c>
      <c r="R425" s="11" t="s">
        <v>44</v>
      </c>
      <c r="S425" s="9" t="s">
        <v>2106</v>
      </c>
      <c r="T425" s="9" t="s">
        <v>44</v>
      </c>
    </row>
    <row r="426" spans="1:20">
      <c r="A426" s="10">
        <v>419</v>
      </c>
      <c r="B426" s="10" t="s">
        <v>682</v>
      </c>
      <c r="C426" s="10" t="s">
        <v>681</v>
      </c>
      <c r="D426" s="10" t="s">
        <v>655</v>
      </c>
      <c r="E426" s="10" t="s">
        <v>34</v>
      </c>
      <c r="F426" s="10" t="s">
        <v>35</v>
      </c>
      <c r="G426" s="8" t="s">
        <v>41</v>
      </c>
      <c r="H426" s="12">
        <v>1</v>
      </c>
      <c r="I426" s="12">
        <v>1</v>
      </c>
      <c r="J426" s="15">
        <v>8000.0</v>
      </c>
      <c r="K426" s="15"/>
      <c r="L426" s="17">
        <f>IF(J426&gt;0, K426/J426, 0)</f>
        <v>0</v>
      </c>
      <c r="M426" s="15">
        <v>8000.0</v>
      </c>
      <c r="N426" s="15"/>
      <c r="O426" s="15">
        <f>M426-N426</f>
        <v>8000</v>
      </c>
      <c r="P426" s="10" t="s">
        <v>42</v>
      </c>
      <c r="Q426" s="10" t="s">
        <v>43</v>
      </c>
      <c r="R426" s="10" t="s">
        <v>44</v>
      </c>
      <c r="S426" s="8" t="s">
        <v>2111</v>
      </c>
      <c r="T426" s="8" t="s">
        <v>44</v>
      </c>
    </row>
    <row r="427" spans="1:20">
      <c r="A427" s="11">
        <v>420</v>
      </c>
      <c r="B427" s="11" t="s">
        <v>684</v>
      </c>
      <c r="C427" s="11" t="s">
        <v>681</v>
      </c>
      <c r="D427" s="11" t="s">
        <v>655</v>
      </c>
      <c r="E427" s="11" t="s">
        <v>34</v>
      </c>
      <c r="F427" s="11" t="s">
        <v>35</v>
      </c>
      <c r="G427" s="9" t="s">
        <v>41</v>
      </c>
      <c r="H427" s="13">
        <v>1</v>
      </c>
      <c r="I427" s="13">
        <v>1</v>
      </c>
      <c r="J427" s="16">
        <v>16000.0</v>
      </c>
      <c r="K427" s="16"/>
      <c r="L427" s="18">
        <f>IF(J427&gt;0, K427/J427, 0)</f>
        <v>0</v>
      </c>
      <c r="M427" s="16">
        <v>16000.0</v>
      </c>
      <c r="N427" s="16"/>
      <c r="O427" s="16">
        <f>M427-N427</f>
        <v>16000</v>
      </c>
      <c r="P427" s="11" t="s">
        <v>42</v>
      </c>
      <c r="Q427" s="11" t="s">
        <v>43</v>
      </c>
      <c r="R427" s="11" t="s">
        <v>44</v>
      </c>
      <c r="S427" s="9" t="s">
        <v>2090</v>
      </c>
      <c r="T427" s="9" t="s">
        <v>44</v>
      </c>
    </row>
    <row r="428" spans="1:20">
      <c r="A428" s="10">
        <v>421</v>
      </c>
      <c r="B428" s="10" t="s">
        <v>685</v>
      </c>
      <c r="C428" s="10" t="s">
        <v>681</v>
      </c>
      <c r="D428" s="10" t="s">
        <v>655</v>
      </c>
      <c r="E428" s="10" t="s">
        <v>34</v>
      </c>
      <c r="F428" s="10" t="s">
        <v>35</v>
      </c>
      <c r="G428" s="8" t="s">
        <v>41</v>
      </c>
      <c r="H428" s="12">
        <v>1</v>
      </c>
      <c r="I428" s="12">
        <v>1</v>
      </c>
      <c r="J428" s="15">
        <v>7000.0</v>
      </c>
      <c r="K428" s="15"/>
      <c r="L428" s="17">
        <f>IF(J428&gt;0, K428/J428, 0)</f>
        <v>0</v>
      </c>
      <c r="M428" s="15">
        <v>7000.0</v>
      </c>
      <c r="N428" s="15"/>
      <c r="O428" s="15">
        <f>M428-N428</f>
        <v>7000</v>
      </c>
      <c r="P428" s="10" t="s">
        <v>42</v>
      </c>
      <c r="Q428" s="10" t="s">
        <v>43</v>
      </c>
      <c r="R428" s="10" t="s">
        <v>44</v>
      </c>
      <c r="S428" s="8" t="s">
        <v>2088</v>
      </c>
      <c r="T428" s="8" t="s">
        <v>44</v>
      </c>
    </row>
    <row r="429" spans="1:20">
      <c r="A429" s="11">
        <v>422</v>
      </c>
      <c r="B429" s="11" t="s">
        <v>686</v>
      </c>
      <c r="C429" s="11" t="s">
        <v>681</v>
      </c>
      <c r="D429" s="11" t="s">
        <v>655</v>
      </c>
      <c r="E429" s="11" t="s">
        <v>34</v>
      </c>
      <c r="F429" s="11" t="s">
        <v>35</v>
      </c>
      <c r="G429" s="9" t="s">
        <v>41</v>
      </c>
      <c r="H429" s="13">
        <v>1</v>
      </c>
      <c r="I429" s="13">
        <v>1</v>
      </c>
      <c r="J429" s="16">
        <v>16500.0</v>
      </c>
      <c r="K429" s="16"/>
      <c r="L429" s="18">
        <f>IF(J429&gt;0, K429/J429, 0)</f>
        <v>0</v>
      </c>
      <c r="M429" s="16">
        <v>16500.0</v>
      </c>
      <c r="N429" s="16"/>
      <c r="O429" s="16">
        <f>M429-N429</f>
        <v>16500</v>
      </c>
      <c r="P429" s="11" t="s">
        <v>42</v>
      </c>
      <c r="Q429" s="11" t="s">
        <v>43</v>
      </c>
      <c r="R429" s="11" t="s">
        <v>44</v>
      </c>
      <c r="S429" s="9" t="s">
        <v>2072</v>
      </c>
      <c r="T429" s="9" t="s">
        <v>44</v>
      </c>
    </row>
    <row r="430" spans="1:20">
      <c r="A430" s="10">
        <v>423</v>
      </c>
      <c r="B430" s="10" t="s">
        <v>687</v>
      </c>
      <c r="C430" s="10" t="s">
        <v>681</v>
      </c>
      <c r="D430" s="10" t="s">
        <v>655</v>
      </c>
      <c r="E430" s="10" t="s">
        <v>34</v>
      </c>
      <c r="F430" s="10" t="s">
        <v>35</v>
      </c>
      <c r="G430" s="8" t="s">
        <v>41</v>
      </c>
      <c r="H430" s="12">
        <v>1</v>
      </c>
      <c r="I430" s="12">
        <v>1</v>
      </c>
      <c r="J430" s="15">
        <v>7000.0</v>
      </c>
      <c r="K430" s="15"/>
      <c r="L430" s="17">
        <f>IF(J430&gt;0, K430/J430, 0)</f>
        <v>0</v>
      </c>
      <c r="M430" s="15">
        <v>7000.0</v>
      </c>
      <c r="N430" s="15"/>
      <c r="O430" s="15">
        <f>M430-N430</f>
        <v>7000</v>
      </c>
      <c r="P430" s="10" t="s">
        <v>42</v>
      </c>
      <c r="Q430" s="10" t="s">
        <v>43</v>
      </c>
      <c r="R430" s="10" t="s">
        <v>44</v>
      </c>
      <c r="S430" s="8" t="s">
        <v>2152</v>
      </c>
      <c r="T430" s="8" t="s">
        <v>44</v>
      </c>
    </row>
    <row r="431" spans="1:20">
      <c r="A431" s="11">
        <v>424</v>
      </c>
      <c r="B431" s="11" t="s">
        <v>689</v>
      </c>
      <c r="C431" s="11" t="s">
        <v>681</v>
      </c>
      <c r="D431" s="11" t="s">
        <v>655</v>
      </c>
      <c r="E431" s="11" t="s">
        <v>34</v>
      </c>
      <c r="F431" s="11" t="s">
        <v>35</v>
      </c>
      <c r="G431" s="9" t="s">
        <v>41</v>
      </c>
      <c r="H431" s="13">
        <v>1</v>
      </c>
      <c r="I431" s="13">
        <v>1</v>
      </c>
      <c r="J431" s="16">
        <v>8000.0</v>
      </c>
      <c r="K431" s="16"/>
      <c r="L431" s="18">
        <f>IF(J431&gt;0, K431/J431, 0)</f>
        <v>0</v>
      </c>
      <c r="M431" s="16">
        <v>8000.0</v>
      </c>
      <c r="N431" s="16"/>
      <c r="O431" s="16">
        <f>M431-N431</f>
        <v>8000</v>
      </c>
      <c r="P431" s="11" t="s">
        <v>42</v>
      </c>
      <c r="Q431" s="11" t="s">
        <v>43</v>
      </c>
      <c r="R431" s="11" t="s">
        <v>44</v>
      </c>
      <c r="S431" s="9" t="s">
        <v>2028</v>
      </c>
      <c r="T431" s="9" t="s">
        <v>44</v>
      </c>
    </row>
    <row r="432" spans="1:20">
      <c r="A432" s="10">
        <v>425</v>
      </c>
      <c r="B432" s="10" t="s">
        <v>690</v>
      </c>
      <c r="C432" s="10" t="s">
        <v>681</v>
      </c>
      <c r="D432" s="10" t="s">
        <v>655</v>
      </c>
      <c r="E432" s="10" t="s">
        <v>34</v>
      </c>
      <c r="F432" s="10" t="s">
        <v>35</v>
      </c>
      <c r="G432" s="8" t="s">
        <v>41</v>
      </c>
      <c r="H432" s="12">
        <v>1</v>
      </c>
      <c r="I432" s="12">
        <v>1</v>
      </c>
      <c r="J432" s="15">
        <v>8500.0</v>
      </c>
      <c r="K432" s="15"/>
      <c r="L432" s="17">
        <f>IF(J432&gt;0, K432/J432, 0)</f>
        <v>0</v>
      </c>
      <c r="M432" s="15">
        <v>8500.0</v>
      </c>
      <c r="N432" s="15"/>
      <c r="O432" s="15">
        <f>M432-N432</f>
        <v>8500</v>
      </c>
      <c r="P432" s="10" t="s">
        <v>42</v>
      </c>
      <c r="Q432" s="10" t="s">
        <v>43</v>
      </c>
      <c r="R432" s="10" t="s">
        <v>44</v>
      </c>
      <c r="S432" s="8" t="s">
        <v>2045</v>
      </c>
      <c r="T432" s="8" t="s">
        <v>44</v>
      </c>
    </row>
    <row r="433" spans="1:20">
      <c r="A433" s="11">
        <v>426</v>
      </c>
      <c r="B433" s="11" t="s">
        <v>691</v>
      </c>
      <c r="C433" s="11" t="s">
        <v>681</v>
      </c>
      <c r="D433" s="11" t="s">
        <v>655</v>
      </c>
      <c r="E433" s="11" t="s">
        <v>34</v>
      </c>
      <c r="F433" s="11" t="s">
        <v>35</v>
      </c>
      <c r="G433" s="9" t="s">
        <v>41</v>
      </c>
      <c r="H433" s="13">
        <v>1</v>
      </c>
      <c r="I433" s="13">
        <v>1</v>
      </c>
      <c r="J433" s="16">
        <v>18000.0</v>
      </c>
      <c r="K433" s="16"/>
      <c r="L433" s="18">
        <f>IF(J433&gt;0, K433/J433, 0)</f>
        <v>0</v>
      </c>
      <c r="M433" s="16">
        <v>18000.0</v>
      </c>
      <c r="N433" s="16"/>
      <c r="O433" s="16">
        <f>M433-N433</f>
        <v>18000</v>
      </c>
      <c r="P433" s="11" t="s">
        <v>42</v>
      </c>
      <c r="Q433" s="11" t="s">
        <v>43</v>
      </c>
      <c r="R433" s="11" t="s">
        <v>44</v>
      </c>
      <c r="S433" s="9" t="s">
        <v>2107</v>
      </c>
      <c r="T433" s="9" t="s">
        <v>44</v>
      </c>
    </row>
    <row r="434" spans="1:20">
      <c r="A434" s="10">
        <v>427</v>
      </c>
      <c r="B434" s="10" t="s">
        <v>692</v>
      </c>
      <c r="C434" s="10" t="s">
        <v>681</v>
      </c>
      <c r="D434" s="10" t="s">
        <v>655</v>
      </c>
      <c r="E434" s="10" t="s">
        <v>34</v>
      </c>
      <c r="F434" s="10" t="s">
        <v>35</v>
      </c>
      <c r="G434" s="8" t="s">
        <v>41</v>
      </c>
      <c r="H434" s="12">
        <v>1</v>
      </c>
      <c r="I434" s="12">
        <v>1</v>
      </c>
      <c r="J434" s="15">
        <v>16500.0</v>
      </c>
      <c r="K434" s="15"/>
      <c r="L434" s="17">
        <f>IF(J434&gt;0, K434/J434, 0)</f>
        <v>0</v>
      </c>
      <c r="M434" s="15">
        <v>16500.0</v>
      </c>
      <c r="N434" s="15"/>
      <c r="O434" s="15">
        <f>M434-N434</f>
        <v>16500</v>
      </c>
      <c r="P434" s="10" t="s">
        <v>42</v>
      </c>
      <c r="Q434" s="10" t="s">
        <v>43</v>
      </c>
      <c r="R434" s="10" t="s">
        <v>44</v>
      </c>
      <c r="S434" s="8" t="s">
        <v>2072</v>
      </c>
      <c r="T434" s="8" t="s">
        <v>44</v>
      </c>
    </row>
    <row r="435" spans="1:20">
      <c r="A435" s="11">
        <v>428</v>
      </c>
      <c r="B435" s="11" t="s">
        <v>693</v>
      </c>
      <c r="C435" s="11" t="s">
        <v>681</v>
      </c>
      <c r="D435" s="11" t="s">
        <v>655</v>
      </c>
      <c r="E435" s="11" t="s">
        <v>34</v>
      </c>
      <c r="F435" s="11" t="s">
        <v>35</v>
      </c>
      <c r="G435" s="9" t="s">
        <v>41</v>
      </c>
      <c r="H435" s="13">
        <v>1</v>
      </c>
      <c r="I435" s="13">
        <v>2</v>
      </c>
      <c r="J435" s="16">
        <v>33000.0</v>
      </c>
      <c r="K435" s="16"/>
      <c r="L435" s="18">
        <f>IF(J435&gt;0, K435/J435, 0)</f>
        <v>0</v>
      </c>
      <c r="M435" s="16">
        <v>33000.0</v>
      </c>
      <c r="N435" s="16"/>
      <c r="O435" s="16">
        <f>M435-N435</f>
        <v>33000</v>
      </c>
      <c r="P435" s="11" t="s">
        <v>42</v>
      </c>
      <c r="Q435" s="11" t="s">
        <v>43</v>
      </c>
      <c r="R435" s="11" t="s">
        <v>44</v>
      </c>
      <c r="S435" s="9" t="s">
        <v>2153</v>
      </c>
      <c r="T435" s="9" t="s">
        <v>44</v>
      </c>
    </row>
    <row r="436" spans="1:20">
      <c r="A436" s="10">
        <v>429</v>
      </c>
      <c r="B436" s="10" t="s">
        <v>694</v>
      </c>
      <c r="C436" s="10" t="s">
        <v>681</v>
      </c>
      <c r="D436" s="10" t="s">
        <v>655</v>
      </c>
      <c r="E436" s="10" t="s">
        <v>34</v>
      </c>
      <c r="F436" s="10" t="s">
        <v>35</v>
      </c>
      <c r="G436" s="8" t="s">
        <v>41</v>
      </c>
      <c r="H436" s="12">
        <v>1</v>
      </c>
      <c r="I436" s="12">
        <v>2</v>
      </c>
      <c r="J436" s="15">
        <v>15000.0</v>
      </c>
      <c r="K436" s="15"/>
      <c r="L436" s="17">
        <f>IF(J436&gt;0, K436/J436, 0)</f>
        <v>0</v>
      </c>
      <c r="M436" s="15">
        <v>15000.0</v>
      </c>
      <c r="N436" s="15"/>
      <c r="O436" s="15">
        <f>M436-N436</f>
        <v>15000</v>
      </c>
      <c r="P436" s="10" t="s">
        <v>42</v>
      </c>
      <c r="Q436" s="10" t="s">
        <v>43</v>
      </c>
      <c r="R436" s="10" t="s">
        <v>44</v>
      </c>
      <c r="S436" s="8" t="s">
        <v>2154</v>
      </c>
      <c r="T436" s="8" t="s">
        <v>44</v>
      </c>
    </row>
    <row r="437" spans="1:20">
      <c r="A437" s="11">
        <v>430</v>
      </c>
      <c r="B437" s="11" t="s">
        <v>695</v>
      </c>
      <c r="C437" s="11" t="s">
        <v>681</v>
      </c>
      <c r="D437" s="11" t="s">
        <v>655</v>
      </c>
      <c r="E437" s="11" t="s">
        <v>34</v>
      </c>
      <c r="F437" s="11" t="s">
        <v>35</v>
      </c>
      <c r="G437" s="9" t="s">
        <v>41</v>
      </c>
      <c r="H437" s="13">
        <v>1</v>
      </c>
      <c r="I437" s="13">
        <v>2</v>
      </c>
      <c r="J437" s="16">
        <v>19000.0</v>
      </c>
      <c r="K437" s="16"/>
      <c r="L437" s="18">
        <f>IF(J437&gt;0, K437/J437, 0)</f>
        <v>0</v>
      </c>
      <c r="M437" s="16">
        <v>19000.0</v>
      </c>
      <c r="N437" s="16"/>
      <c r="O437" s="16">
        <f>M437-N437</f>
        <v>19000</v>
      </c>
      <c r="P437" s="11" t="s">
        <v>42</v>
      </c>
      <c r="Q437" s="11" t="s">
        <v>43</v>
      </c>
      <c r="R437" s="11" t="s">
        <v>44</v>
      </c>
      <c r="S437" s="9" t="s">
        <v>2130</v>
      </c>
      <c r="T437" s="9" t="s">
        <v>44</v>
      </c>
    </row>
    <row r="438" spans="1:20">
      <c r="A438" s="10">
        <v>431</v>
      </c>
      <c r="B438" s="10" t="s">
        <v>696</v>
      </c>
      <c r="C438" s="10" t="s">
        <v>681</v>
      </c>
      <c r="D438" s="10" t="s">
        <v>655</v>
      </c>
      <c r="E438" s="10" t="s">
        <v>34</v>
      </c>
      <c r="F438" s="10" t="s">
        <v>35</v>
      </c>
      <c r="G438" s="8" t="s">
        <v>41</v>
      </c>
      <c r="H438" s="12">
        <v>1</v>
      </c>
      <c r="I438" s="12">
        <v>2</v>
      </c>
      <c r="J438" s="15">
        <v>18000.0</v>
      </c>
      <c r="K438" s="15"/>
      <c r="L438" s="17">
        <f>IF(J438&gt;0, K438/J438, 0)</f>
        <v>0</v>
      </c>
      <c r="M438" s="15">
        <v>18000.0</v>
      </c>
      <c r="N438" s="15"/>
      <c r="O438" s="15">
        <f>M438-N438</f>
        <v>18000</v>
      </c>
      <c r="P438" s="10" t="s">
        <v>42</v>
      </c>
      <c r="Q438" s="10" t="s">
        <v>43</v>
      </c>
      <c r="R438" s="10" t="s">
        <v>44</v>
      </c>
      <c r="S438" s="8" t="s">
        <v>2131</v>
      </c>
      <c r="T438" s="8" t="s">
        <v>44</v>
      </c>
    </row>
    <row r="439" spans="1:20">
      <c r="A439" s="11">
        <v>432</v>
      </c>
      <c r="B439" s="11" t="s">
        <v>697</v>
      </c>
      <c r="C439" s="11" t="s">
        <v>681</v>
      </c>
      <c r="D439" s="11" t="s">
        <v>655</v>
      </c>
      <c r="E439" s="11" t="s">
        <v>34</v>
      </c>
      <c r="F439" s="11" t="s">
        <v>35</v>
      </c>
      <c r="G439" s="9" t="s">
        <v>41</v>
      </c>
      <c r="H439" s="13">
        <v>1</v>
      </c>
      <c r="I439" s="13">
        <v>2</v>
      </c>
      <c r="J439" s="16">
        <v>16000.0</v>
      </c>
      <c r="K439" s="16"/>
      <c r="L439" s="18">
        <f>IF(J439&gt;0, K439/J439, 0)</f>
        <v>0</v>
      </c>
      <c r="M439" s="16">
        <v>16000.0</v>
      </c>
      <c r="N439" s="16"/>
      <c r="O439" s="16">
        <f>M439-N439</f>
        <v>16000</v>
      </c>
      <c r="P439" s="11" t="s">
        <v>42</v>
      </c>
      <c r="Q439" s="11" t="s">
        <v>43</v>
      </c>
      <c r="R439" s="11" t="s">
        <v>44</v>
      </c>
      <c r="S439" s="9" t="s">
        <v>2132</v>
      </c>
      <c r="T439" s="9" t="s">
        <v>44</v>
      </c>
    </row>
    <row r="440" spans="1:20">
      <c r="A440" s="10">
        <v>433</v>
      </c>
      <c r="B440" s="10" t="s">
        <v>699</v>
      </c>
      <c r="C440" s="10" t="s">
        <v>681</v>
      </c>
      <c r="D440" s="10" t="s">
        <v>655</v>
      </c>
      <c r="E440" s="10" t="s">
        <v>34</v>
      </c>
      <c r="F440" s="10" t="s">
        <v>35</v>
      </c>
      <c r="G440" s="8" t="s">
        <v>41</v>
      </c>
      <c r="H440" s="12">
        <v>1</v>
      </c>
      <c r="I440" s="12">
        <v>2</v>
      </c>
      <c r="J440" s="15">
        <v>17000.0</v>
      </c>
      <c r="K440" s="15"/>
      <c r="L440" s="17">
        <f>IF(J440&gt;0, K440/J440, 0)</f>
        <v>0</v>
      </c>
      <c r="M440" s="15">
        <v>17000.0</v>
      </c>
      <c r="N440" s="15"/>
      <c r="O440" s="15">
        <f>M440-N440</f>
        <v>17000</v>
      </c>
      <c r="P440" s="10" t="s">
        <v>42</v>
      </c>
      <c r="Q440" s="10" t="s">
        <v>43</v>
      </c>
      <c r="R440" s="10" t="s">
        <v>44</v>
      </c>
      <c r="S440" s="8" t="s">
        <v>2155</v>
      </c>
      <c r="T440" s="8" t="s">
        <v>44</v>
      </c>
    </row>
    <row r="441" spans="1:20">
      <c r="A441" s="11">
        <v>434</v>
      </c>
      <c r="B441" s="11" t="s">
        <v>700</v>
      </c>
      <c r="C441" s="11" t="s">
        <v>701</v>
      </c>
      <c r="D441" s="11" t="s">
        <v>655</v>
      </c>
      <c r="E441" s="11" t="s">
        <v>34</v>
      </c>
      <c r="F441" s="11" t="s">
        <v>35</v>
      </c>
      <c r="G441" s="9" t="s">
        <v>41</v>
      </c>
      <c r="H441" s="13">
        <v>1</v>
      </c>
      <c r="I441" s="13">
        <v>1</v>
      </c>
      <c r="J441" s="16">
        <v>7500.0</v>
      </c>
      <c r="K441" s="16"/>
      <c r="L441" s="18">
        <f>IF(J441&gt;0, K441/J441, 0)</f>
        <v>0</v>
      </c>
      <c r="M441" s="16">
        <v>7500.0</v>
      </c>
      <c r="N441" s="16"/>
      <c r="O441" s="16">
        <f>M441-N441</f>
        <v>7500</v>
      </c>
      <c r="P441" s="11" t="s">
        <v>42</v>
      </c>
      <c r="Q441" s="11" t="s">
        <v>43</v>
      </c>
      <c r="R441" s="11" t="s">
        <v>44</v>
      </c>
      <c r="S441" s="9" t="s">
        <v>2074</v>
      </c>
      <c r="T441" s="9" t="s">
        <v>44</v>
      </c>
    </row>
    <row r="442" spans="1:20">
      <c r="A442" s="10">
        <v>435</v>
      </c>
      <c r="B442" s="10" t="s">
        <v>703</v>
      </c>
      <c r="C442" s="10" t="s">
        <v>701</v>
      </c>
      <c r="D442" s="10" t="s">
        <v>655</v>
      </c>
      <c r="E442" s="10" t="s">
        <v>34</v>
      </c>
      <c r="F442" s="10" t="s">
        <v>35</v>
      </c>
      <c r="G442" s="8" t="s">
        <v>41</v>
      </c>
      <c r="H442" s="12">
        <v>1</v>
      </c>
      <c r="I442" s="12">
        <v>2</v>
      </c>
      <c r="J442" s="15">
        <v>16000.0</v>
      </c>
      <c r="K442" s="15"/>
      <c r="L442" s="17">
        <f>IF(J442&gt;0, K442/J442, 0)</f>
        <v>0</v>
      </c>
      <c r="M442" s="15">
        <v>16000.0</v>
      </c>
      <c r="N442" s="15"/>
      <c r="O442" s="15">
        <f>M442-N442</f>
        <v>16000</v>
      </c>
      <c r="P442" s="10" t="s">
        <v>42</v>
      </c>
      <c r="Q442" s="10" t="s">
        <v>43</v>
      </c>
      <c r="R442" s="10" t="s">
        <v>44</v>
      </c>
      <c r="S442" s="8" t="s">
        <v>2156</v>
      </c>
      <c r="T442" s="8" t="s">
        <v>44</v>
      </c>
    </row>
    <row r="443" spans="1:20">
      <c r="A443" s="11">
        <v>436</v>
      </c>
      <c r="B443" s="11" t="s">
        <v>705</v>
      </c>
      <c r="C443" s="11" t="s">
        <v>701</v>
      </c>
      <c r="D443" s="11" t="s">
        <v>655</v>
      </c>
      <c r="E443" s="11" t="s">
        <v>34</v>
      </c>
      <c r="F443" s="11" t="s">
        <v>35</v>
      </c>
      <c r="G443" s="9" t="s">
        <v>41</v>
      </c>
      <c r="H443" s="13">
        <v>1</v>
      </c>
      <c r="I443" s="13">
        <v>1</v>
      </c>
      <c r="J443" s="16">
        <v>8000.0</v>
      </c>
      <c r="K443" s="16"/>
      <c r="L443" s="18">
        <f>IF(J443&gt;0, K443/J443, 0)</f>
        <v>0</v>
      </c>
      <c r="M443" s="16">
        <v>8000.0</v>
      </c>
      <c r="N443" s="16"/>
      <c r="O443" s="16">
        <f>M443-N443</f>
        <v>8000</v>
      </c>
      <c r="P443" s="11" t="s">
        <v>42</v>
      </c>
      <c r="Q443" s="11" t="s">
        <v>43</v>
      </c>
      <c r="R443" s="11" t="s">
        <v>44</v>
      </c>
      <c r="S443" s="9" t="s">
        <v>2138</v>
      </c>
      <c r="T443" s="9" t="s">
        <v>44</v>
      </c>
    </row>
    <row r="444" spans="1:20">
      <c r="A444" s="10">
        <v>437</v>
      </c>
      <c r="B444" s="10" t="s">
        <v>706</v>
      </c>
      <c r="C444" s="10" t="s">
        <v>701</v>
      </c>
      <c r="D444" s="10" t="s">
        <v>655</v>
      </c>
      <c r="E444" s="10" t="s">
        <v>70</v>
      </c>
      <c r="F444" s="10" t="s">
        <v>35</v>
      </c>
      <c r="G444" s="8" t="s">
        <v>41</v>
      </c>
      <c r="H444" s="12">
        <v>1</v>
      </c>
      <c r="I444" s="12">
        <v>1</v>
      </c>
      <c r="J444" s="15">
        <v>10000.0</v>
      </c>
      <c r="K444" s="15"/>
      <c r="L444" s="17">
        <f>IF(J444&gt;0, K444/J444, 0)</f>
        <v>0</v>
      </c>
      <c r="M444" s="15">
        <v>10000.0</v>
      </c>
      <c r="N444" s="15"/>
      <c r="O444" s="15">
        <f>M444-N444</f>
        <v>10000</v>
      </c>
      <c r="P444" s="10" t="s">
        <v>42</v>
      </c>
      <c r="Q444" s="10" t="s">
        <v>73</v>
      </c>
      <c r="R444" s="10" t="s">
        <v>44</v>
      </c>
      <c r="S444" s="8" t="s">
        <v>2084</v>
      </c>
      <c r="T444" s="8" t="s">
        <v>44</v>
      </c>
    </row>
    <row r="445" spans="1:20">
      <c r="A445" s="11">
        <v>438</v>
      </c>
      <c r="B445" s="11" t="s">
        <v>707</v>
      </c>
      <c r="C445" s="11" t="s">
        <v>701</v>
      </c>
      <c r="D445" s="11" t="s">
        <v>655</v>
      </c>
      <c r="E445" s="11" t="s">
        <v>34</v>
      </c>
      <c r="F445" s="11" t="s">
        <v>35</v>
      </c>
      <c r="G445" s="9" t="s">
        <v>41</v>
      </c>
      <c r="H445" s="13">
        <v>1</v>
      </c>
      <c r="I445" s="13">
        <v>1</v>
      </c>
      <c r="J445" s="16">
        <v>16000.0</v>
      </c>
      <c r="K445" s="16"/>
      <c r="L445" s="18">
        <f>IF(J445&gt;0, K445/J445, 0)</f>
        <v>0</v>
      </c>
      <c r="M445" s="16">
        <v>16000.0</v>
      </c>
      <c r="N445" s="16"/>
      <c r="O445" s="16">
        <f>M445-N445</f>
        <v>16000</v>
      </c>
      <c r="P445" s="11" t="s">
        <v>42</v>
      </c>
      <c r="Q445" s="11" t="s">
        <v>43</v>
      </c>
      <c r="R445" s="11" t="s">
        <v>44</v>
      </c>
      <c r="S445" s="9" t="s">
        <v>2078</v>
      </c>
      <c r="T445" s="9" t="s">
        <v>44</v>
      </c>
    </row>
    <row r="446" spans="1:20">
      <c r="A446" s="10">
        <v>439</v>
      </c>
      <c r="B446" s="10" t="s">
        <v>708</v>
      </c>
      <c r="C446" s="10" t="s">
        <v>701</v>
      </c>
      <c r="D446" s="10" t="s">
        <v>655</v>
      </c>
      <c r="E446" s="10" t="s">
        <v>34</v>
      </c>
      <c r="F446" s="10" t="s">
        <v>35</v>
      </c>
      <c r="G446" s="8" t="s">
        <v>41</v>
      </c>
      <c r="H446" s="12">
        <v>1</v>
      </c>
      <c r="I446" s="12">
        <v>1</v>
      </c>
      <c r="J446" s="15">
        <v>10000.0</v>
      </c>
      <c r="K446" s="15"/>
      <c r="L446" s="17">
        <f>IF(J446&gt;0, K446/J446, 0)</f>
        <v>0</v>
      </c>
      <c r="M446" s="15">
        <v>10000.0</v>
      </c>
      <c r="N446" s="15"/>
      <c r="O446" s="15">
        <f>M446-N446</f>
        <v>10000</v>
      </c>
      <c r="P446" s="10" t="s">
        <v>42</v>
      </c>
      <c r="Q446" s="10" t="s">
        <v>43</v>
      </c>
      <c r="R446" s="10" t="s">
        <v>44</v>
      </c>
      <c r="S446" s="8" t="s">
        <v>2084</v>
      </c>
      <c r="T446" s="8" t="s">
        <v>44</v>
      </c>
    </row>
    <row r="447" spans="1:20">
      <c r="A447" s="11">
        <v>440</v>
      </c>
      <c r="B447" s="11" t="s">
        <v>709</v>
      </c>
      <c r="C447" s="11" t="s">
        <v>701</v>
      </c>
      <c r="D447" s="11" t="s">
        <v>655</v>
      </c>
      <c r="E447" s="11" t="s">
        <v>34</v>
      </c>
      <c r="F447" s="11" t="s">
        <v>35</v>
      </c>
      <c r="G447" s="9" t="s">
        <v>41</v>
      </c>
      <c r="H447" s="13">
        <v>1</v>
      </c>
      <c r="I447" s="13">
        <v>1</v>
      </c>
      <c r="J447" s="16">
        <v>18000.0</v>
      </c>
      <c r="K447" s="16"/>
      <c r="L447" s="18">
        <f>IF(J447&gt;0, K447/J447, 0)</f>
        <v>0</v>
      </c>
      <c r="M447" s="16">
        <v>18000.0</v>
      </c>
      <c r="N447" s="16"/>
      <c r="O447" s="16">
        <f>M447-N447</f>
        <v>18000</v>
      </c>
      <c r="P447" s="11" t="s">
        <v>42</v>
      </c>
      <c r="Q447" s="11" t="s">
        <v>43</v>
      </c>
      <c r="R447" s="11" t="s">
        <v>44</v>
      </c>
      <c r="S447" s="9" t="s">
        <v>2049</v>
      </c>
      <c r="T447" s="9" t="s">
        <v>44</v>
      </c>
    </row>
    <row r="448" spans="1:20">
      <c r="A448" s="10">
        <v>441</v>
      </c>
      <c r="B448" s="10" t="s">
        <v>711</v>
      </c>
      <c r="C448" s="10" t="s">
        <v>701</v>
      </c>
      <c r="D448" s="10" t="s">
        <v>655</v>
      </c>
      <c r="E448" s="10" t="s">
        <v>34</v>
      </c>
      <c r="F448" s="10" t="s">
        <v>35</v>
      </c>
      <c r="G448" s="8" t="s">
        <v>41</v>
      </c>
      <c r="H448" s="12">
        <v>1</v>
      </c>
      <c r="I448" s="12">
        <v>1</v>
      </c>
      <c r="J448" s="15">
        <v>8000.0</v>
      </c>
      <c r="K448" s="15"/>
      <c r="L448" s="17">
        <f>IF(J448&gt;0, K448/J448, 0)</f>
        <v>0</v>
      </c>
      <c r="M448" s="15">
        <v>8000.0</v>
      </c>
      <c r="N448" s="15"/>
      <c r="O448" s="15">
        <f>M448-N448</f>
        <v>8000</v>
      </c>
      <c r="P448" s="10" t="s">
        <v>42</v>
      </c>
      <c r="Q448" s="10" t="s">
        <v>43</v>
      </c>
      <c r="R448" s="10" t="s">
        <v>44</v>
      </c>
      <c r="S448" s="8" t="s">
        <v>2111</v>
      </c>
      <c r="T448" s="8" t="s">
        <v>44</v>
      </c>
    </row>
    <row r="449" spans="1:20">
      <c r="A449" s="11">
        <v>442</v>
      </c>
      <c r="B449" s="11" t="s">
        <v>712</v>
      </c>
      <c r="C449" s="11" t="s">
        <v>701</v>
      </c>
      <c r="D449" s="11" t="s">
        <v>655</v>
      </c>
      <c r="E449" s="11" t="s">
        <v>34</v>
      </c>
      <c r="F449" s="11" t="s">
        <v>35</v>
      </c>
      <c r="G449" s="9" t="s">
        <v>41</v>
      </c>
      <c r="H449" s="13">
        <v>1</v>
      </c>
      <c r="I449" s="13">
        <v>2</v>
      </c>
      <c r="J449" s="16">
        <v>16000.0</v>
      </c>
      <c r="K449" s="16"/>
      <c r="L449" s="18">
        <f>IF(J449&gt;0, K449/J449, 0)</f>
        <v>0</v>
      </c>
      <c r="M449" s="16">
        <v>16000.0</v>
      </c>
      <c r="N449" s="16"/>
      <c r="O449" s="16">
        <f>M449-N449</f>
        <v>16000</v>
      </c>
      <c r="P449" s="11" t="s">
        <v>42</v>
      </c>
      <c r="Q449" s="11" t="s">
        <v>43</v>
      </c>
      <c r="R449" s="11" t="s">
        <v>44</v>
      </c>
      <c r="S449" s="9" t="s">
        <v>2157</v>
      </c>
      <c r="T449" s="9" t="s">
        <v>44</v>
      </c>
    </row>
    <row r="450" spans="1:20">
      <c r="A450" s="10">
        <v>443</v>
      </c>
      <c r="B450" s="10" t="s">
        <v>714</v>
      </c>
      <c r="C450" s="10" t="s">
        <v>701</v>
      </c>
      <c r="D450" s="10" t="s">
        <v>655</v>
      </c>
      <c r="E450" s="10" t="s">
        <v>34</v>
      </c>
      <c r="F450" s="10" t="s">
        <v>35</v>
      </c>
      <c r="G450" s="8" t="s">
        <v>41</v>
      </c>
      <c r="H450" s="12">
        <v>1</v>
      </c>
      <c r="I450" s="12">
        <v>1</v>
      </c>
      <c r="J450" s="15">
        <v>14000.0</v>
      </c>
      <c r="K450" s="15"/>
      <c r="L450" s="17">
        <f>IF(J450&gt;0, K450/J450, 0)</f>
        <v>0</v>
      </c>
      <c r="M450" s="15">
        <v>14000.0</v>
      </c>
      <c r="N450" s="15"/>
      <c r="O450" s="15">
        <f>M450-N450</f>
        <v>14000</v>
      </c>
      <c r="P450" s="10" t="s">
        <v>42</v>
      </c>
      <c r="Q450" s="10" t="s">
        <v>43</v>
      </c>
      <c r="R450" s="10" t="s">
        <v>44</v>
      </c>
      <c r="S450" s="8" t="s">
        <v>2077</v>
      </c>
      <c r="T450" s="8" t="s">
        <v>44</v>
      </c>
    </row>
    <row r="451" spans="1:20">
      <c r="A451" s="11">
        <v>444</v>
      </c>
      <c r="B451" s="11" t="s">
        <v>715</v>
      </c>
      <c r="C451" s="11" t="s">
        <v>701</v>
      </c>
      <c r="D451" s="11" t="s">
        <v>655</v>
      </c>
      <c r="E451" s="11" t="s">
        <v>34</v>
      </c>
      <c r="F451" s="11" t="s">
        <v>35</v>
      </c>
      <c r="G451" s="9" t="s">
        <v>41</v>
      </c>
      <c r="H451" s="13">
        <v>1</v>
      </c>
      <c r="I451" s="13">
        <v>1</v>
      </c>
      <c r="J451" s="16">
        <v>8000.0</v>
      </c>
      <c r="K451" s="16"/>
      <c r="L451" s="18">
        <f>IF(J451&gt;0, K451/J451, 0)</f>
        <v>0</v>
      </c>
      <c r="M451" s="16">
        <v>8000.0</v>
      </c>
      <c r="N451" s="16"/>
      <c r="O451" s="16">
        <f>M451-N451</f>
        <v>8000</v>
      </c>
      <c r="P451" s="11" t="s">
        <v>42</v>
      </c>
      <c r="Q451" s="11" t="s">
        <v>43</v>
      </c>
      <c r="R451" s="11" t="s">
        <v>44</v>
      </c>
      <c r="S451" s="9" t="s">
        <v>2080</v>
      </c>
      <c r="T451" s="9" t="s">
        <v>44</v>
      </c>
    </row>
    <row r="452" spans="1:20">
      <c r="A452" s="10">
        <v>445</v>
      </c>
      <c r="B452" s="10" t="s">
        <v>716</v>
      </c>
      <c r="C452" s="10" t="s">
        <v>701</v>
      </c>
      <c r="D452" s="10" t="s">
        <v>655</v>
      </c>
      <c r="E452" s="10" t="s">
        <v>34</v>
      </c>
      <c r="F452" s="10" t="s">
        <v>35</v>
      </c>
      <c r="G452" s="8" t="s">
        <v>41</v>
      </c>
      <c r="H452" s="12">
        <v>1</v>
      </c>
      <c r="I452" s="12">
        <v>1</v>
      </c>
      <c r="J452" s="15">
        <v>7000.0</v>
      </c>
      <c r="K452" s="15"/>
      <c r="L452" s="17">
        <f>IF(J452&gt;0, K452/J452, 0)</f>
        <v>0</v>
      </c>
      <c r="M452" s="15">
        <v>7000.0</v>
      </c>
      <c r="N452" s="15"/>
      <c r="O452" s="15">
        <f>M452-N452</f>
        <v>7000</v>
      </c>
      <c r="P452" s="10" t="s">
        <v>42</v>
      </c>
      <c r="Q452" s="10" t="s">
        <v>43</v>
      </c>
      <c r="R452" s="10" t="s">
        <v>44</v>
      </c>
      <c r="S452" s="8" t="s">
        <v>2034</v>
      </c>
      <c r="T452" s="8" t="s">
        <v>44</v>
      </c>
    </row>
    <row r="453" spans="1:20">
      <c r="A453" s="11">
        <v>446</v>
      </c>
      <c r="B453" s="11" t="s">
        <v>717</v>
      </c>
      <c r="C453" s="11" t="s">
        <v>701</v>
      </c>
      <c r="D453" s="11" t="s">
        <v>655</v>
      </c>
      <c r="E453" s="11" t="s">
        <v>34</v>
      </c>
      <c r="F453" s="11" t="s">
        <v>35</v>
      </c>
      <c r="G453" s="9" t="s">
        <v>41</v>
      </c>
      <c r="H453" s="13">
        <v>1</v>
      </c>
      <c r="I453" s="13">
        <v>2</v>
      </c>
      <c r="J453" s="16">
        <v>18000.0</v>
      </c>
      <c r="K453" s="16"/>
      <c r="L453" s="18">
        <f>IF(J453&gt;0, K453/J453, 0)</f>
        <v>0</v>
      </c>
      <c r="M453" s="16">
        <v>18000.0</v>
      </c>
      <c r="N453" s="16"/>
      <c r="O453" s="16">
        <f>M453-N453</f>
        <v>18000</v>
      </c>
      <c r="P453" s="11" t="s">
        <v>42</v>
      </c>
      <c r="Q453" s="11" t="s">
        <v>43</v>
      </c>
      <c r="R453" s="11" t="s">
        <v>44</v>
      </c>
      <c r="S453" s="9" t="s">
        <v>2158</v>
      </c>
      <c r="T453" s="9" t="s">
        <v>44</v>
      </c>
    </row>
    <row r="454" spans="1:20">
      <c r="A454" s="10">
        <v>447</v>
      </c>
      <c r="B454" s="10" t="s">
        <v>718</v>
      </c>
      <c r="C454" s="10" t="s">
        <v>701</v>
      </c>
      <c r="D454" s="10" t="s">
        <v>655</v>
      </c>
      <c r="E454" s="10" t="s">
        <v>34</v>
      </c>
      <c r="F454" s="10" t="s">
        <v>35</v>
      </c>
      <c r="G454" s="8" t="s">
        <v>41</v>
      </c>
      <c r="H454" s="12">
        <v>1</v>
      </c>
      <c r="I454" s="12">
        <v>2</v>
      </c>
      <c r="J454" s="15">
        <v>16000.0</v>
      </c>
      <c r="K454" s="15"/>
      <c r="L454" s="17">
        <f>IF(J454&gt;0, K454/J454, 0)</f>
        <v>0</v>
      </c>
      <c r="M454" s="15">
        <v>16000.0</v>
      </c>
      <c r="N454" s="15"/>
      <c r="O454" s="15">
        <f>M454-N454</f>
        <v>16000</v>
      </c>
      <c r="P454" s="10" t="s">
        <v>42</v>
      </c>
      <c r="Q454" s="10" t="s">
        <v>43</v>
      </c>
      <c r="R454" s="10" t="s">
        <v>44</v>
      </c>
      <c r="S454" s="8" t="s">
        <v>2050</v>
      </c>
      <c r="T454" s="8" t="s">
        <v>44</v>
      </c>
    </row>
    <row r="455" spans="1:20">
      <c r="A455" s="11">
        <v>448</v>
      </c>
      <c r="B455" s="11" t="s">
        <v>719</v>
      </c>
      <c r="C455" s="11" t="s">
        <v>701</v>
      </c>
      <c r="D455" s="11" t="s">
        <v>655</v>
      </c>
      <c r="E455" s="11" t="s">
        <v>34</v>
      </c>
      <c r="F455" s="11" t="s">
        <v>35</v>
      </c>
      <c r="G455" s="9" t="s">
        <v>41</v>
      </c>
      <c r="H455" s="13">
        <v>1</v>
      </c>
      <c r="I455" s="13">
        <v>1</v>
      </c>
      <c r="J455" s="16">
        <v>9000.0</v>
      </c>
      <c r="K455" s="16"/>
      <c r="L455" s="18">
        <f>IF(J455&gt;0, K455/J455, 0)</f>
        <v>0</v>
      </c>
      <c r="M455" s="16">
        <v>9000.0</v>
      </c>
      <c r="N455" s="16"/>
      <c r="O455" s="16">
        <f>M455-N455</f>
        <v>9000</v>
      </c>
      <c r="P455" s="11" t="s">
        <v>42</v>
      </c>
      <c r="Q455" s="11" t="s">
        <v>43</v>
      </c>
      <c r="R455" s="11" t="s">
        <v>44</v>
      </c>
      <c r="S455" s="9" t="s">
        <v>2083</v>
      </c>
      <c r="T455" s="9" t="s">
        <v>44</v>
      </c>
    </row>
    <row r="456" spans="1:20">
      <c r="A456" s="10">
        <v>449</v>
      </c>
      <c r="B456" s="10" t="s">
        <v>720</v>
      </c>
      <c r="C456" s="10" t="s">
        <v>701</v>
      </c>
      <c r="D456" s="10" t="s">
        <v>655</v>
      </c>
      <c r="E456" s="10" t="s">
        <v>34</v>
      </c>
      <c r="F456" s="10" t="s">
        <v>35</v>
      </c>
      <c r="G456" s="8" t="s">
        <v>41</v>
      </c>
      <c r="H456" s="12">
        <v>1</v>
      </c>
      <c r="I456" s="12">
        <v>1</v>
      </c>
      <c r="J456" s="15">
        <v>8000.0</v>
      </c>
      <c r="K456" s="15"/>
      <c r="L456" s="17">
        <f>IF(J456&gt;0, K456/J456, 0)</f>
        <v>0</v>
      </c>
      <c r="M456" s="15">
        <v>8000.0</v>
      </c>
      <c r="N456" s="15"/>
      <c r="O456" s="15">
        <f>M456-N456</f>
        <v>8000</v>
      </c>
      <c r="P456" s="10" t="s">
        <v>42</v>
      </c>
      <c r="Q456" s="10" t="s">
        <v>43</v>
      </c>
      <c r="R456" s="10" t="s">
        <v>44</v>
      </c>
      <c r="S456" s="8" t="s">
        <v>2115</v>
      </c>
      <c r="T456" s="8" t="s">
        <v>44</v>
      </c>
    </row>
    <row r="457" spans="1:20">
      <c r="A457" s="11">
        <v>450</v>
      </c>
      <c r="B457" s="11" t="s">
        <v>721</v>
      </c>
      <c r="C457" s="11" t="s">
        <v>701</v>
      </c>
      <c r="D457" s="11" t="s">
        <v>655</v>
      </c>
      <c r="E457" s="11" t="s">
        <v>70</v>
      </c>
      <c r="F457" s="11" t="s">
        <v>35</v>
      </c>
      <c r="G457" s="9" t="s">
        <v>41</v>
      </c>
      <c r="H457" s="13">
        <v>1</v>
      </c>
      <c r="I457" s="13">
        <v>1</v>
      </c>
      <c r="J457" s="16">
        <v>10000.0</v>
      </c>
      <c r="K457" s="16"/>
      <c r="L457" s="18">
        <f>IF(J457&gt;0, K457/J457, 0)</f>
        <v>0</v>
      </c>
      <c r="M457" s="16">
        <v>10000.0</v>
      </c>
      <c r="N457" s="16"/>
      <c r="O457" s="16">
        <f>M457-N457</f>
        <v>10000</v>
      </c>
      <c r="P457" s="11" t="s">
        <v>42</v>
      </c>
      <c r="Q457" s="11" t="s">
        <v>73</v>
      </c>
      <c r="R457" s="11" t="s">
        <v>44</v>
      </c>
      <c r="S457" s="9" t="s">
        <v>2067</v>
      </c>
      <c r="T457" s="9" t="s">
        <v>44</v>
      </c>
    </row>
    <row r="458" spans="1:20">
      <c r="A458" s="10">
        <v>451</v>
      </c>
      <c r="B458" s="10" t="s">
        <v>722</v>
      </c>
      <c r="C458" s="10" t="s">
        <v>701</v>
      </c>
      <c r="D458" s="10" t="s">
        <v>655</v>
      </c>
      <c r="E458" s="10" t="s">
        <v>34</v>
      </c>
      <c r="F458" s="10" t="s">
        <v>35</v>
      </c>
      <c r="G458" s="8" t="s">
        <v>41</v>
      </c>
      <c r="H458" s="12">
        <v>1</v>
      </c>
      <c r="I458" s="12">
        <v>3</v>
      </c>
      <c r="J458" s="15">
        <v>24000.0</v>
      </c>
      <c r="K458" s="15"/>
      <c r="L458" s="17">
        <f>IF(J458&gt;0, K458/J458, 0)</f>
        <v>0</v>
      </c>
      <c r="M458" s="15">
        <v>24000.0</v>
      </c>
      <c r="N458" s="15"/>
      <c r="O458" s="15">
        <f>M458-N458</f>
        <v>24000</v>
      </c>
      <c r="P458" s="10" t="s">
        <v>42</v>
      </c>
      <c r="Q458" s="10" t="s">
        <v>43</v>
      </c>
      <c r="R458" s="10" t="s">
        <v>44</v>
      </c>
      <c r="S458" s="8" t="s">
        <v>2159</v>
      </c>
      <c r="T458" s="8" t="s">
        <v>44</v>
      </c>
    </row>
    <row r="459" spans="1:20">
      <c r="A459" s="11">
        <v>452</v>
      </c>
      <c r="B459" s="11" t="s">
        <v>724</v>
      </c>
      <c r="C459" s="11" t="s">
        <v>701</v>
      </c>
      <c r="D459" s="11" t="s">
        <v>655</v>
      </c>
      <c r="E459" s="11" t="s">
        <v>34</v>
      </c>
      <c r="F459" s="11" t="s">
        <v>35</v>
      </c>
      <c r="G459" s="9" t="s">
        <v>41</v>
      </c>
      <c r="H459" s="13">
        <v>1</v>
      </c>
      <c r="I459" s="13">
        <v>4</v>
      </c>
      <c r="J459" s="16">
        <v>28000.0</v>
      </c>
      <c r="K459" s="16"/>
      <c r="L459" s="18">
        <f>IF(J459&gt;0, K459/J459, 0)</f>
        <v>0</v>
      </c>
      <c r="M459" s="16">
        <v>28000.0</v>
      </c>
      <c r="N459" s="16"/>
      <c r="O459" s="16">
        <f>M459-N459</f>
        <v>28000</v>
      </c>
      <c r="P459" s="11" t="s">
        <v>42</v>
      </c>
      <c r="Q459" s="11" t="s">
        <v>43</v>
      </c>
      <c r="R459" s="11" t="s">
        <v>44</v>
      </c>
      <c r="S459" s="9" t="s">
        <v>2160</v>
      </c>
      <c r="T459" s="9" t="s">
        <v>44</v>
      </c>
    </row>
    <row r="460" spans="1:20">
      <c r="A460" s="10">
        <v>453</v>
      </c>
      <c r="B460" s="10" t="s">
        <v>726</v>
      </c>
      <c r="C460" s="10" t="s">
        <v>701</v>
      </c>
      <c r="D460" s="10" t="s">
        <v>655</v>
      </c>
      <c r="E460" s="10" t="s">
        <v>34</v>
      </c>
      <c r="F460" s="10" t="s">
        <v>35</v>
      </c>
      <c r="G460" s="8" t="s">
        <v>41</v>
      </c>
      <c r="H460" s="12">
        <v>1</v>
      </c>
      <c r="I460" s="12">
        <v>1</v>
      </c>
      <c r="J460" s="15">
        <v>8000.0</v>
      </c>
      <c r="K460" s="15"/>
      <c r="L460" s="17">
        <f>IF(J460&gt;0, K460/J460, 0)</f>
        <v>0</v>
      </c>
      <c r="M460" s="15">
        <v>8000.0</v>
      </c>
      <c r="N460" s="15"/>
      <c r="O460" s="15">
        <f>M460-N460</f>
        <v>8000</v>
      </c>
      <c r="P460" s="10" t="s">
        <v>42</v>
      </c>
      <c r="Q460" s="10" t="s">
        <v>43</v>
      </c>
      <c r="R460" s="10" t="s">
        <v>44</v>
      </c>
      <c r="S460" s="8" t="s">
        <v>2115</v>
      </c>
      <c r="T460" s="8" t="s">
        <v>44</v>
      </c>
    </row>
    <row r="461" spans="1:20">
      <c r="A461" s="11">
        <v>454</v>
      </c>
      <c r="B461" s="11" t="s">
        <v>728</v>
      </c>
      <c r="C461" s="11" t="s">
        <v>701</v>
      </c>
      <c r="D461" s="11" t="s">
        <v>655</v>
      </c>
      <c r="E461" s="11" t="s">
        <v>34</v>
      </c>
      <c r="F461" s="11" t="s">
        <v>35</v>
      </c>
      <c r="G461" s="9" t="s">
        <v>41</v>
      </c>
      <c r="H461" s="13">
        <v>1</v>
      </c>
      <c r="I461" s="13">
        <v>1</v>
      </c>
      <c r="J461" s="16">
        <v>7000.0</v>
      </c>
      <c r="K461" s="16"/>
      <c r="L461" s="18">
        <f>IF(J461&gt;0, K461/J461, 0)</f>
        <v>0</v>
      </c>
      <c r="M461" s="16">
        <v>7000.0</v>
      </c>
      <c r="N461" s="16"/>
      <c r="O461" s="16">
        <f>M461-N461</f>
        <v>7000</v>
      </c>
      <c r="P461" s="11" t="s">
        <v>42</v>
      </c>
      <c r="Q461" s="11" t="s">
        <v>43</v>
      </c>
      <c r="R461" s="11" t="s">
        <v>44</v>
      </c>
      <c r="S461" s="9" t="s">
        <v>2053</v>
      </c>
      <c r="T461" s="9" t="s">
        <v>44</v>
      </c>
    </row>
    <row r="462" spans="1:20">
      <c r="A462" s="10">
        <v>455</v>
      </c>
      <c r="B462" s="10" t="s">
        <v>730</v>
      </c>
      <c r="C462" s="10" t="s">
        <v>701</v>
      </c>
      <c r="D462" s="10" t="s">
        <v>655</v>
      </c>
      <c r="E462" s="10" t="s">
        <v>34</v>
      </c>
      <c r="F462" s="10" t="s">
        <v>35</v>
      </c>
      <c r="G462" s="8" t="s">
        <v>41</v>
      </c>
      <c r="H462" s="12">
        <v>1</v>
      </c>
      <c r="I462" s="12">
        <v>4</v>
      </c>
      <c r="J462" s="15">
        <v>28000.0</v>
      </c>
      <c r="K462" s="15"/>
      <c r="L462" s="17">
        <f>IF(J462&gt;0, K462/J462, 0)</f>
        <v>0</v>
      </c>
      <c r="M462" s="15">
        <v>28000.0</v>
      </c>
      <c r="N462" s="15"/>
      <c r="O462" s="15">
        <f>M462-N462</f>
        <v>28000</v>
      </c>
      <c r="P462" s="10" t="s">
        <v>42</v>
      </c>
      <c r="Q462" s="10" t="s">
        <v>43</v>
      </c>
      <c r="R462" s="10" t="s">
        <v>44</v>
      </c>
      <c r="S462" s="8" t="s">
        <v>2160</v>
      </c>
      <c r="T462" s="8" t="s">
        <v>44</v>
      </c>
    </row>
    <row r="463" spans="1:20">
      <c r="A463" s="11">
        <v>456</v>
      </c>
      <c r="B463" s="11" t="s">
        <v>731</v>
      </c>
      <c r="C463" s="11" t="s">
        <v>701</v>
      </c>
      <c r="D463" s="11" t="s">
        <v>655</v>
      </c>
      <c r="E463" s="11" t="s">
        <v>34</v>
      </c>
      <c r="F463" s="11" t="s">
        <v>35</v>
      </c>
      <c r="G463" s="9" t="s">
        <v>41</v>
      </c>
      <c r="H463" s="13">
        <v>1</v>
      </c>
      <c r="I463" s="13">
        <v>1</v>
      </c>
      <c r="J463" s="16">
        <v>8000.0</v>
      </c>
      <c r="K463" s="16"/>
      <c r="L463" s="18">
        <f>IF(J463&gt;0, K463/J463, 0)</f>
        <v>0</v>
      </c>
      <c r="M463" s="16">
        <v>8000.0</v>
      </c>
      <c r="N463" s="16"/>
      <c r="O463" s="16">
        <f>M463-N463</f>
        <v>8000</v>
      </c>
      <c r="P463" s="11" t="s">
        <v>42</v>
      </c>
      <c r="Q463" s="11" t="s">
        <v>43</v>
      </c>
      <c r="R463" s="11" t="s">
        <v>44</v>
      </c>
      <c r="S463" s="9" t="s">
        <v>2115</v>
      </c>
      <c r="T463" s="9" t="s">
        <v>44</v>
      </c>
    </row>
    <row r="464" spans="1:20">
      <c r="A464" s="10">
        <v>457</v>
      </c>
      <c r="B464" s="10" t="s">
        <v>732</v>
      </c>
      <c r="C464" s="10" t="s">
        <v>701</v>
      </c>
      <c r="D464" s="10" t="s">
        <v>655</v>
      </c>
      <c r="E464" s="10" t="s">
        <v>34</v>
      </c>
      <c r="F464" s="10" t="s">
        <v>35</v>
      </c>
      <c r="G464" s="8" t="s">
        <v>41</v>
      </c>
      <c r="H464" s="12">
        <v>1</v>
      </c>
      <c r="I464" s="12">
        <v>1</v>
      </c>
      <c r="J464" s="15">
        <v>7000.0</v>
      </c>
      <c r="K464" s="15"/>
      <c r="L464" s="17">
        <f>IF(J464&gt;0, K464/J464, 0)</f>
        <v>0</v>
      </c>
      <c r="M464" s="15">
        <v>7000.0</v>
      </c>
      <c r="N464" s="15"/>
      <c r="O464" s="15">
        <f>M464-N464</f>
        <v>7000</v>
      </c>
      <c r="P464" s="10" t="s">
        <v>42</v>
      </c>
      <c r="Q464" s="10" t="s">
        <v>43</v>
      </c>
      <c r="R464" s="10" t="s">
        <v>44</v>
      </c>
      <c r="S464" s="8" t="s">
        <v>2053</v>
      </c>
      <c r="T464" s="8" t="s">
        <v>44</v>
      </c>
    </row>
    <row r="465" spans="1:20">
      <c r="A465" s="11">
        <v>458</v>
      </c>
      <c r="B465" s="11" t="s">
        <v>733</v>
      </c>
      <c r="C465" s="11" t="s">
        <v>701</v>
      </c>
      <c r="D465" s="11" t="s">
        <v>655</v>
      </c>
      <c r="E465" s="11" t="s">
        <v>34</v>
      </c>
      <c r="F465" s="11" t="s">
        <v>35</v>
      </c>
      <c r="G465" s="9" t="s">
        <v>41</v>
      </c>
      <c r="H465" s="13">
        <v>1</v>
      </c>
      <c r="I465" s="13">
        <v>1</v>
      </c>
      <c r="J465" s="16">
        <v>7000.0</v>
      </c>
      <c r="K465" s="16"/>
      <c r="L465" s="18">
        <f>IF(J465&gt;0, K465/J465, 0)</f>
        <v>0</v>
      </c>
      <c r="M465" s="16">
        <v>7000.0</v>
      </c>
      <c r="N465" s="16"/>
      <c r="O465" s="16">
        <f>M465-N465</f>
        <v>7000</v>
      </c>
      <c r="P465" s="11" t="s">
        <v>42</v>
      </c>
      <c r="Q465" s="11" t="s">
        <v>43</v>
      </c>
      <c r="R465" s="11" t="s">
        <v>44</v>
      </c>
      <c r="S465" s="9" t="s">
        <v>2088</v>
      </c>
      <c r="T465" s="9" t="s">
        <v>44</v>
      </c>
    </row>
    <row r="466" spans="1:20">
      <c r="A466" s="10">
        <v>459</v>
      </c>
      <c r="B466" s="10" t="s">
        <v>734</v>
      </c>
      <c r="C466" s="10" t="s">
        <v>701</v>
      </c>
      <c r="D466" s="10" t="s">
        <v>655</v>
      </c>
      <c r="E466" s="10" t="s">
        <v>34</v>
      </c>
      <c r="F466" s="10" t="s">
        <v>35</v>
      </c>
      <c r="G466" s="8" t="s">
        <v>41</v>
      </c>
      <c r="H466" s="12">
        <v>1</v>
      </c>
      <c r="I466" s="12">
        <v>1</v>
      </c>
      <c r="J466" s="15">
        <v>18000.0</v>
      </c>
      <c r="K466" s="15"/>
      <c r="L466" s="17">
        <f>IF(J466&gt;0, K466/J466, 0)</f>
        <v>0</v>
      </c>
      <c r="M466" s="15">
        <v>18000.0</v>
      </c>
      <c r="N466" s="15"/>
      <c r="O466" s="15">
        <f>M466-N466</f>
        <v>18000</v>
      </c>
      <c r="P466" s="10" t="s">
        <v>42</v>
      </c>
      <c r="Q466" s="10" t="s">
        <v>43</v>
      </c>
      <c r="R466" s="10" t="s">
        <v>44</v>
      </c>
      <c r="S466" s="8" t="s">
        <v>2049</v>
      </c>
      <c r="T466" s="8" t="s">
        <v>44</v>
      </c>
    </row>
    <row r="467" spans="1:20">
      <c r="A467" s="11">
        <v>460</v>
      </c>
      <c r="B467" s="11" t="s">
        <v>735</v>
      </c>
      <c r="C467" s="11" t="s">
        <v>701</v>
      </c>
      <c r="D467" s="11" t="s">
        <v>655</v>
      </c>
      <c r="E467" s="11" t="s">
        <v>34</v>
      </c>
      <c r="F467" s="11" t="s">
        <v>35</v>
      </c>
      <c r="G467" s="9" t="s">
        <v>41</v>
      </c>
      <c r="H467" s="13">
        <v>1</v>
      </c>
      <c r="I467" s="13">
        <v>1</v>
      </c>
      <c r="J467" s="16">
        <v>18000.0</v>
      </c>
      <c r="K467" s="16"/>
      <c r="L467" s="18">
        <f>IF(J467&gt;0, K467/J467, 0)</f>
        <v>0</v>
      </c>
      <c r="M467" s="16">
        <v>18000.0</v>
      </c>
      <c r="N467" s="16"/>
      <c r="O467" s="16">
        <f>M467-N467</f>
        <v>18000</v>
      </c>
      <c r="P467" s="11" t="s">
        <v>42</v>
      </c>
      <c r="Q467" s="11" t="s">
        <v>43</v>
      </c>
      <c r="R467" s="11" t="s">
        <v>44</v>
      </c>
      <c r="S467" s="9" t="s">
        <v>2107</v>
      </c>
      <c r="T467" s="9" t="s">
        <v>44</v>
      </c>
    </row>
    <row r="468" spans="1:20">
      <c r="A468" s="10">
        <v>461</v>
      </c>
      <c r="B468" s="10" t="s">
        <v>736</v>
      </c>
      <c r="C468" s="10" t="s">
        <v>701</v>
      </c>
      <c r="D468" s="10" t="s">
        <v>655</v>
      </c>
      <c r="E468" s="10" t="s">
        <v>70</v>
      </c>
      <c r="F468" s="10" t="s">
        <v>35</v>
      </c>
      <c r="G468" s="8" t="s">
        <v>41</v>
      </c>
      <c r="H468" s="12">
        <v>1</v>
      </c>
      <c r="I468" s="12">
        <v>1</v>
      </c>
      <c r="J468" s="15">
        <v>10000.0</v>
      </c>
      <c r="K468" s="15"/>
      <c r="L468" s="17">
        <f>IF(J468&gt;0, K468/J468, 0)</f>
        <v>0</v>
      </c>
      <c r="M468" s="15">
        <v>10000.0</v>
      </c>
      <c r="N468" s="15"/>
      <c r="O468" s="15">
        <f>M468-N468</f>
        <v>10000</v>
      </c>
      <c r="P468" s="10" t="s">
        <v>42</v>
      </c>
      <c r="Q468" s="10" t="s">
        <v>73</v>
      </c>
      <c r="R468" s="10" t="s">
        <v>44</v>
      </c>
      <c r="S468" s="8" t="s">
        <v>2161</v>
      </c>
      <c r="T468" s="8" t="s">
        <v>44</v>
      </c>
    </row>
    <row r="469" spans="1:20">
      <c r="A469" s="11">
        <v>462</v>
      </c>
      <c r="B469" s="11" t="s">
        <v>738</v>
      </c>
      <c r="C469" s="11" t="s">
        <v>701</v>
      </c>
      <c r="D469" s="11" t="s">
        <v>655</v>
      </c>
      <c r="E469" s="11" t="s">
        <v>34</v>
      </c>
      <c r="F469" s="11" t="s">
        <v>35</v>
      </c>
      <c r="G469" s="9" t="s">
        <v>41</v>
      </c>
      <c r="H469" s="13">
        <v>1</v>
      </c>
      <c r="I469" s="13">
        <v>1</v>
      </c>
      <c r="J469" s="16">
        <v>7500.0</v>
      </c>
      <c r="K469" s="16"/>
      <c r="L469" s="18">
        <f>IF(J469&gt;0, K469/J469, 0)</f>
        <v>0</v>
      </c>
      <c r="M469" s="16">
        <v>7500.0</v>
      </c>
      <c r="N469" s="16"/>
      <c r="O469" s="16">
        <f>M469-N469</f>
        <v>7500</v>
      </c>
      <c r="P469" s="11" t="s">
        <v>42</v>
      </c>
      <c r="Q469" s="11" t="s">
        <v>43</v>
      </c>
      <c r="R469" s="11" t="s">
        <v>44</v>
      </c>
      <c r="S469" s="9" t="s">
        <v>2151</v>
      </c>
      <c r="T469" s="9" t="s">
        <v>44</v>
      </c>
    </row>
    <row r="470" spans="1:20">
      <c r="A470" s="10">
        <v>463</v>
      </c>
      <c r="B470" s="10" t="s">
        <v>739</v>
      </c>
      <c r="C470" s="10" t="s">
        <v>701</v>
      </c>
      <c r="D470" s="10" t="s">
        <v>655</v>
      </c>
      <c r="E470" s="10" t="s">
        <v>34</v>
      </c>
      <c r="F470" s="10" t="s">
        <v>35</v>
      </c>
      <c r="G470" s="8" t="s">
        <v>41</v>
      </c>
      <c r="H470" s="12">
        <v>1</v>
      </c>
      <c r="I470" s="12">
        <v>1</v>
      </c>
      <c r="J470" s="15">
        <v>7500.0</v>
      </c>
      <c r="K470" s="15"/>
      <c r="L470" s="17">
        <f>IF(J470&gt;0, K470/J470, 0)</f>
        <v>0</v>
      </c>
      <c r="M470" s="15">
        <v>7500.0</v>
      </c>
      <c r="N470" s="15"/>
      <c r="O470" s="15">
        <f>M470-N470</f>
        <v>7500</v>
      </c>
      <c r="P470" s="10" t="s">
        <v>42</v>
      </c>
      <c r="Q470" s="10" t="s">
        <v>43</v>
      </c>
      <c r="R470" s="10" t="s">
        <v>44</v>
      </c>
      <c r="S470" s="8" t="s">
        <v>2149</v>
      </c>
      <c r="T470" s="8" t="s">
        <v>44</v>
      </c>
    </row>
    <row r="471" spans="1:20">
      <c r="A471" s="11">
        <v>464</v>
      </c>
      <c r="B471" s="11" t="s">
        <v>740</v>
      </c>
      <c r="C471" s="11" t="s">
        <v>701</v>
      </c>
      <c r="D471" s="11" t="s">
        <v>655</v>
      </c>
      <c r="E471" s="11" t="s">
        <v>34</v>
      </c>
      <c r="F471" s="11" t="s">
        <v>35</v>
      </c>
      <c r="G471" s="9" t="s">
        <v>41</v>
      </c>
      <c r="H471" s="13">
        <v>1</v>
      </c>
      <c r="I471" s="13">
        <v>1</v>
      </c>
      <c r="J471" s="16">
        <v>8000.0</v>
      </c>
      <c r="K471" s="16"/>
      <c r="L471" s="18">
        <f>IF(J471&gt;0, K471/J471, 0)</f>
        <v>0</v>
      </c>
      <c r="M471" s="16">
        <v>8000.0</v>
      </c>
      <c r="N471" s="16"/>
      <c r="O471" s="16">
        <f>M471-N471</f>
        <v>8000</v>
      </c>
      <c r="P471" s="11" t="s">
        <v>42</v>
      </c>
      <c r="Q471" s="11" t="s">
        <v>43</v>
      </c>
      <c r="R471" s="11" t="s">
        <v>44</v>
      </c>
      <c r="S471" s="9" t="s">
        <v>2105</v>
      </c>
      <c r="T471" s="9" t="s">
        <v>44</v>
      </c>
    </row>
    <row r="472" spans="1:20">
      <c r="A472" s="10">
        <v>465</v>
      </c>
      <c r="B472" s="10" t="s">
        <v>741</v>
      </c>
      <c r="C472" s="10" t="s">
        <v>701</v>
      </c>
      <c r="D472" s="10" t="s">
        <v>655</v>
      </c>
      <c r="E472" s="10" t="s">
        <v>34</v>
      </c>
      <c r="F472" s="10" t="s">
        <v>35</v>
      </c>
      <c r="G472" s="8" t="s">
        <v>41</v>
      </c>
      <c r="H472" s="12">
        <v>1</v>
      </c>
      <c r="I472" s="12">
        <v>1</v>
      </c>
      <c r="J472" s="15">
        <v>9500.0</v>
      </c>
      <c r="K472" s="15"/>
      <c r="L472" s="17">
        <f>IF(J472&gt;0, K472/J472, 0)</f>
        <v>0</v>
      </c>
      <c r="M472" s="15">
        <v>9500.0</v>
      </c>
      <c r="N472" s="15"/>
      <c r="O472" s="15">
        <f>M472-N472</f>
        <v>9500</v>
      </c>
      <c r="P472" s="10" t="s">
        <v>42</v>
      </c>
      <c r="Q472" s="10" t="s">
        <v>43</v>
      </c>
      <c r="R472" s="10" t="s">
        <v>44</v>
      </c>
      <c r="S472" s="8" t="s">
        <v>2162</v>
      </c>
      <c r="T472" s="8" t="s">
        <v>44</v>
      </c>
    </row>
    <row r="473" spans="1:20">
      <c r="A473" s="11">
        <v>466</v>
      </c>
      <c r="B473" s="11" t="s">
        <v>743</v>
      </c>
      <c r="C473" s="11" t="s">
        <v>701</v>
      </c>
      <c r="D473" s="11" t="s">
        <v>655</v>
      </c>
      <c r="E473" s="11" t="s">
        <v>34</v>
      </c>
      <c r="F473" s="11" t="s">
        <v>35</v>
      </c>
      <c r="G473" s="9" t="s">
        <v>41</v>
      </c>
      <c r="H473" s="13">
        <v>1</v>
      </c>
      <c r="I473" s="13">
        <v>1</v>
      </c>
      <c r="J473" s="16">
        <v>7000.0</v>
      </c>
      <c r="K473" s="16"/>
      <c r="L473" s="18">
        <f>IF(J473&gt;0, K473/J473, 0)</f>
        <v>0</v>
      </c>
      <c r="M473" s="16">
        <v>7000.0</v>
      </c>
      <c r="N473" s="16"/>
      <c r="O473" s="16">
        <f>M473-N473</f>
        <v>7000</v>
      </c>
      <c r="P473" s="11" t="s">
        <v>42</v>
      </c>
      <c r="Q473" s="11" t="s">
        <v>43</v>
      </c>
      <c r="R473" s="11" t="s">
        <v>44</v>
      </c>
      <c r="S473" s="9" t="s">
        <v>2053</v>
      </c>
      <c r="T473" s="9" t="s">
        <v>44</v>
      </c>
    </row>
    <row r="474" spans="1:20">
      <c r="A474" s="10">
        <v>467</v>
      </c>
      <c r="B474" s="10" t="s">
        <v>744</v>
      </c>
      <c r="C474" s="10" t="s">
        <v>701</v>
      </c>
      <c r="D474" s="10" t="s">
        <v>655</v>
      </c>
      <c r="E474" s="10" t="s">
        <v>34</v>
      </c>
      <c r="F474" s="10" t="s">
        <v>745</v>
      </c>
      <c r="G474" s="8" t="s">
        <v>41</v>
      </c>
      <c r="H474" s="12">
        <v>1</v>
      </c>
      <c r="I474" s="12">
        <v>1</v>
      </c>
      <c r="J474" s="15">
        <v>16000.0</v>
      </c>
      <c r="K474" s="15"/>
      <c r="L474" s="17">
        <f>IF(J474&gt;0, K474/J474, 0)</f>
        <v>0</v>
      </c>
      <c r="M474" s="15">
        <v>16000.0</v>
      </c>
      <c r="N474" s="15"/>
      <c r="O474" s="15">
        <f>M474-N474</f>
        <v>16000</v>
      </c>
      <c r="P474" s="10" t="s">
        <v>42</v>
      </c>
      <c r="Q474" s="10" t="s">
        <v>43</v>
      </c>
      <c r="R474" s="10" t="s">
        <v>44</v>
      </c>
      <c r="S474" s="8" t="s">
        <v>2090</v>
      </c>
      <c r="T474" s="8" t="s">
        <v>746</v>
      </c>
    </row>
    <row r="475" spans="1:20">
      <c r="A475" s="11">
        <v>468</v>
      </c>
      <c r="B475" s="11" t="s">
        <v>747</v>
      </c>
      <c r="C475" s="11" t="s">
        <v>748</v>
      </c>
      <c r="D475" s="11" t="s">
        <v>655</v>
      </c>
      <c r="E475" s="11" t="s">
        <v>70</v>
      </c>
      <c r="F475" s="11" t="s">
        <v>35</v>
      </c>
      <c r="G475" s="9" t="s">
        <v>41</v>
      </c>
      <c r="H475" s="13">
        <v>1</v>
      </c>
      <c r="I475" s="13">
        <v>1</v>
      </c>
      <c r="J475" s="16">
        <v>11000.0</v>
      </c>
      <c r="K475" s="16"/>
      <c r="L475" s="18">
        <f>IF(J475&gt;0, K475/J475, 0)</f>
        <v>0</v>
      </c>
      <c r="M475" s="16">
        <v>11000.0</v>
      </c>
      <c r="N475" s="16"/>
      <c r="O475" s="16">
        <f>M475-N475</f>
        <v>11000</v>
      </c>
      <c r="P475" s="11" t="s">
        <v>42</v>
      </c>
      <c r="Q475" s="11" t="s">
        <v>73</v>
      </c>
      <c r="R475" s="11" t="s">
        <v>44</v>
      </c>
      <c r="S475" s="9" t="s">
        <v>2129</v>
      </c>
      <c r="T475" s="9" t="s">
        <v>44</v>
      </c>
    </row>
    <row r="476" spans="1:20">
      <c r="A476" s="10">
        <v>469</v>
      </c>
      <c r="B476" s="10" t="s">
        <v>749</v>
      </c>
      <c r="C476" s="10" t="s">
        <v>748</v>
      </c>
      <c r="D476" s="10" t="s">
        <v>655</v>
      </c>
      <c r="E476" s="10" t="s">
        <v>70</v>
      </c>
      <c r="F476" s="10" t="s">
        <v>35</v>
      </c>
      <c r="G476" s="8" t="s">
        <v>41</v>
      </c>
      <c r="H476" s="12">
        <v>1</v>
      </c>
      <c r="I476" s="12">
        <v>1</v>
      </c>
      <c r="J476" s="15">
        <v>11000.0</v>
      </c>
      <c r="K476" s="15"/>
      <c r="L476" s="17">
        <f>IF(J476&gt;0, K476/J476, 0)</f>
        <v>0</v>
      </c>
      <c r="M476" s="15">
        <v>11000.0</v>
      </c>
      <c r="N476" s="15"/>
      <c r="O476" s="15">
        <f>M476-N476</f>
        <v>11000</v>
      </c>
      <c r="P476" s="10" t="s">
        <v>42</v>
      </c>
      <c r="Q476" s="10" t="s">
        <v>73</v>
      </c>
      <c r="R476" s="10" t="s">
        <v>44</v>
      </c>
      <c r="S476" s="8" t="s">
        <v>2086</v>
      </c>
      <c r="T476" s="8" t="s">
        <v>44</v>
      </c>
    </row>
    <row r="477" spans="1:20">
      <c r="A477" s="11">
        <v>470</v>
      </c>
      <c r="B477" s="11" t="s">
        <v>750</v>
      </c>
      <c r="C477" s="11" t="s">
        <v>748</v>
      </c>
      <c r="D477" s="11" t="s">
        <v>655</v>
      </c>
      <c r="E477" s="11" t="s">
        <v>70</v>
      </c>
      <c r="F477" s="11" t="s">
        <v>35</v>
      </c>
      <c r="G477" s="9" t="s">
        <v>41</v>
      </c>
      <c r="H477" s="13">
        <v>1</v>
      </c>
      <c r="I477" s="13">
        <v>1</v>
      </c>
      <c r="J477" s="16">
        <v>18000.0</v>
      </c>
      <c r="K477" s="16"/>
      <c r="L477" s="18">
        <f>IF(J477&gt;0, K477/J477, 0)</f>
        <v>0</v>
      </c>
      <c r="M477" s="16">
        <v>18000.0</v>
      </c>
      <c r="N477" s="16"/>
      <c r="O477" s="16">
        <f>M477-N477</f>
        <v>18000</v>
      </c>
      <c r="P477" s="11" t="s">
        <v>42</v>
      </c>
      <c r="Q477" s="11" t="s">
        <v>73</v>
      </c>
      <c r="R477" s="11" t="s">
        <v>44</v>
      </c>
      <c r="S477" s="9" t="s">
        <v>2040</v>
      </c>
      <c r="T477" s="9" t="s">
        <v>44</v>
      </c>
    </row>
    <row r="478" spans="1:20">
      <c r="A478" s="10">
        <v>471</v>
      </c>
      <c r="B478" s="10" t="s">
        <v>751</v>
      </c>
      <c r="C478" s="10" t="s">
        <v>748</v>
      </c>
      <c r="D478" s="10" t="s">
        <v>655</v>
      </c>
      <c r="E478" s="10" t="s">
        <v>70</v>
      </c>
      <c r="F478" s="10" t="s">
        <v>35</v>
      </c>
      <c r="G478" s="8" t="s">
        <v>41</v>
      </c>
      <c r="H478" s="12">
        <v>1</v>
      </c>
      <c r="I478" s="12">
        <v>3</v>
      </c>
      <c r="J478" s="15">
        <v>30000.0</v>
      </c>
      <c r="K478" s="15"/>
      <c r="L478" s="17">
        <f>IF(J478&gt;0, K478/J478, 0)</f>
        <v>0</v>
      </c>
      <c r="M478" s="15">
        <v>30000.0</v>
      </c>
      <c r="N478" s="15"/>
      <c r="O478" s="15">
        <f>M478-N478</f>
        <v>30000</v>
      </c>
      <c r="P478" s="10" t="s">
        <v>42</v>
      </c>
      <c r="Q478" s="10" t="s">
        <v>73</v>
      </c>
      <c r="R478" s="10" t="s">
        <v>44</v>
      </c>
      <c r="S478" s="8" t="s">
        <v>2163</v>
      </c>
      <c r="T478" s="8" t="s">
        <v>44</v>
      </c>
    </row>
    <row r="479" spans="1:20">
      <c r="A479" s="11">
        <v>472</v>
      </c>
      <c r="B479" s="11" t="s">
        <v>752</v>
      </c>
      <c r="C479" s="11" t="s">
        <v>748</v>
      </c>
      <c r="D479" s="11" t="s">
        <v>655</v>
      </c>
      <c r="E479" s="11" t="s">
        <v>34</v>
      </c>
      <c r="F479" s="11" t="s">
        <v>35</v>
      </c>
      <c r="G479" s="9" t="s">
        <v>41</v>
      </c>
      <c r="H479" s="13">
        <v>1</v>
      </c>
      <c r="I479" s="13">
        <v>1</v>
      </c>
      <c r="J479" s="16">
        <v>18000.0</v>
      </c>
      <c r="K479" s="16"/>
      <c r="L479" s="18">
        <f>IF(J479&gt;0, K479/J479, 0)</f>
        <v>0</v>
      </c>
      <c r="M479" s="16">
        <v>18000.0</v>
      </c>
      <c r="N479" s="16"/>
      <c r="O479" s="16">
        <f>M479-N479</f>
        <v>18000</v>
      </c>
      <c r="P479" s="11" t="s">
        <v>42</v>
      </c>
      <c r="Q479" s="11" t="s">
        <v>43</v>
      </c>
      <c r="R479" s="11" t="s">
        <v>44</v>
      </c>
      <c r="S479" s="9" t="s">
        <v>2021</v>
      </c>
      <c r="T479" s="9" t="s">
        <v>44</v>
      </c>
    </row>
    <row r="480" spans="1:20">
      <c r="A480" s="10">
        <v>473</v>
      </c>
      <c r="B480" s="10" t="s">
        <v>753</v>
      </c>
      <c r="C480" s="10" t="s">
        <v>748</v>
      </c>
      <c r="D480" s="10" t="s">
        <v>655</v>
      </c>
      <c r="E480" s="10" t="s">
        <v>34</v>
      </c>
      <c r="F480" s="10" t="s">
        <v>35</v>
      </c>
      <c r="G480" s="8" t="s">
        <v>41</v>
      </c>
      <c r="H480" s="12">
        <v>1</v>
      </c>
      <c r="I480" s="12">
        <v>1</v>
      </c>
      <c r="J480" s="15">
        <v>8500.0</v>
      </c>
      <c r="K480" s="15"/>
      <c r="L480" s="17">
        <f>IF(J480&gt;0, K480/J480, 0)</f>
        <v>0</v>
      </c>
      <c r="M480" s="15">
        <v>8500.0</v>
      </c>
      <c r="N480" s="15"/>
      <c r="O480" s="15">
        <f>M480-N480</f>
        <v>8500</v>
      </c>
      <c r="P480" s="10" t="s">
        <v>42</v>
      </c>
      <c r="Q480" s="10" t="s">
        <v>43</v>
      </c>
      <c r="R480" s="10" t="s">
        <v>44</v>
      </c>
      <c r="S480" s="8" t="s">
        <v>2045</v>
      </c>
      <c r="T480" s="8" t="s">
        <v>44</v>
      </c>
    </row>
    <row r="481" spans="1:20">
      <c r="A481" s="11">
        <v>474</v>
      </c>
      <c r="B481" s="11" t="s">
        <v>754</v>
      </c>
      <c r="C481" s="11" t="s">
        <v>748</v>
      </c>
      <c r="D481" s="11" t="s">
        <v>655</v>
      </c>
      <c r="E481" s="11" t="s">
        <v>70</v>
      </c>
      <c r="F481" s="11" t="s">
        <v>35</v>
      </c>
      <c r="G481" s="9" t="s">
        <v>41</v>
      </c>
      <c r="H481" s="13">
        <v>1</v>
      </c>
      <c r="I481" s="13">
        <v>1</v>
      </c>
      <c r="J481" s="16">
        <v>8000.0</v>
      </c>
      <c r="K481" s="16"/>
      <c r="L481" s="18">
        <f>IF(J481&gt;0, K481/J481, 0)</f>
        <v>0</v>
      </c>
      <c r="M481" s="16">
        <v>8000.0</v>
      </c>
      <c r="N481" s="16"/>
      <c r="O481" s="16">
        <f>M481-N481</f>
        <v>8000</v>
      </c>
      <c r="P481" s="11" t="s">
        <v>42</v>
      </c>
      <c r="Q481" s="11" t="s">
        <v>73</v>
      </c>
      <c r="R481" s="11" t="s">
        <v>44</v>
      </c>
      <c r="S481" s="9" t="s">
        <v>2164</v>
      </c>
      <c r="T481" s="9" t="s">
        <v>44</v>
      </c>
    </row>
    <row r="482" spans="1:20">
      <c r="A482" s="10">
        <v>475</v>
      </c>
      <c r="B482" s="10" t="s">
        <v>756</v>
      </c>
      <c r="C482" s="10" t="s">
        <v>748</v>
      </c>
      <c r="D482" s="10" t="s">
        <v>655</v>
      </c>
      <c r="E482" s="10" t="s">
        <v>34</v>
      </c>
      <c r="F482" s="10" t="s">
        <v>35</v>
      </c>
      <c r="G482" s="8" t="s">
        <v>41</v>
      </c>
      <c r="H482" s="12">
        <v>1</v>
      </c>
      <c r="I482" s="12">
        <v>1</v>
      </c>
      <c r="J482" s="15">
        <v>8000.0</v>
      </c>
      <c r="K482" s="15"/>
      <c r="L482" s="17">
        <f>IF(J482&gt;0, K482/J482, 0)</f>
        <v>0</v>
      </c>
      <c r="M482" s="15">
        <v>8000.0</v>
      </c>
      <c r="N482" s="15"/>
      <c r="O482" s="15">
        <f>M482-N482</f>
        <v>8000</v>
      </c>
      <c r="P482" s="10" t="s">
        <v>42</v>
      </c>
      <c r="Q482" s="10" t="s">
        <v>43</v>
      </c>
      <c r="R482" s="10" t="s">
        <v>44</v>
      </c>
      <c r="S482" s="8" t="s">
        <v>2139</v>
      </c>
      <c r="T482" s="8" t="s">
        <v>44</v>
      </c>
    </row>
    <row r="483" spans="1:20">
      <c r="A483" s="11">
        <v>476</v>
      </c>
      <c r="B483" s="11" t="s">
        <v>757</v>
      </c>
      <c r="C483" s="11" t="s">
        <v>748</v>
      </c>
      <c r="D483" s="11" t="s">
        <v>655</v>
      </c>
      <c r="E483" s="11" t="s">
        <v>70</v>
      </c>
      <c r="F483" s="11" t="s">
        <v>35</v>
      </c>
      <c r="G483" s="9" t="s">
        <v>41</v>
      </c>
      <c r="H483" s="13">
        <v>1</v>
      </c>
      <c r="I483" s="13">
        <v>1</v>
      </c>
      <c r="J483" s="16">
        <v>7000.0</v>
      </c>
      <c r="K483" s="16"/>
      <c r="L483" s="18">
        <f>IF(J483&gt;0, K483/J483, 0)</f>
        <v>0</v>
      </c>
      <c r="M483" s="16">
        <v>7000.0</v>
      </c>
      <c r="N483" s="16"/>
      <c r="O483" s="16">
        <f>M483-N483</f>
        <v>7000</v>
      </c>
      <c r="P483" s="11" t="s">
        <v>42</v>
      </c>
      <c r="Q483" s="11" t="s">
        <v>73</v>
      </c>
      <c r="R483" s="11" t="s">
        <v>44</v>
      </c>
      <c r="S483" s="9" t="s">
        <v>2088</v>
      </c>
      <c r="T483" s="9" t="s">
        <v>44</v>
      </c>
    </row>
    <row r="484" spans="1:20">
      <c r="A484" s="10">
        <v>477</v>
      </c>
      <c r="B484" s="10" t="s">
        <v>758</v>
      </c>
      <c r="C484" s="10" t="s">
        <v>748</v>
      </c>
      <c r="D484" s="10" t="s">
        <v>655</v>
      </c>
      <c r="E484" s="10" t="s">
        <v>34</v>
      </c>
      <c r="F484" s="10" t="s">
        <v>35</v>
      </c>
      <c r="G484" s="8" t="s">
        <v>41</v>
      </c>
      <c r="H484" s="12">
        <v>1</v>
      </c>
      <c r="I484" s="12">
        <v>1</v>
      </c>
      <c r="J484" s="15">
        <v>7000.0</v>
      </c>
      <c r="K484" s="15"/>
      <c r="L484" s="17">
        <f>IF(J484&gt;0, K484/J484, 0)</f>
        <v>0</v>
      </c>
      <c r="M484" s="15">
        <v>7000.0</v>
      </c>
      <c r="N484" s="15"/>
      <c r="O484" s="15">
        <f>M484-N484</f>
        <v>7000</v>
      </c>
      <c r="P484" s="10" t="s">
        <v>42</v>
      </c>
      <c r="Q484" s="10" t="s">
        <v>43</v>
      </c>
      <c r="R484" s="10" t="s">
        <v>44</v>
      </c>
      <c r="S484" s="8" t="s">
        <v>2055</v>
      </c>
      <c r="T484" s="8" t="s">
        <v>44</v>
      </c>
    </row>
    <row r="485" spans="1:20">
      <c r="A485" s="11">
        <v>478</v>
      </c>
      <c r="B485" s="11" t="s">
        <v>759</v>
      </c>
      <c r="C485" s="11" t="s">
        <v>748</v>
      </c>
      <c r="D485" s="11" t="s">
        <v>655</v>
      </c>
      <c r="E485" s="11" t="s">
        <v>34</v>
      </c>
      <c r="F485" s="11" t="s">
        <v>35</v>
      </c>
      <c r="G485" s="9" t="s">
        <v>41</v>
      </c>
      <c r="H485" s="13">
        <v>1</v>
      </c>
      <c r="I485" s="13">
        <v>1</v>
      </c>
      <c r="J485" s="16">
        <v>7000.0</v>
      </c>
      <c r="K485" s="16"/>
      <c r="L485" s="18">
        <f>IF(J485&gt;0, K485/J485, 0)</f>
        <v>0</v>
      </c>
      <c r="M485" s="16">
        <v>7000.0</v>
      </c>
      <c r="N485" s="16"/>
      <c r="O485" s="16">
        <f>M485-N485</f>
        <v>7000</v>
      </c>
      <c r="P485" s="11" t="s">
        <v>42</v>
      </c>
      <c r="Q485" s="11" t="s">
        <v>43</v>
      </c>
      <c r="R485" s="11" t="s">
        <v>44</v>
      </c>
      <c r="S485" s="9" t="s">
        <v>2100</v>
      </c>
      <c r="T485" s="9" t="s">
        <v>44</v>
      </c>
    </row>
    <row r="486" spans="1:20">
      <c r="A486" s="10">
        <v>479</v>
      </c>
      <c r="B486" s="10" t="s">
        <v>760</v>
      </c>
      <c r="C486" s="10" t="s">
        <v>748</v>
      </c>
      <c r="D486" s="10" t="s">
        <v>655</v>
      </c>
      <c r="E486" s="10" t="s">
        <v>34</v>
      </c>
      <c r="F486" s="10" t="s">
        <v>35</v>
      </c>
      <c r="G486" s="8" t="s">
        <v>41</v>
      </c>
      <c r="H486" s="12">
        <v>1</v>
      </c>
      <c r="I486" s="12">
        <v>1</v>
      </c>
      <c r="J486" s="15">
        <v>8000.0</v>
      </c>
      <c r="K486" s="15"/>
      <c r="L486" s="17">
        <f>IF(J486&gt;0, K486/J486, 0)</f>
        <v>0</v>
      </c>
      <c r="M486" s="15">
        <v>8000.0</v>
      </c>
      <c r="N486" s="15"/>
      <c r="O486" s="15">
        <f>M486-N486</f>
        <v>8000</v>
      </c>
      <c r="P486" s="10" t="s">
        <v>42</v>
      </c>
      <c r="Q486" s="10" t="s">
        <v>43</v>
      </c>
      <c r="R486" s="10" t="s">
        <v>44</v>
      </c>
      <c r="S486" s="8" t="s">
        <v>2087</v>
      </c>
      <c r="T486" s="8" t="s">
        <v>44</v>
      </c>
    </row>
    <row r="487" spans="1:20">
      <c r="A487" s="11">
        <v>480</v>
      </c>
      <c r="B487" s="11" t="s">
        <v>761</v>
      </c>
      <c r="C487" s="11" t="s">
        <v>748</v>
      </c>
      <c r="D487" s="11" t="s">
        <v>655</v>
      </c>
      <c r="E487" s="11" t="s">
        <v>34</v>
      </c>
      <c r="F487" s="11" t="s">
        <v>35</v>
      </c>
      <c r="G487" s="9" t="s">
        <v>41</v>
      </c>
      <c r="H487" s="13">
        <v>1</v>
      </c>
      <c r="I487" s="13">
        <v>1</v>
      </c>
      <c r="J487" s="16">
        <v>8000.0</v>
      </c>
      <c r="K487" s="16"/>
      <c r="L487" s="18">
        <f>IF(J487&gt;0, K487/J487, 0)</f>
        <v>0</v>
      </c>
      <c r="M487" s="16">
        <v>8000.0</v>
      </c>
      <c r="N487" s="16"/>
      <c r="O487" s="16">
        <f>M487-N487</f>
        <v>8000</v>
      </c>
      <c r="P487" s="11" t="s">
        <v>42</v>
      </c>
      <c r="Q487" s="11" t="s">
        <v>43</v>
      </c>
      <c r="R487" s="11" t="s">
        <v>44</v>
      </c>
      <c r="S487" s="9" t="s">
        <v>2115</v>
      </c>
      <c r="T487" s="9" t="s">
        <v>44</v>
      </c>
    </row>
    <row r="488" spans="1:20">
      <c r="A488" s="10">
        <v>481</v>
      </c>
      <c r="B488" s="10" t="s">
        <v>762</v>
      </c>
      <c r="C488" s="10" t="s">
        <v>763</v>
      </c>
      <c r="D488" s="10" t="s">
        <v>655</v>
      </c>
      <c r="E488" s="10" t="s">
        <v>34</v>
      </c>
      <c r="F488" s="10" t="s">
        <v>35</v>
      </c>
      <c r="G488" s="8" t="s">
        <v>41</v>
      </c>
      <c r="H488" s="12">
        <v>1</v>
      </c>
      <c r="I488" s="12">
        <v>1</v>
      </c>
      <c r="J488" s="15">
        <v>8000.0</v>
      </c>
      <c r="K488" s="15"/>
      <c r="L488" s="17">
        <f>IF(J488&gt;0, K488/J488, 0)</f>
        <v>0</v>
      </c>
      <c r="M488" s="15">
        <v>8000.0</v>
      </c>
      <c r="N488" s="15"/>
      <c r="O488" s="15">
        <f>M488-N488</f>
        <v>8000</v>
      </c>
      <c r="P488" s="10" t="s">
        <v>42</v>
      </c>
      <c r="Q488" s="10" t="s">
        <v>43</v>
      </c>
      <c r="R488" s="10" t="s">
        <v>44</v>
      </c>
      <c r="S488" s="8" t="s">
        <v>2087</v>
      </c>
      <c r="T488" s="8" t="s">
        <v>44</v>
      </c>
    </row>
    <row r="489" spans="1:20">
      <c r="A489" s="11">
        <v>482</v>
      </c>
      <c r="B489" s="11" t="s">
        <v>764</v>
      </c>
      <c r="C489" s="11" t="s">
        <v>763</v>
      </c>
      <c r="D489" s="11" t="s">
        <v>655</v>
      </c>
      <c r="E489" s="11" t="s">
        <v>34</v>
      </c>
      <c r="F489" s="11" t="s">
        <v>35</v>
      </c>
      <c r="G489" s="9" t="s">
        <v>41</v>
      </c>
      <c r="H489" s="13">
        <v>1</v>
      </c>
      <c r="I489" s="13">
        <v>1</v>
      </c>
      <c r="J489" s="16">
        <v>8000.0</v>
      </c>
      <c r="K489" s="16"/>
      <c r="L489" s="18">
        <f>IF(J489&gt;0, K489/J489, 0)</f>
        <v>0</v>
      </c>
      <c r="M489" s="16">
        <v>8000.0</v>
      </c>
      <c r="N489" s="16"/>
      <c r="O489" s="16">
        <f>M489-N489</f>
        <v>8000</v>
      </c>
      <c r="P489" s="11" t="s">
        <v>42</v>
      </c>
      <c r="Q489" s="11" t="s">
        <v>43</v>
      </c>
      <c r="R489" s="11" t="s">
        <v>44</v>
      </c>
      <c r="S489" s="9" t="s">
        <v>2062</v>
      </c>
      <c r="T489" s="9" t="s">
        <v>44</v>
      </c>
    </row>
    <row r="490" spans="1:20">
      <c r="A490" s="10">
        <v>483</v>
      </c>
      <c r="B490" s="10" t="s">
        <v>765</v>
      </c>
      <c r="C490" s="10" t="s">
        <v>763</v>
      </c>
      <c r="D490" s="10" t="s">
        <v>655</v>
      </c>
      <c r="E490" s="10" t="s">
        <v>34</v>
      </c>
      <c r="F490" s="10" t="s">
        <v>35</v>
      </c>
      <c r="G490" s="8" t="s">
        <v>41</v>
      </c>
      <c r="H490" s="12">
        <v>1</v>
      </c>
      <c r="I490" s="12">
        <v>1</v>
      </c>
      <c r="J490" s="15">
        <v>18000.0</v>
      </c>
      <c r="K490" s="15"/>
      <c r="L490" s="17">
        <f>IF(J490&gt;0, K490/J490, 0)</f>
        <v>0</v>
      </c>
      <c r="M490" s="15">
        <v>18000.0</v>
      </c>
      <c r="N490" s="15"/>
      <c r="O490" s="15">
        <f>M490-N490</f>
        <v>18000</v>
      </c>
      <c r="P490" s="10" t="s">
        <v>42</v>
      </c>
      <c r="Q490" s="10" t="s">
        <v>43</v>
      </c>
      <c r="R490" s="10" t="s">
        <v>44</v>
      </c>
      <c r="S490" s="8" t="s">
        <v>2107</v>
      </c>
      <c r="T490" s="8" t="s">
        <v>44</v>
      </c>
    </row>
    <row r="491" spans="1:20">
      <c r="A491" s="11">
        <v>484</v>
      </c>
      <c r="B491" s="11" t="s">
        <v>766</v>
      </c>
      <c r="C491" s="11" t="s">
        <v>763</v>
      </c>
      <c r="D491" s="11" t="s">
        <v>655</v>
      </c>
      <c r="E491" s="11" t="s">
        <v>34</v>
      </c>
      <c r="F491" s="11" t="s">
        <v>35</v>
      </c>
      <c r="G491" s="9" t="s">
        <v>41</v>
      </c>
      <c r="H491" s="13">
        <v>1</v>
      </c>
      <c r="I491" s="13">
        <v>1</v>
      </c>
      <c r="J491" s="16">
        <v>18000.0</v>
      </c>
      <c r="K491" s="16"/>
      <c r="L491" s="18">
        <f>IF(J491&gt;0, K491/J491, 0)</f>
        <v>0</v>
      </c>
      <c r="M491" s="16">
        <v>18000.0</v>
      </c>
      <c r="N491" s="16"/>
      <c r="O491" s="16">
        <f>M491-N491</f>
        <v>18000</v>
      </c>
      <c r="P491" s="11" t="s">
        <v>42</v>
      </c>
      <c r="Q491" s="11" t="s">
        <v>43</v>
      </c>
      <c r="R491" s="11" t="s">
        <v>44</v>
      </c>
      <c r="S491" s="9" t="s">
        <v>2118</v>
      </c>
      <c r="T491" s="9" t="s">
        <v>44</v>
      </c>
    </row>
    <row r="492" spans="1:20">
      <c r="A492" s="10">
        <v>485</v>
      </c>
      <c r="B492" s="10" t="s">
        <v>767</v>
      </c>
      <c r="C492" s="10" t="s">
        <v>763</v>
      </c>
      <c r="D492" s="10" t="s">
        <v>655</v>
      </c>
      <c r="E492" s="10" t="s">
        <v>34</v>
      </c>
      <c r="F492" s="10" t="s">
        <v>35</v>
      </c>
      <c r="G492" s="8" t="s">
        <v>41</v>
      </c>
      <c r="H492" s="12">
        <v>1</v>
      </c>
      <c r="I492" s="12">
        <v>1</v>
      </c>
      <c r="J492" s="15">
        <v>8500.0</v>
      </c>
      <c r="K492" s="15"/>
      <c r="L492" s="17">
        <f>IF(J492&gt;0, K492/J492, 0)</f>
        <v>0</v>
      </c>
      <c r="M492" s="15">
        <v>8500.0</v>
      </c>
      <c r="N492" s="15"/>
      <c r="O492" s="15">
        <f>M492-N492</f>
        <v>8500</v>
      </c>
      <c r="P492" s="10" t="s">
        <v>42</v>
      </c>
      <c r="Q492" s="10" t="s">
        <v>43</v>
      </c>
      <c r="R492" s="10" t="s">
        <v>44</v>
      </c>
      <c r="S492" s="8" t="s">
        <v>2045</v>
      </c>
      <c r="T492" s="8" t="s">
        <v>44</v>
      </c>
    </row>
    <row r="493" spans="1:20">
      <c r="A493" s="11">
        <v>486</v>
      </c>
      <c r="B493" s="11" t="s">
        <v>768</v>
      </c>
      <c r="C493" s="11" t="s">
        <v>763</v>
      </c>
      <c r="D493" s="11" t="s">
        <v>655</v>
      </c>
      <c r="E493" s="11" t="s">
        <v>34</v>
      </c>
      <c r="F493" s="11" t="s">
        <v>35</v>
      </c>
      <c r="G493" s="9" t="s">
        <v>41</v>
      </c>
      <c r="H493" s="13">
        <v>1</v>
      </c>
      <c r="I493" s="13">
        <v>1</v>
      </c>
      <c r="J493" s="16">
        <v>8500.0</v>
      </c>
      <c r="K493" s="16"/>
      <c r="L493" s="18">
        <f>IF(J493&gt;0, K493/J493, 0)</f>
        <v>0</v>
      </c>
      <c r="M493" s="16">
        <v>8500.0</v>
      </c>
      <c r="N493" s="16"/>
      <c r="O493" s="16">
        <f>M493-N493</f>
        <v>8500</v>
      </c>
      <c r="P493" s="11" t="s">
        <v>42</v>
      </c>
      <c r="Q493" s="11" t="s">
        <v>43</v>
      </c>
      <c r="R493" s="11" t="s">
        <v>44</v>
      </c>
      <c r="S493" s="9" t="s">
        <v>2024</v>
      </c>
      <c r="T493" s="9" t="s">
        <v>44</v>
      </c>
    </row>
    <row r="494" spans="1:20">
      <c r="A494" s="10">
        <v>487</v>
      </c>
      <c r="B494" s="10" t="s">
        <v>769</v>
      </c>
      <c r="C494" s="10" t="s">
        <v>763</v>
      </c>
      <c r="D494" s="10" t="s">
        <v>655</v>
      </c>
      <c r="E494" s="10" t="s">
        <v>34</v>
      </c>
      <c r="F494" s="10" t="s">
        <v>35</v>
      </c>
      <c r="G494" s="8" t="s">
        <v>41</v>
      </c>
      <c r="H494" s="12">
        <v>1</v>
      </c>
      <c r="I494" s="12">
        <v>1</v>
      </c>
      <c r="J494" s="15">
        <v>9000.0</v>
      </c>
      <c r="K494" s="15"/>
      <c r="L494" s="17">
        <f>IF(J494&gt;0, K494/J494, 0)</f>
        <v>0</v>
      </c>
      <c r="M494" s="15">
        <v>9000.0</v>
      </c>
      <c r="N494" s="15"/>
      <c r="O494" s="15">
        <f>M494-N494</f>
        <v>9000</v>
      </c>
      <c r="P494" s="10" t="s">
        <v>42</v>
      </c>
      <c r="Q494" s="10" t="s">
        <v>43</v>
      </c>
      <c r="R494" s="10" t="s">
        <v>44</v>
      </c>
      <c r="S494" s="8" t="s">
        <v>2079</v>
      </c>
      <c r="T494" s="8" t="s">
        <v>44</v>
      </c>
    </row>
    <row r="495" spans="1:20">
      <c r="A495" s="11">
        <v>488</v>
      </c>
      <c r="B495" s="11" t="s">
        <v>770</v>
      </c>
      <c r="C495" s="11" t="s">
        <v>763</v>
      </c>
      <c r="D495" s="11" t="s">
        <v>655</v>
      </c>
      <c r="E495" s="11" t="s">
        <v>34</v>
      </c>
      <c r="F495" s="11" t="s">
        <v>35</v>
      </c>
      <c r="G495" s="9" t="s">
        <v>41</v>
      </c>
      <c r="H495" s="13">
        <v>1</v>
      </c>
      <c r="I495" s="13">
        <v>1</v>
      </c>
      <c r="J495" s="16">
        <v>8000.0</v>
      </c>
      <c r="K495" s="16"/>
      <c r="L495" s="18">
        <f>IF(J495&gt;0, K495/J495, 0)</f>
        <v>0</v>
      </c>
      <c r="M495" s="16">
        <v>8000.0</v>
      </c>
      <c r="N495" s="16"/>
      <c r="O495" s="16">
        <f>M495-N495</f>
        <v>8000</v>
      </c>
      <c r="P495" s="11" t="s">
        <v>42</v>
      </c>
      <c r="Q495" s="11" t="s">
        <v>43</v>
      </c>
      <c r="R495" s="11" t="s">
        <v>44</v>
      </c>
      <c r="S495" s="9" t="s">
        <v>2080</v>
      </c>
      <c r="T495" s="9" t="s">
        <v>44</v>
      </c>
    </row>
    <row r="496" spans="1:20">
      <c r="A496" s="10">
        <v>489</v>
      </c>
      <c r="B496" s="10" t="s">
        <v>771</v>
      </c>
      <c r="C496" s="10" t="s">
        <v>763</v>
      </c>
      <c r="D496" s="10" t="s">
        <v>655</v>
      </c>
      <c r="E496" s="10" t="s">
        <v>34</v>
      </c>
      <c r="F496" s="10" t="s">
        <v>35</v>
      </c>
      <c r="G496" s="8" t="s">
        <v>41</v>
      </c>
      <c r="H496" s="12">
        <v>1</v>
      </c>
      <c r="I496" s="12">
        <v>1</v>
      </c>
      <c r="J496" s="15">
        <v>16000.0</v>
      </c>
      <c r="K496" s="15"/>
      <c r="L496" s="17">
        <f>IF(J496&gt;0, K496/J496, 0)</f>
        <v>0</v>
      </c>
      <c r="M496" s="15">
        <v>16000.0</v>
      </c>
      <c r="N496" s="15"/>
      <c r="O496" s="15">
        <f>M496-N496</f>
        <v>16000</v>
      </c>
      <c r="P496" s="10" t="s">
        <v>42</v>
      </c>
      <c r="Q496" s="10" t="s">
        <v>43</v>
      </c>
      <c r="R496" s="10" t="s">
        <v>44</v>
      </c>
      <c r="S496" s="8" t="s">
        <v>2165</v>
      </c>
      <c r="T496" s="8" t="s">
        <v>44</v>
      </c>
    </row>
    <row r="497" spans="1:20">
      <c r="A497" s="11">
        <v>490</v>
      </c>
      <c r="B497" s="11" t="s">
        <v>773</v>
      </c>
      <c r="C497" s="11" t="s">
        <v>763</v>
      </c>
      <c r="D497" s="11" t="s">
        <v>655</v>
      </c>
      <c r="E497" s="11" t="s">
        <v>34</v>
      </c>
      <c r="F497" s="11" t="s">
        <v>35</v>
      </c>
      <c r="G497" s="9" t="s">
        <v>41</v>
      </c>
      <c r="H497" s="13">
        <v>1</v>
      </c>
      <c r="I497" s="13">
        <v>1</v>
      </c>
      <c r="J497" s="16">
        <v>18000.0</v>
      </c>
      <c r="K497" s="16"/>
      <c r="L497" s="18">
        <f>IF(J497&gt;0, K497/J497, 0)</f>
        <v>0</v>
      </c>
      <c r="M497" s="16">
        <v>18000.0</v>
      </c>
      <c r="N497" s="16"/>
      <c r="O497" s="16">
        <f>M497-N497</f>
        <v>18000</v>
      </c>
      <c r="P497" s="11" t="s">
        <v>42</v>
      </c>
      <c r="Q497" s="11" t="s">
        <v>43</v>
      </c>
      <c r="R497" s="11" t="s">
        <v>44</v>
      </c>
      <c r="S497" s="9" t="s">
        <v>2166</v>
      </c>
      <c r="T497" s="9" t="s">
        <v>44</v>
      </c>
    </row>
    <row r="498" spans="1:20">
      <c r="A498" s="10">
        <v>491</v>
      </c>
      <c r="B498" s="10" t="s">
        <v>775</v>
      </c>
      <c r="C498" s="10" t="s">
        <v>763</v>
      </c>
      <c r="D498" s="10" t="s">
        <v>655</v>
      </c>
      <c r="E498" s="10" t="s">
        <v>34</v>
      </c>
      <c r="F498" s="10" t="s">
        <v>35</v>
      </c>
      <c r="G498" s="8" t="s">
        <v>41</v>
      </c>
      <c r="H498" s="12">
        <v>1</v>
      </c>
      <c r="I498" s="12">
        <v>1</v>
      </c>
      <c r="J498" s="15">
        <v>8000.0</v>
      </c>
      <c r="K498" s="15"/>
      <c r="L498" s="17">
        <f>IF(J498&gt;0, K498/J498, 0)</f>
        <v>0</v>
      </c>
      <c r="M498" s="15">
        <v>8000.0</v>
      </c>
      <c r="N498" s="15"/>
      <c r="O498" s="15">
        <f>M498-N498</f>
        <v>8000</v>
      </c>
      <c r="P498" s="10" t="s">
        <v>42</v>
      </c>
      <c r="Q498" s="10" t="s">
        <v>43</v>
      </c>
      <c r="R498" s="10" t="s">
        <v>44</v>
      </c>
      <c r="S498" s="8" t="s">
        <v>2167</v>
      </c>
      <c r="T498" s="8" t="s">
        <v>44</v>
      </c>
    </row>
    <row r="499" spans="1:20">
      <c r="A499" s="11">
        <v>492</v>
      </c>
      <c r="B499" s="11" t="s">
        <v>777</v>
      </c>
      <c r="C499" s="11" t="s">
        <v>763</v>
      </c>
      <c r="D499" s="11" t="s">
        <v>655</v>
      </c>
      <c r="E499" s="11" t="s">
        <v>34</v>
      </c>
      <c r="F499" s="11" t="s">
        <v>35</v>
      </c>
      <c r="G499" s="9" t="s">
        <v>41</v>
      </c>
      <c r="H499" s="13">
        <v>1</v>
      </c>
      <c r="I499" s="13">
        <v>1</v>
      </c>
      <c r="J499" s="16">
        <v>18000.0</v>
      </c>
      <c r="K499" s="16"/>
      <c r="L499" s="18">
        <f>IF(J499&gt;0, K499/J499, 0)</f>
        <v>0</v>
      </c>
      <c r="M499" s="16">
        <v>18000.0</v>
      </c>
      <c r="N499" s="16"/>
      <c r="O499" s="16">
        <f>M499-N499</f>
        <v>18000</v>
      </c>
      <c r="P499" s="11" t="s">
        <v>42</v>
      </c>
      <c r="Q499" s="11" t="s">
        <v>43</v>
      </c>
      <c r="R499" s="11" t="s">
        <v>44</v>
      </c>
      <c r="S499" s="9" t="s">
        <v>2128</v>
      </c>
      <c r="T499" s="9" t="s">
        <v>44</v>
      </c>
    </row>
    <row r="500" spans="1:20">
      <c r="A500" s="10">
        <v>493</v>
      </c>
      <c r="B500" s="10" t="s">
        <v>778</v>
      </c>
      <c r="C500" s="10" t="s">
        <v>763</v>
      </c>
      <c r="D500" s="10" t="s">
        <v>655</v>
      </c>
      <c r="E500" s="10" t="s">
        <v>34</v>
      </c>
      <c r="F500" s="10" t="s">
        <v>35</v>
      </c>
      <c r="G500" s="8" t="s">
        <v>41</v>
      </c>
      <c r="H500" s="12">
        <v>1</v>
      </c>
      <c r="I500" s="12">
        <v>1</v>
      </c>
      <c r="J500" s="15">
        <v>18000.0</v>
      </c>
      <c r="K500" s="15"/>
      <c r="L500" s="17">
        <f>IF(J500&gt;0, K500/J500, 0)</f>
        <v>0</v>
      </c>
      <c r="M500" s="15">
        <v>18000.0</v>
      </c>
      <c r="N500" s="15"/>
      <c r="O500" s="15">
        <f>M500-N500</f>
        <v>18000</v>
      </c>
      <c r="P500" s="10" t="s">
        <v>42</v>
      </c>
      <c r="Q500" s="10" t="s">
        <v>43</v>
      </c>
      <c r="R500" s="10" t="s">
        <v>44</v>
      </c>
      <c r="S500" s="8" t="s">
        <v>2065</v>
      </c>
      <c r="T500" s="8" t="s">
        <v>44</v>
      </c>
    </row>
    <row r="501" spans="1:20">
      <c r="A501" s="11">
        <v>494</v>
      </c>
      <c r="B501" s="11" t="s">
        <v>779</v>
      </c>
      <c r="C501" s="11" t="s">
        <v>763</v>
      </c>
      <c r="D501" s="11" t="s">
        <v>655</v>
      </c>
      <c r="E501" s="11" t="s">
        <v>34</v>
      </c>
      <c r="F501" s="11" t="s">
        <v>35</v>
      </c>
      <c r="G501" s="9" t="s">
        <v>41</v>
      </c>
      <c r="H501" s="13">
        <v>1</v>
      </c>
      <c r="I501" s="13">
        <v>1</v>
      </c>
      <c r="J501" s="16">
        <v>8500.0</v>
      </c>
      <c r="K501" s="16"/>
      <c r="L501" s="18">
        <f>IF(J501&gt;0, K501/J501, 0)</f>
        <v>0</v>
      </c>
      <c r="M501" s="16">
        <v>8500.0</v>
      </c>
      <c r="N501" s="16"/>
      <c r="O501" s="16">
        <f>M501-N501</f>
        <v>8500</v>
      </c>
      <c r="P501" s="11" t="s">
        <v>42</v>
      </c>
      <c r="Q501" s="11" t="s">
        <v>43</v>
      </c>
      <c r="R501" s="11" t="s">
        <v>44</v>
      </c>
      <c r="S501" s="9" t="s">
        <v>2161</v>
      </c>
      <c r="T501" s="9" t="s">
        <v>44</v>
      </c>
    </row>
    <row r="502" spans="1:20">
      <c r="A502" s="10">
        <v>495</v>
      </c>
      <c r="B502" s="10" t="s">
        <v>780</v>
      </c>
      <c r="C502" s="10" t="s">
        <v>763</v>
      </c>
      <c r="D502" s="10" t="s">
        <v>655</v>
      </c>
      <c r="E502" s="10" t="s">
        <v>34</v>
      </c>
      <c r="F502" s="10" t="s">
        <v>35</v>
      </c>
      <c r="G502" s="8" t="s">
        <v>41</v>
      </c>
      <c r="H502" s="12">
        <v>1</v>
      </c>
      <c r="I502" s="12">
        <v>1</v>
      </c>
      <c r="J502" s="15">
        <v>9500.0</v>
      </c>
      <c r="K502" s="15"/>
      <c r="L502" s="17">
        <f>IF(J502&gt;0, K502/J502, 0)</f>
        <v>0</v>
      </c>
      <c r="M502" s="15">
        <v>9500.0</v>
      </c>
      <c r="N502" s="15"/>
      <c r="O502" s="15">
        <f>M502-N502</f>
        <v>9500</v>
      </c>
      <c r="P502" s="10" t="s">
        <v>42</v>
      </c>
      <c r="Q502" s="10" t="s">
        <v>43</v>
      </c>
      <c r="R502" s="10" t="s">
        <v>44</v>
      </c>
      <c r="S502" s="8" t="s">
        <v>2060</v>
      </c>
      <c r="T502" s="8" t="s">
        <v>44</v>
      </c>
    </row>
    <row r="503" spans="1:20">
      <c r="A503" s="11">
        <v>496</v>
      </c>
      <c r="B503" s="11" t="s">
        <v>781</v>
      </c>
      <c r="C503" s="11" t="s">
        <v>763</v>
      </c>
      <c r="D503" s="11" t="s">
        <v>655</v>
      </c>
      <c r="E503" s="11" t="s">
        <v>34</v>
      </c>
      <c r="F503" s="11" t="s">
        <v>35</v>
      </c>
      <c r="G503" s="9" t="s">
        <v>41</v>
      </c>
      <c r="H503" s="13">
        <v>1</v>
      </c>
      <c r="I503" s="13">
        <v>2</v>
      </c>
      <c r="J503" s="16">
        <v>16000.0</v>
      </c>
      <c r="K503" s="16"/>
      <c r="L503" s="18">
        <f>IF(J503&gt;0, K503/J503, 0)</f>
        <v>0</v>
      </c>
      <c r="M503" s="16">
        <v>16000.0</v>
      </c>
      <c r="N503" s="16"/>
      <c r="O503" s="16">
        <f>M503-N503</f>
        <v>16000</v>
      </c>
      <c r="P503" s="11" t="s">
        <v>42</v>
      </c>
      <c r="Q503" s="11" t="s">
        <v>43</v>
      </c>
      <c r="R503" s="11" t="s">
        <v>44</v>
      </c>
      <c r="S503" s="9" t="s">
        <v>2156</v>
      </c>
      <c r="T503" s="9" t="s">
        <v>44</v>
      </c>
    </row>
    <row r="504" spans="1:20">
      <c r="A504" s="10">
        <v>497</v>
      </c>
      <c r="B504" s="10" t="s">
        <v>782</v>
      </c>
      <c r="C504" s="10" t="s">
        <v>763</v>
      </c>
      <c r="D504" s="10" t="s">
        <v>655</v>
      </c>
      <c r="E504" s="10" t="s">
        <v>34</v>
      </c>
      <c r="F504" s="10" t="s">
        <v>35</v>
      </c>
      <c r="G504" s="8" t="s">
        <v>41</v>
      </c>
      <c r="H504" s="12">
        <v>1</v>
      </c>
      <c r="I504" s="12">
        <v>1</v>
      </c>
      <c r="J504" s="15">
        <v>16500.0</v>
      </c>
      <c r="K504" s="15"/>
      <c r="L504" s="17">
        <f>IF(J504&gt;0, K504/J504, 0)</f>
        <v>0</v>
      </c>
      <c r="M504" s="15">
        <v>16500.0</v>
      </c>
      <c r="N504" s="15"/>
      <c r="O504" s="15">
        <f>M504-N504</f>
        <v>16500</v>
      </c>
      <c r="P504" s="10" t="s">
        <v>42</v>
      </c>
      <c r="Q504" s="10" t="s">
        <v>43</v>
      </c>
      <c r="R504" s="10" t="s">
        <v>44</v>
      </c>
      <c r="S504" s="8" t="s">
        <v>2121</v>
      </c>
      <c r="T504" s="8" t="s">
        <v>44</v>
      </c>
    </row>
    <row r="505" spans="1:20">
      <c r="A505" s="11">
        <v>498</v>
      </c>
      <c r="B505" s="11" t="s">
        <v>783</v>
      </c>
      <c r="C505" s="11" t="s">
        <v>763</v>
      </c>
      <c r="D505" s="11" t="s">
        <v>655</v>
      </c>
      <c r="E505" s="11" t="s">
        <v>70</v>
      </c>
      <c r="F505" s="11" t="s">
        <v>35</v>
      </c>
      <c r="G505" s="9" t="s">
        <v>41</v>
      </c>
      <c r="H505" s="13">
        <v>1</v>
      </c>
      <c r="I505" s="13">
        <v>1</v>
      </c>
      <c r="J505" s="16">
        <v>10000.0</v>
      </c>
      <c r="K505" s="16"/>
      <c r="L505" s="18">
        <f>IF(J505&gt;0, K505/J505, 0)</f>
        <v>0</v>
      </c>
      <c r="M505" s="16">
        <v>10000.0</v>
      </c>
      <c r="N505" s="16"/>
      <c r="O505" s="16">
        <f>M505-N505</f>
        <v>10000</v>
      </c>
      <c r="P505" s="11" t="s">
        <v>42</v>
      </c>
      <c r="Q505" s="11" t="s">
        <v>73</v>
      </c>
      <c r="R505" s="11" t="s">
        <v>44</v>
      </c>
      <c r="S505" s="9" t="s">
        <v>2161</v>
      </c>
      <c r="T505" s="9" t="s">
        <v>44</v>
      </c>
    </row>
    <row r="506" spans="1:20">
      <c r="A506" s="10">
        <v>499</v>
      </c>
      <c r="B506" s="10" t="s">
        <v>784</v>
      </c>
      <c r="C506" s="10" t="s">
        <v>763</v>
      </c>
      <c r="D506" s="10" t="s">
        <v>655</v>
      </c>
      <c r="E506" s="10" t="s">
        <v>34</v>
      </c>
      <c r="F506" s="10" t="s">
        <v>35</v>
      </c>
      <c r="G506" s="8" t="s">
        <v>41</v>
      </c>
      <c r="H506" s="12">
        <v>1</v>
      </c>
      <c r="I506" s="12">
        <v>1</v>
      </c>
      <c r="J506" s="15">
        <v>18000.0</v>
      </c>
      <c r="K506" s="15"/>
      <c r="L506" s="17">
        <f>IF(J506&gt;0, K506/J506, 0)</f>
        <v>0</v>
      </c>
      <c r="M506" s="15">
        <v>18000.0</v>
      </c>
      <c r="N506" s="15"/>
      <c r="O506" s="15">
        <f>M506-N506</f>
        <v>18000</v>
      </c>
      <c r="P506" s="10" t="s">
        <v>42</v>
      </c>
      <c r="Q506" s="10" t="s">
        <v>43</v>
      </c>
      <c r="R506" s="10" t="s">
        <v>44</v>
      </c>
      <c r="S506" s="8" t="s">
        <v>2133</v>
      </c>
      <c r="T506" s="8" t="s">
        <v>44</v>
      </c>
    </row>
    <row r="507" spans="1:20">
      <c r="A507" s="11">
        <v>500</v>
      </c>
      <c r="B507" s="11" t="s">
        <v>785</v>
      </c>
      <c r="C507" s="11" t="s">
        <v>763</v>
      </c>
      <c r="D507" s="11" t="s">
        <v>655</v>
      </c>
      <c r="E507" s="11" t="s">
        <v>34</v>
      </c>
      <c r="F507" s="11" t="s">
        <v>35</v>
      </c>
      <c r="G507" s="9" t="s">
        <v>41</v>
      </c>
      <c r="H507" s="13">
        <v>1</v>
      </c>
      <c r="I507" s="13">
        <v>2</v>
      </c>
      <c r="J507" s="16">
        <v>19000.0</v>
      </c>
      <c r="K507" s="16"/>
      <c r="L507" s="18">
        <f>IF(J507&gt;0, K507/J507, 0)</f>
        <v>0</v>
      </c>
      <c r="M507" s="16">
        <v>19000.0</v>
      </c>
      <c r="N507" s="16"/>
      <c r="O507" s="16">
        <f>M507-N507</f>
        <v>19000</v>
      </c>
      <c r="P507" s="11" t="s">
        <v>42</v>
      </c>
      <c r="Q507" s="11" t="s">
        <v>43</v>
      </c>
      <c r="R507" s="11" t="s">
        <v>44</v>
      </c>
      <c r="S507" s="9" t="s">
        <v>2168</v>
      </c>
      <c r="T507" s="9" t="s">
        <v>44</v>
      </c>
    </row>
    <row r="508" spans="1:20">
      <c r="A508" s="10">
        <v>501</v>
      </c>
      <c r="B508" s="10" t="s">
        <v>786</v>
      </c>
      <c r="C508" s="10" t="s">
        <v>763</v>
      </c>
      <c r="D508" s="10" t="s">
        <v>655</v>
      </c>
      <c r="E508" s="10" t="s">
        <v>34</v>
      </c>
      <c r="F508" s="10" t="s">
        <v>35</v>
      </c>
      <c r="G508" s="8" t="s">
        <v>41</v>
      </c>
      <c r="H508" s="12">
        <v>1</v>
      </c>
      <c r="I508" s="12">
        <v>1</v>
      </c>
      <c r="J508" s="15">
        <v>8500.0</v>
      </c>
      <c r="K508" s="15"/>
      <c r="L508" s="17">
        <f>IF(J508&gt;0, K508/J508, 0)</f>
        <v>0</v>
      </c>
      <c r="M508" s="15">
        <v>8500.0</v>
      </c>
      <c r="N508" s="15"/>
      <c r="O508" s="15">
        <f>M508-N508</f>
        <v>8500</v>
      </c>
      <c r="P508" s="10" t="s">
        <v>42</v>
      </c>
      <c r="Q508" s="10" t="s">
        <v>43</v>
      </c>
      <c r="R508" s="10" t="s">
        <v>44</v>
      </c>
      <c r="S508" s="8" t="s">
        <v>2161</v>
      </c>
      <c r="T508" s="8" t="s">
        <v>44</v>
      </c>
    </row>
    <row r="509" spans="1:20">
      <c r="A509" s="11">
        <v>502</v>
      </c>
      <c r="B509" s="11" t="s">
        <v>787</v>
      </c>
      <c r="C509" s="11" t="s">
        <v>763</v>
      </c>
      <c r="D509" s="11" t="s">
        <v>655</v>
      </c>
      <c r="E509" s="11" t="s">
        <v>34</v>
      </c>
      <c r="F509" s="11" t="s">
        <v>35</v>
      </c>
      <c r="G509" s="9" t="s">
        <v>41</v>
      </c>
      <c r="H509" s="13">
        <v>1</v>
      </c>
      <c r="I509" s="13">
        <v>1</v>
      </c>
      <c r="J509" s="16">
        <v>16500.0</v>
      </c>
      <c r="K509" s="16"/>
      <c r="L509" s="18">
        <f>IF(J509&gt;0, K509/J509, 0)</f>
        <v>0</v>
      </c>
      <c r="M509" s="16">
        <v>16500.0</v>
      </c>
      <c r="N509" s="16"/>
      <c r="O509" s="16">
        <f>M509-N509</f>
        <v>16500</v>
      </c>
      <c r="P509" s="11" t="s">
        <v>42</v>
      </c>
      <c r="Q509" s="11" t="s">
        <v>43</v>
      </c>
      <c r="R509" s="11" t="s">
        <v>44</v>
      </c>
      <c r="S509" s="9" t="s">
        <v>2121</v>
      </c>
      <c r="T509" s="9" t="s">
        <v>44</v>
      </c>
    </row>
    <row r="510" spans="1:20">
      <c r="A510" s="10">
        <v>503</v>
      </c>
      <c r="B510" s="10" t="s">
        <v>788</v>
      </c>
      <c r="C510" s="10" t="s">
        <v>763</v>
      </c>
      <c r="D510" s="10" t="s">
        <v>655</v>
      </c>
      <c r="E510" s="10" t="s">
        <v>34</v>
      </c>
      <c r="F510" s="10" t="s">
        <v>35</v>
      </c>
      <c r="G510" s="8" t="s">
        <v>41</v>
      </c>
      <c r="H510" s="12">
        <v>1</v>
      </c>
      <c r="I510" s="12">
        <v>2</v>
      </c>
      <c r="J510" s="15">
        <v>16000.0</v>
      </c>
      <c r="K510" s="15"/>
      <c r="L510" s="17">
        <f>IF(J510&gt;0, K510/J510, 0)</f>
        <v>0</v>
      </c>
      <c r="M510" s="15">
        <v>16000.0</v>
      </c>
      <c r="N510" s="15"/>
      <c r="O510" s="15">
        <f>M510-N510</f>
        <v>16000</v>
      </c>
      <c r="P510" s="10" t="s">
        <v>42</v>
      </c>
      <c r="Q510" s="10" t="s">
        <v>43</v>
      </c>
      <c r="R510" s="10" t="s">
        <v>44</v>
      </c>
      <c r="S510" s="8" t="s">
        <v>2156</v>
      </c>
      <c r="T510" s="8" t="s">
        <v>44</v>
      </c>
    </row>
    <row r="511" spans="1:20">
      <c r="A511" s="11">
        <v>504</v>
      </c>
      <c r="B511" s="11" t="s">
        <v>789</v>
      </c>
      <c r="C511" s="11" t="s">
        <v>763</v>
      </c>
      <c r="D511" s="11" t="s">
        <v>655</v>
      </c>
      <c r="E511" s="11" t="s">
        <v>34</v>
      </c>
      <c r="F511" s="11" t="s">
        <v>35</v>
      </c>
      <c r="G511" s="9" t="s">
        <v>41</v>
      </c>
      <c r="H511" s="13">
        <v>1</v>
      </c>
      <c r="I511" s="13">
        <v>2</v>
      </c>
      <c r="J511" s="16">
        <v>18000.0</v>
      </c>
      <c r="K511" s="16"/>
      <c r="L511" s="18">
        <f>IF(J511&gt;0, K511/J511, 0)</f>
        <v>0</v>
      </c>
      <c r="M511" s="16">
        <v>18000.0</v>
      </c>
      <c r="N511" s="16"/>
      <c r="O511" s="16">
        <f>M511-N511</f>
        <v>18000</v>
      </c>
      <c r="P511" s="11" t="s">
        <v>42</v>
      </c>
      <c r="Q511" s="11" t="s">
        <v>43</v>
      </c>
      <c r="R511" s="11" t="s">
        <v>44</v>
      </c>
      <c r="S511" s="9" t="s">
        <v>2134</v>
      </c>
      <c r="T511" s="9" t="s">
        <v>44</v>
      </c>
    </row>
    <row r="512" spans="1:20">
      <c r="A512" s="10">
        <v>505</v>
      </c>
      <c r="B512" s="10" t="s">
        <v>790</v>
      </c>
      <c r="C512" s="10" t="s">
        <v>763</v>
      </c>
      <c r="D512" s="10" t="s">
        <v>655</v>
      </c>
      <c r="E512" s="10" t="s">
        <v>34</v>
      </c>
      <c r="F512" s="10" t="s">
        <v>35</v>
      </c>
      <c r="G512" s="8" t="s">
        <v>41</v>
      </c>
      <c r="H512" s="12">
        <v>1</v>
      </c>
      <c r="I512" s="12">
        <v>1</v>
      </c>
      <c r="J512" s="15">
        <v>18000.0</v>
      </c>
      <c r="K512" s="15"/>
      <c r="L512" s="17">
        <f>IF(J512&gt;0, K512/J512, 0)</f>
        <v>0</v>
      </c>
      <c r="M512" s="15">
        <v>18000.0</v>
      </c>
      <c r="N512" s="15"/>
      <c r="O512" s="15">
        <f>M512-N512</f>
        <v>18000</v>
      </c>
      <c r="P512" s="10" t="s">
        <v>42</v>
      </c>
      <c r="Q512" s="10" t="s">
        <v>43</v>
      </c>
      <c r="R512" s="10" t="s">
        <v>44</v>
      </c>
      <c r="S512" s="8" t="s">
        <v>2065</v>
      </c>
      <c r="T512" s="8" t="s">
        <v>44</v>
      </c>
    </row>
    <row r="513" spans="1:20">
      <c r="A513" s="11">
        <v>506</v>
      </c>
      <c r="B513" s="11" t="s">
        <v>792</v>
      </c>
      <c r="C513" s="11" t="s">
        <v>763</v>
      </c>
      <c r="D513" s="11" t="s">
        <v>655</v>
      </c>
      <c r="E513" s="11" t="s">
        <v>34</v>
      </c>
      <c r="F513" s="11" t="s">
        <v>35</v>
      </c>
      <c r="G513" s="9" t="s">
        <v>41</v>
      </c>
      <c r="H513" s="13">
        <v>1</v>
      </c>
      <c r="I513" s="13">
        <v>1</v>
      </c>
      <c r="J513" s="16">
        <v>9000.0</v>
      </c>
      <c r="K513" s="16"/>
      <c r="L513" s="18">
        <f>IF(J513&gt;0, K513/J513, 0)</f>
        <v>0</v>
      </c>
      <c r="M513" s="16">
        <v>9000.0</v>
      </c>
      <c r="N513" s="16"/>
      <c r="O513" s="16">
        <f>M513-N513</f>
        <v>9000</v>
      </c>
      <c r="P513" s="11" t="s">
        <v>42</v>
      </c>
      <c r="Q513" s="11" t="s">
        <v>43</v>
      </c>
      <c r="R513" s="11" t="s">
        <v>44</v>
      </c>
      <c r="S513" s="9" t="s">
        <v>2081</v>
      </c>
      <c r="T513" s="9" t="s">
        <v>44</v>
      </c>
    </row>
    <row r="514" spans="1:20">
      <c r="A514" s="10">
        <v>507</v>
      </c>
      <c r="B514" s="10" t="s">
        <v>794</v>
      </c>
      <c r="C514" s="10" t="s">
        <v>763</v>
      </c>
      <c r="D514" s="10" t="s">
        <v>655</v>
      </c>
      <c r="E514" s="10" t="s">
        <v>34</v>
      </c>
      <c r="F514" s="10" t="s">
        <v>35</v>
      </c>
      <c r="G514" s="8" t="s">
        <v>41</v>
      </c>
      <c r="H514" s="12">
        <v>1</v>
      </c>
      <c r="I514" s="12">
        <v>1</v>
      </c>
      <c r="J514" s="15">
        <v>7000.0</v>
      </c>
      <c r="K514" s="15"/>
      <c r="L514" s="17">
        <f>IF(J514&gt;0, K514/J514, 0)</f>
        <v>0</v>
      </c>
      <c r="M514" s="15">
        <v>7000.0</v>
      </c>
      <c r="N514" s="15"/>
      <c r="O514" s="15">
        <f>M514-N514</f>
        <v>7000</v>
      </c>
      <c r="P514" s="10" t="s">
        <v>42</v>
      </c>
      <c r="Q514" s="10" t="s">
        <v>43</v>
      </c>
      <c r="R514" s="10" t="s">
        <v>44</v>
      </c>
      <c r="S514" s="8" t="s">
        <v>2046</v>
      </c>
      <c r="T514" s="8" t="s">
        <v>44</v>
      </c>
    </row>
    <row r="515" spans="1:20">
      <c r="A515" s="11">
        <v>508</v>
      </c>
      <c r="B515" s="11" t="s">
        <v>796</v>
      </c>
      <c r="C515" s="11" t="s">
        <v>763</v>
      </c>
      <c r="D515" s="11" t="s">
        <v>655</v>
      </c>
      <c r="E515" s="11" t="s">
        <v>34</v>
      </c>
      <c r="F515" s="11" t="s">
        <v>35</v>
      </c>
      <c r="G515" s="9" t="s">
        <v>41</v>
      </c>
      <c r="H515" s="13">
        <v>1</v>
      </c>
      <c r="I515" s="13">
        <v>1</v>
      </c>
      <c r="J515" s="16">
        <v>7000.0</v>
      </c>
      <c r="K515" s="16"/>
      <c r="L515" s="18">
        <f>IF(J515&gt;0, K515/J515, 0)</f>
        <v>0</v>
      </c>
      <c r="M515" s="16">
        <v>7000.0</v>
      </c>
      <c r="N515" s="16"/>
      <c r="O515" s="16">
        <f>M515-N515</f>
        <v>7000</v>
      </c>
      <c r="P515" s="11" t="s">
        <v>42</v>
      </c>
      <c r="Q515" s="11" t="s">
        <v>43</v>
      </c>
      <c r="R515" s="11" t="s">
        <v>44</v>
      </c>
      <c r="S515" s="9" t="s">
        <v>2068</v>
      </c>
      <c r="T515" s="9" t="s">
        <v>44</v>
      </c>
    </row>
    <row r="516" spans="1:20">
      <c r="A516" s="10">
        <v>509</v>
      </c>
      <c r="B516" s="10" t="s">
        <v>797</v>
      </c>
      <c r="C516" s="10" t="s">
        <v>763</v>
      </c>
      <c r="D516" s="10" t="s">
        <v>655</v>
      </c>
      <c r="E516" s="10" t="s">
        <v>34</v>
      </c>
      <c r="F516" s="10" t="s">
        <v>35</v>
      </c>
      <c r="G516" s="8" t="s">
        <v>41</v>
      </c>
      <c r="H516" s="12">
        <v>1</v>
      </c>
      <c r="I516" s="12">
        <v>2</v>
      </c>
      <c r="J516" s="15">
        <v>16000.0</v>
      </c>
      <c r="K516" s="15"/>
      <c r="L516" s="17">
        <f>IF(J516&gt;0, K516/J516, 0)</f>
        <v>0</v>
      </c>
      <c r="M516" s="15">
        <v>16000.0</v>
      </c>
      <c r="N516" s="15"/>
      <c r="O516" s="15">
        <f>M516-N516</f>
        <v>16000</v>
      </c>
      <c r="P516" s="10" t="s">
        <v>42</v>
      </c>
      <c r="Q516" s="10" t="s">
        <v>43</v>
      </c>
      <c r="R516" s="10" t="s">
        <v>44</v>
      </c>
      <c r="S516" s="8" t="s">
        <v>2169</v>
      </c>
      <c r="T516" s="8" t="s">
        <v>44</v>
      </c>
    </row>
    <row r="517" spans="1:20">
      <c r="A517" s="11">
        <v>510</v>
      </c>
      <c r="B517" s="11" t="s">
        <v>798</v>
      </c>
      <c r="C517" s="11" t="s">
        <v>763</v>
      </c>
      <c r="D517" s="11" t="s">
        <v>655</v>
      </c>
      <c r="E517" s="11" t="s">
        <v>34</v>
      </c>
      <c r="F517" s="11" t="s">
        <v>35</v>
      </c>
      <c r="G517" s="9" t="s">
        <v>41</v>
      </c>
      <c r="H517" s="13">
        <v>1</v>
      </c>
      <c r="I517" s="13">
        <v>2</v>
      </c>
      <c r="J517" s="16">
        <v>16000.0</v>
      </c>
      <c r="K517" s="16"/>
      <c r="L517" s="18">
        <f>IF(J517&gt;0, K517/J517, 0)</f>
        <v>0</v>
      </c>
      <c r="M517" s="16">
        <v>16000.0</v>
      </c>
      <c r="N517" s="16"/>
      <c r="O517" s="16">
        <f>M517-N517</f>
        <v>16000</v>
      </c>
      <c r="P517" s="11" t="s">
        <v>42</v>
      </c>
      <c r="Q517" s="11" t="s">
        <v>43</v>
      </c>
      <c r="R517" s="11" t="s">
        <v>44</v>
      </c>
      <c r="S517" s="9" t="s">
        <v>2089</v>
      </c>
      <c r="T517" s="9" t="s">
        <v>44</v>
      </c>
    </row>
    <row r="518" spans="1:20">
      <c r="A518" s="10">
        <v>511</v>
      </c>
      <c r="B518" s="10" t="s">
        <v>799</v>
      </c>
      <c r="C518" s="10" t="s">
        <v>763</v>
      </c>
      <c r="D518" s="10" t="s">
        <v>655</v>
      </c>
      <c r="E518" s="10" t="s">
        <v>34</v>
      </c>
      <c r="F518" s="10" t="s">
        <v>35</v>
      </c>
      <c r="G518" s="8" t="s">
        <v>41</v>
      </c>
      <c r="H518" s="12">
        <v>1</v>
      </c>
      <c r="I518" s="12">
        <v>2</v>
      </c>
      <c r="J518" s="15">
        <v>16000.0</v>
      </c>
      <c r="K518" s="15"/>
      <c r="L518" s="17">
        <f>IF(J518&gt;0, K518/J518, 0)</f>
        <v>0</v>
      </c>
      <c r="M518" s="15">
        <v>16000.0</v>
      </c>
      <c r="N518" s="15"/>
      <c r="O518" s="15">
        <f>M518-N518</f>
        <v>16000</v>
      </c>
      <c r="P518" s="10" t="s">
        <v>42</v>
      </c>
      <c r="Q518" s="10" t="s">
        <v>43</v>
      </c>
      <c r="R518" s="10" t="s">
        <v>44</v>
      </c>
      <c r="S518" s="8" t="s">
        <v>2157</v>
      </c>
      <c r="T518" s="8" t="s">
        <v>44</v>
      </c>
    </row>
    <row r="519" spans="1:20">
      <c r="A519" s="11">
        <v>512</v>
      </c>
      <c r="B519" s="11" t="s">
        <v>800</v>
      </c>
      <c r="C519" s="11" t="s">
        <v>763</v>
      </c>
      <c r="D519" s="11" t="s">
        <v>655</v>
      </c>
      <c r="E519" s="11" t="s">
        <v>34</v>
      </c>
      <c r="F519" s="11" t="s">
        <v>35</v>
      </c>
      <c r="G519" s="9" t="s">
        <v>41</v>
      </c>
      <c r="H519" s="13">
        <v>1</v>
      </c>
      <c r="I519" s="13">
        <v>1</v>
      </c>
      <c r="J519" s="16">
        <v>7000.0</v>
      </c>
      <c r="K519" s="16"/>
      <c r="L519" s="18">
        <f>IF(J519&gt;0, K519/J519, 0)</f>
        <v>0</v>
      </c>
      <c r="M519" s="16">
        <v>7000.0</v>
      </c>
      <c r="N519" s="16"/>
      <c r="O519" s="16">
        <f>M519-N519</f>
        <v>7000</v>
      </c>
      <c r="P519" s="11" t="s">
        <v>42</v>
      </c>
      <c r="Q519" s="11" t="s">
        <v>43</v>
      </c>
      <c r="R519" s="11" t="s">
        <v>44</v>
      </c>
      <c r="S519" s="9" t="s">
        <v>2053</v>
      </c>
      <c r="T519" s="9" t="s">
        <v>44</v>
      </c>
    </row>
    <row r="520" spans="1:20">
      <c r="A520" s="10">
        <v>513</v>
      </c>
      <c r="B520" s="10" t="s">
        <v>801</v>
      </c>
      <c r="C520" s="10" t="s">
        <v>763</v>
      </c>
      <c r="D520" s="10" t="s">
        <v>655</v>
      </c>
      <c r="E520" s="10" t="s">
        <v>34</v>
      </c>
      <c r="F520" s="10" t="s">
        <v>35</v>
      </c>
      <c r="G520" s="8" t="s">
        <v>41</v>
      </c>
      <c r="H520" s="12">
        <v>1</v>
      </c>
      <c r="I520" s="12">
        <v>1</v>
      </c>
      <c r="J520" s="15">
        <v>7000.0</v>
      </c>
      <c r="K520" s="15"/>
      <c r="L520" s="17">
        <f>IF(J520&gt;0, K520/J520, 0)</f>
        <v>0</v>
      </c>
      <c r="M520" s="15">
        <v>7000.0</v>
      </c>
      <c r="N520" s="15"/>
      <c r="O520" s="15">
        <f>M520-N520</f>
        <v>7000</v>
      </c>
      <c r="P520" s="10" t="s">
        <v>42</v>
      </c>
      <c r="Q520" s="10" t="s">
        <v>43</v>
      </c>
      <c r="R520" s="10" t="s">
        <v>44</v>
      </c>
      <c r="S520" s="8" t="s">
        <v>2077</v>
      </c>
      <c r="T520" s="8" t="s">
        <v>44</v>
      </c>
    </row>
    <row r="521" spans="1:20">
      <c r="A521" s="11">
        <v>514</v>
      </c>
      <c r="B521" s="11" t="s">
        <v>802</v>
      </c>
      <c r="C521" s="11" t="s">
        <v>803</v>
      </c>
      <c r="D521" s="11" t="s">
        <v>655</v>
      </c>
      <c r="E521" s="11" t="s">
        <v>34</v>
      </c>
      <c r="F521" s="11" t="s">
        <v>35</v>
      </c>
      <c r="G521" s="9" t="s">
        <v>41</v>
      </c>
      <c r="H521" s="13">
        <v>1</v>
      </c>
      <c r="I521" s="13">
        <v>1</v>
      </c>
      <c r="J521" s="16">
        <v>18000.0</v>
      </c>
      <c r="K521" s="16"/>
      <c r="L521" s="18">
        <f>IF(J521&gt;0, K521/J521, 0)</f>
        <v>0</v>
      </c>
      <c r="M521" s="16">
        <v>18000.0</v>
      </c>
      <c r="N521" s="16"/>
      <c r="O521" s="16">
        <f>M521-N521</f>
        <v>18000</v>
      </c>
      <c r="P521" s="11" t="s">
        <v>42</v>
      </c>
      <c r="Q521" s="11" t="s">
        <v>43</v>
      </c>
      <c r="R521" s="11" t="s">
        <v>44</v>
      </c>
      <c r="S521" s="9" t="s">
        <v>2117</v>
      </c>
      <c r="T521" s="9" t="s">
        <v>44</v>
      </c>
    </row>
    <row r="522" spans="1:20">
      <c r="A522" s="10">
        <v>515</v>
      </c>
      <c r="B522" s="10" t="s">
        <v>804</v>
      </c>
      <c r="C522" s="10" t="s">
        <v>803</v>
      </c>
      <c r="D522" s="10" t="s">
        <v>655</v>
      </c>
      <c r="E522" s="10" t="s">
        <v>70</v>
      </c>
      <c r="F522" s="10" t="s">
        <v>35</v>
      </c>
      <c r="G522" s="8" t="s">
        <v>41</v>
      </c>
      <c r="H522" s="12">
        <v>1</v>
      </c>
      <c r="I522" s="12">
        <v>1</v>
      </c>
      <c r="J522" s="15">
        <v>8000.0</v>
      </c>
      <c r="K522" s="15"/>
      <c r="L522" s="17">
        <f>IF(J522&gt;0, K522/J522, 0)</f>
        <v>0</v>
      </c>
      <c r="M522" s="15">
        <v>8000.0</v>
      </c>
      <c r="N522" s="15"/>
      <c r="O522" s="15">
        <f>M522-N522</f>
        <v>8000</v>
      </c>
      <c r="P522" s="10" t="s">
        <v>42</v>
      </c>
      <c r="Q522" s="10" t="s">
        <v>73</v>
      </c>
      <c r="R522" s="10" t="s">
        <v>44</v>
      </c>
      <c r="S522" s="8" t="s">
        <v>2138</v>
      </c>
      <c r="T522" s="8" t="s">
        <v>44</v>
      </c>
    </row>
    <row r="523" spans="1:20">
      <c r="A523" s="11">
        <v>516</v>
      </c>
      <c r="B523" s="11" t="s">
        <v>805</v>
      </c>
      <c r="C523" s="11" t="s">
        <v>803</v>
      </c>
      <c r="D523" s="11" t="s">
        <v>655</v>
      </c>
      <c r="E523" s="11" t="s">
        <v>34</v>
      </c>
      <c r="F523" s="11" t="s">
        <v>35</v>
      </c>
      <c r="G523" s="9" t="s">
        <v>41</v>
      </c>
      <c r="H523" s="13">
        <v>1</v>
      </c>
      <c r="I523" s="13">
        <v>1</v>
      </c>
      <c r="J523" s="16">
        <v>8000.0</v>
      </c>
      <c r="K523" s="16"/>
      <c r="L523" s="18">
        <f>IF(J523&gt;0, K523/J523, 0)</f>
        <v>0</v>
      </c>
      <c r="M523" s="16">
        <v>8000.0</v>
      </c>
      <c r="N523" s="16"/>
      <c r="O523" s="16">
        <f>M523-N523</f>
        <v>8000</v>
      </c>
      <c r="P523" s="11" t="s">
        <v>42</v>
      </c>
      <c r="Q523" s="11" t="s">
        <v>43</v>
      </c>
      <c r="R523" s="11" t="s">
        <v>44</v>
      </c>
      <c r="S523" s="9" t="s">
        <v>2068</v>
      </c>
      <c r="T523" s="9" t="s">
        <v>44</v>
      </c>
    </row>
    <row r="524" spans="1:20">
      <c r="A524" s="10">
        <v>517</v>
      </c>
      <c r="B524" s="10" t="s">
        <v>806</v>
      </c>
      <c r="C524" s="10" t="s">
        <v>803</v>
      </c>
      <c r="D524" s="10" t="s">
        <v>655</v>
      </c>
      <c r="E524" s="10" t="s">
        <v>34</v>
      </c>
      <c r="F524" s="10" t="s">
        <v>35</v>
      </c>
      <c r="G524" s="8" t="s">
        <v>41</v>
      </c>
      <c r="H524" s="12">
        <v>1</v>
      </c>
      <c r="I524" s="12">
        <v>1</v>
      </c>
      <c r="J524" s="15">
        <v>8000.0</v>
      </c>
      <c r="K524" s="15"/>
      <c r="L524" s="17">
        <f>IF(J524&gt;0, K524/J524, 0)</f>
        <v>0</v>
      </c>
      <c r="M524" s="15">
        <v>8000.0</v>
      </c>
      <c r="N524" s="15"/>
      <c r="O524" s="15">
        <f>M524-N524</f>
        <v>8000</v>
      </c>
      <c r="P524" s="10" t="s">
        <v>42</v>
      </c>
      <c r="Q524" s="10" t="s">
        <v>43</v>
      </c>
      <c r="R524" s="10" t="s">
        <v>44</v>
      </c>
      <c r="S524" s="8" t="s">
        <v>2062</v>
      </c>
      <c r="T524" s="8" t="s">
        <v>44</v>
      </c>
    </row>
    <row r="525" spans="1:20">
      <c r="A525" s="11">
        <v>518</v>
      </c>
      <c r="B525" s="11" t="s">
        <v>807</v>
      </c>
      <c r="C525" s="11" t="s">
        <v>803</v>
      </c>
      <c r="D525" s="11" t="s">
        <v>655</v>
      </c>
      <c r="E525" s="11" t="s">
        <v>34</v>
      </c>
      <c r="F525" s="11" t="s">
        <v>35</v>
      </c>
      <c r="G525" s="9" t="s">
        <v>41</v>
      </c>
      <c r="H525" s="13">
        <v>1</v>
      </c>
      <c r="I525" s="13">
        <v>1</v>
      </c>
      <c r="J525" s="16">
        <v>7000.0</v>
      </c>
      <c r="K525" s="16"/>
      <c r="L525" s="18">
        <f>IF(J525&gt;0, K525/J525, 0)</f>
        <v>0</v>
      </c>
      <c r="M525" s="16">
        <v>7000.0</v>
      </c>
      <c r="N525" s="16"/>
      <c r="O525" s="16">
        <f>M525-N525</f>
        <v>7000</v>
      </c>
      <c r="P525" s="11" t="s">
        <v>42</v>
      </c>
      <c r="Q525" s="11" t="s">
        <v>43</v>
      </c>
      <c r="R525" s="11" t="s">
        <v>44</v>
      </c>
      <c r="S525" s="9" t="s">
        <v>2101</v>
      </c>
      <c r="T525" s="9" t="s">
        <v>44</v>
      </c>
    </row>
    <row r="526" spans="1:20">
      <c r="A526" s="10">
        <v>519</v>
      </c>
      <c r="B526" s="10" t="s">
        <v>808</v>
      </c>
      <c r="C526" s="10" t="s">
        <v>803</v>
      </c>
      <c r="D526" s="10" t="s">
        <v>655</v>
      </c>
      <c r="E526" s="10" t="s">
        <v>34</v>
      </c>
      <c r="F526" s="10" t="s">
        <v>35</v>
      </c>
      <c r="G526" s="8" t="s">
        <v>41</v>
      </c>
      <c r="H526" s="12">
        <v>1</v>
      </c>
      <c r="I526" s="12">
        <v>1</v>
      </c>
      <c r="J526" s="15">
        <v>16500.0</v>
      </c>
      <c r="K526" s="15"/>
      <c r="L526" s="17">
        <f>IF(J526&gt;0, K526/J526, 0)</f>
        <v>0</v>
      </c>
      <c r="M526" s="15">
        <v>16500.0</v>
      </c>
      <c r="N526" s="15"/>
      <c r="O526" s="15">
        <f>M526-N526</f>
        <v>16500</v>
      </c>
      <c r="P526" s="10" t="s">
        <v>42</v>
      </c>
      <c r="Q526" s="10" t="s">
        <v>43</v>
      </c>
      <c r="R526" s="10" t="s">
        <v>44</v>
      </c>
      <c r="S526" s="8" t="s">
        <v>2072</v>
      </c>
      <c r="T526" s="8" t="s">
        <v>44</v>
      </c>
    </row>
    <row r="527" spans="1:20">
      <c r="A527" s="11">
        <v>520</v>
      </c>
      <c r="B527" s="11" t="s">
        <v>809</v>
      </c>
      <c r="C527" s="11" t="s">
        <v>803</v>
      </c>
      <c r="D527" s="11" t="s">
        <v>655</v>
      </c>
      <c r="E527" s="11" t="s">
        <v>70</v>
      </c>
      <c r="F527" s="11" t="s">
        <v>35</v>
      </c>
      <c r="G527" s="9" t="s">
        <v>41</v>
      </c>
      <c r="H527" s="13">
        <v>1</v>
      </c>
      <c r="I527" s="13">
        <v>1</v>
      </c>
      <c r="J527" s="16">
        <v>9000.0</v>
      </c>
      <c r="K527" s="16"/>
      <c r="L527" s="18">
        <f>IF(J527&gt;0, K527/J527, 0)</f>
        <v>0</v>
      </c>
      <c r="M527" s="16">
        <v>9000.0</v>
      </c>
      <c r="N527" s="16"/>
      <c r="O527" s="16">
        <f>M527-N527</f>
        <v>9000</v>
      </c>
      <c r="P527" s="11" t="s">
        <v>42</v>
      </c>
      <c r="Q527" s="11" t="s">
        <v>73</v>
      </c>
      <c r="R527" s="11" t="s">
        <v>44</v>
      </c>
      <c r="S527" s="9" t="s">
        <v>2052</v>
      </c>
      <c r="T527" s="9" t="s">
        <v>44</v>
      </c>
    </row>
    <row r="528" spans="1:20">
      <c r="A528" s="10">
        <v>521</v>
      </c>
      <c r="B528" s="10" t="s">
        <v>810</v>
      </c>
      <c r="C528" s="10" t="s">
        <v>803</v>
      </c>
      <c r="D528" s="10" t="s">
        <v>655</v>
      </c>
      <c r="E528" s="10" t="s">
        <v>34</v>
      </c>
      <c r="F528" s="10" t="s">
        <v>35</v>
      </c>
      <c r="G528" s="8" t="s">
        <v>41</v>
      </c>
      <c r="H528" s="12">
        <v>1</v>
      </c>
      <c r="I528" s="12">
        <v>1</v>
      </c>
      <c r="J528" s="15">
        <v>18000.0</v>
      </c>
      <c r="K528" s="15"/>
      <c r="L528" s="17">
        <f>IF(J528&gt;0, K528/J528, 0)</f>
        <v>0</v>
      </c>
      <c r="M528" s="15">
        <v>18000.0</v>
      </c>
      <c r="N528" s="15"/>
      <c r="O528" s="15">
        <f>M528-N528</f>
        <v>18000</v>
      </c>
      <c r="P528" s="10" t="s">
        <v>42</v>
      </c>
      <c r="Q528" s="10" t="s">
        <v>43</v>
      </c>
      <c r="R528" s="10" t="s">
        <v>44</v>
      </c>
      <c r="S528" s="8" t="s">
        <v>2170</v>
      </c>
      <c r="T528" s="8" t="s">
        <v>44</v>
      </c>
    </row>
    <row r="529" spans="1:20">
      <c r="A529" s="11">
        <v>522</v>
      </c>
      <c r="B529" s="11" t="s">
        <v>812</v>
      </c>
      <c r="C529" s="11" t="s">
        <v>803</v>
      </c>
      <c r="D529" s="11" t="s">
        <v>655</v>
      </c>
      <c r="E529" s="11" t="s">
        <v>34</v>
      </c>
      <c r="F529" s="11" t="s">
        <v>35</v>
      </c>
      <c r="G529" s="9" t="s">
        <v>41</v>
      </c>
      <c r="H529" s="13">
        <v>1</v>
      </c>
      <c r="I529" s="13">
        <v>1</v>
      </c>
      <c r="J529" s="16">
        <v>16500.0</v>
      </c>
      <c r="K529" s="16"/>
      <c r="L529" s="18">
        <f>IF(J529&gt;0, K529/J529, 0)</f>
        <v>0</v>
      </c>
      <c r="M529" s="16">
        <v>16500.0</v>
      </c>
      <c r="N529" s="16"/>
      <c r="O529" s="16">
        <f>M529-N529</f>
        <v>16500</v>
      </c>
      <c r="P529" s="11" t="s">
        <v>42</v>
      </c>
      <c r="Q529" s="11" t="s">
        <v>43</v>
      </c>
      <c r="R529" s="11" t="s">
        <v>44</v>
      </c>
      <c r="S529" s="9" t="s">
        <v>2070</v>
      </c>
      <c r="T529" s="9" t="s">
        <v>44</v>
      </c>
    </row>
    <row r="530" spans="1:20">
      <c r="A530" s="10">
        <v>523</v>
      </c>
      <c r="B530" s="10" t="s">
        <v>813</v>
      </c>
      <c r="C530" s="10" t="s">
        <v>803</v>
      </c>
      <c r="D530" s="10" t="s">
        <v>655</v>
      </c>
      <c r="E530" s="10" t="s">
        <v>34</v>
      </c>
      <c r="F530" s="10" t="s">
        <v>35</v>
      </c>
      <c r="G530" s="8" t="s">
        <v>41</v>
      </c>
      <c r="H530" s="12">
        <v>1</v>
      </c>
      <c r="I530" s="12">
        <v>1</v>
      </c>
      <c r="J530" s="15">
        <v>9000.0</v>
      </c>
      <c r="K530" s="15"/>
      <c r="L530" s="17">
        <f>IF(J530&gt;0, K530/J530, 0)</f>
        <v>0</v>
      </c>
      <c r="M530" s="15">
        <v>9000.0</v>
      </c>
      <c r="N530" s="15"/>
      <c r="O530" s="15">
        <f>M530-N530</f>
        <v>9000</v>
      </c>
      <c r="P530" s="10" t="s">
        <v>42</v>
      </c>
      <c r="Q530" s="10" t="s">
        <v>43</v>
      </c>
      <c r="R530" s="10" t="s">
        <v>44</v>
      </c>
      <c r="S530" s="8" t="s">
        <v>2120</v>
      </c>
      <c r="T530" s="8" t="s">
        <v>44</v>
      </c>
    </row>
    <row r="531" spans="1:20">
      <c r="A531" s="11">
        <v>524</v>
      </c>
      <c r="B531" s="11" t="s">
        <v>814</v>
      </c>
      <c r="C531" s="11" t="s">
        <v>803</v>
      </c>
      <c r="D531" s="11" t="s">
        <v>655</v>
      </c>
      <c r="E531" s="11" t="s">
        <v>34</v>
      </c>
      <c r="F531" s="11" t="s">
        <v>35</v>
      </c>
      <c r="G531" s="9" t="s">
        <v>41</v>
      </c>
      <c r="H531" s="13">
        <v>1</v>
      </c>
      <c r="I531" s="13">
        <v>1</v>
      </c>
      <c r="J531" s="16">
        <v>8000.0</v>
      </c>
      <c r="K531" s="16"/>
      <c r="L531" s="18">
        <f>IF(J531&gt;0, K531/J531, 0)</f>
        <v>0</v>
      </c>
      <c r="M531" s="16">
        <v>8000.0</v>
      </c>
      <c r="N531" s="16"/>
      <c r="O531" s="16">
        <f>M531-N531</f>
        <v>8000</v>
      </c>
      <c r="P531" s="11" t="s">
        <v>42</v>
      </c>
      <c r="Q531" s="11" t="s">
        <v>43</v>
      </c>
      <c r="R531" s="11" t="s">
        <v>44</v>
      </c>
      <c r="S531" s="9" t="s">
        <v>2068</v>
      </c>
      <c r="T531" s="9" t="s">
        <v>44</v>
      </c>
    </row>
    <row r="532" spans="1:20">
      <c r="A532" s="10">
        <v>525</v>
      </c>
      <c r="B532" s="10" t="s">
        <v>815</v>
      </c>
      <c r="C532" s="10" t="s">
        <v>803</v>
      </c>
      <c r="D532" s="10" t="s">
        <v>655</v>
      </c>
      <c r="E532" s="10" t="s">
        <v>34</v>
      </c>
      <c r="F532" s="10" t="s">
        <v>35</v>
      </c>
      <c r="G532" s="8" t="s">
        <v>41</v>
      </c>
      <c r="H532" s="12">
        <v>1</v>
      </c>
      <c r="I532" s="12">
        <v>1</v>
      </c>
      <c r="J532" s="15">
        <v>8500.0</v>
      </c>
      <c r="K532" s="15"/>
      <c r="L532" s="17">
        <f>IF(J532&gt;0, K532/J532, 0)</f>
        <v>0</v>
      </c>
      <c r="M532" s="15">
        <v>8500.0</v>
      </c>
      <c r="N532" s="15"/>
      <c r="O532" s="15">
        <f>M532-N532</f>
        <v>8500</v>
      </c>
      <c r="P532" s="10" t="s">
        <v>42</v>
      </c>
      <c r="Q532" s="10" t="s">
        <v>43</v>
      </c>
      <c r="R532" s="10" t="s">
        <v>44</v>
      </c>
      <c r="S532" s="8" t="s">
        <v>2024</v>
      </c>
      <c r="T532" s="8" t="s">
        <v>44</v>
      </c>
    </row>
    <row r="533" spans="1:20">
      <c r="A533" s="11">
        <v>526</v>
      </c>
      <c r="B533" s="11" t="s">
        <v>816</v>
      </c>
      <c r="C533" s="11" t="s">
        <v>803</v>
      </c>
      <c r="D533" s="11" t="s">
        <v>655</v>
      </c>
      <c r="E533" s="11" t="s">
        <v>34</v>
      </c>
      <c r="F533" s="11" t="s">
        <v>35</v>
      </c>
      <c r="G533" s="9" t="s">
        <v>41</v>
      </c>
      <c r="H533" s="13">
        <v>1</v>
      </c>
      <c r="I533" s="13">
        <v>1</v>
      </c>
      <c r="J533" s="16">
        <v>8000.0</v>
      </c>
      <c r="K533" s="16"/>
      <c r="L533" s="18">
        <f>IF(J533&gt;0, K533/J533, 0)</f>
        <v>0</v>
      </c>
      <c r="M533" s="16">
        <v>8000.0</v>
      </c>
      <c r="N533" s="16"/>
      <c r="O533" s="16">
        <f>M533-N533</f>
        <v>8000</v>
      </c>
      <c r="P533" s="11" t="s">
        <v>42</v>
      </c>
      <c r="Q533" s="11" t="s">
        <v>43</v>
      </c>
      <c r="R533" s="11" t="s">
        <v>44</v>
      </c>
      <c r="S533" s="9" t="s">
        <v>2115</v>
      </c>
      <c r="T533" s="9" t="s">
        <v>44</v>
      </c>
    </row>
    <row r="534" spans="1:20">
      <c r="A534" s="10">
        <v>527</v>
      </c>
      <c r="B534" s="10" t="s">
        <v>817</v>
      </c>
      <c r="C534" s="10" t="s">
        <v>803</v>
      </c>
      <c r="D534" s="10" t="s">
        <v>655</v>
      </c>
      <c r="E534" s="10" t="s">
        <v>34</v>
      </c>
      <c r="F534" s="10" t="s">
        <v>35</v>
      </c>
      <c r="G534" s="8" t="s">
        <v>41</v>
      </c>
      <c r="H534" s="12">
        <v>1</v>
      </c>
      <c r="I534" s="12">
        <v>1</v>
      </c>
      <c r="J534" s="15">
        <v>9000.0</v>
      </c>
      <c r="K534" s="15"/>
      <c r="L534" s="17">
        <f>IF(J534&gt;0, K534/J534, 0)</f>
        <v>0</v>
      </c>
      <c r="M534" s="15">
        <v>9000.0</v>
      </c>
      <c r="N534" s="15"/>
      <c r="O534" s="15">
        <f>M534-N534</f>
        <v>9000</v>
      </c>
      <c r="P534" s="10" t="s">
        <v>42</v>
      </c>
      <c r="Q534" s="10" t="s">
        <v>43</v>
      </c>
      <c r="R534" s="10" t="s">
        <v>44</v>
      </c>
      <c r="S534" s="8" t="s">
        <v>2148</v>
      </c>
      <c r="T534" s="8" t="s">
        <v>44</v>
      </c>
    </row>
    <row r="535" spans="1:20">
      <c r="A535" s="11">
        <v>528</v>
      </c>
      <c r="B535" s="11" t="s">
        <v>818</v>
      </c>
      <c r="C535" s="11" t="s">
        <v>803</v>
      </c>
      <c r="D535" s="11" t="s">
        <v>655</v>
      </c>
      <c r="E535" s="11" t="s">
        <v>34</v>
      </c>
      <c r="F535" s="11" t="s">
        <v>35</v>
      </c>
      <c r="G535" s="9" t="s">
        <v>41</v>
      </c>
      <c r="H535" s="13">
        <v>1</v>
      </c>
      <c r="I535" s="13">
        <v>1</v>
      </c>
      <c r="J535" s="16">
        <v>7000.0</v>
      </c>
      <c r="K535" s="16"/>
      <c r="L535" s="18">
        <f>IF(J535&gt;0, K535/J535, 0)</f>
        <v>0</v>
      </c>
      <c r="M535" s="16">
        <v>7000.0</v>
      </c>
      <c r="N535" s="16"/>
      <c r="O535" s="16">
        <f>M535-N535</f>
        <v>7000</v>
      </c>
      <c r="P535" s="11" t="s">
        <v>42</v>
      </c>
      <c r="Q535" s="11" t="s">
        <v>43</v>
      </c>
      <c r="R535" s="11" t="s">
        <v>44</v>
      </c>
      <c r="S535" s="9" t="s">
        <v>2101</v>
      </c>
      <c r="T535" s="9" t="s">
        <v>44</v>
      </c>
    </row>
    <row r="536" spans="1:20">
      <c r="A536" s="10">
        <v>529</v>
      </c>
      <c r="B536" s="10" t="s">
        <v>819</v>
      </c>
      <c r="C536" s="10" t="s">
        <v>803</v>
      </c>
      <c r="D536" s="10" t="s">
        <v>655</v>
      </c>
      <c r="E536" s="10" t="s">
        <v>34</v>
      </c>
      <c r="F536" s="10" t="s">
        <v>35</v>
      </c>
      <c r="G536" s="8" t="s">
        <v>41</v>
      </c>
      <c r="H536" s="12">
        <v>1</v>
      </c>
      <c r="I536" s="12">
        <v>1</v>
      </c>
      <c r="J536" s="15">
        <v>18000.0</v>
      </c>
      <c r="K536" s="15"/>
      <c r="L536" s="17">
        <f>IF(J536&gt;0, K536/J536, 0)</f>
        <v>0</v>
      </c>
      <c r="M536" s="15">
        <v>18000.0</v>
      </c>
      <c r="N536" s="15"/>
      <c r="O536" s="15">
        <f>M536-N536</f>
        <v>18000</v>
      </c>
      <c r="P536" s="10" t="s">
        <v>42</v>
      </c>
      <c r="Q536" s="10" t="s">
        <v>43</v>
      </c>
      <c r="R536" s="10" t="s">
        <v>44</v>
      </c>
      <c r="S536" s="8" t="s">
        <v>2114</v>
      </c>
      <c r="T536" s="8" t="s">
        <v>44</v>
      </c>
    </row>
    <row r="537" spans="1:20">
      <c r="A537" s="11">
        <v>530</v>
      </c>
      <c r="B537" s="11" t="s">
        <v>820</v>
      </c>
      <c r="C537" s="11" t="s">
        <v>803</v>
      </c>
      <c r="D537" s="11" t="s">
        <v>655</v>
      </c>
      <c r="E537" s="11" t="s">
        <v>34</v>
      </c>
      <c r="F537" s="11" t="s">
        <v>35</v>
      </c>
      <c r="G537" s="9" t="s">
        <v>41</v>
      </c>
      <c r="H537" s="13">
        <v>1</v>
      </c>
      <c r="I537" s="13">
        <v>1</v>
      </c>
      <c r="J537" s="16">
        <v>18000.0</v>
      </c>
      <c r="K537" s="16"/>
      <c r="L537" s="18">
        <f>IF(J537&gt;0, K537/J537, 0)</f>
        <v>0</v>
      </c>
      <c r="M537" s="16">
        <v>18000.0</v>
      </c>
      <c r="N537" s="16"/>
      <c r="O537" s="16">
        <f>M537-N537</f>
        <v>18000</v>
      </c>
      <c r="P537" s="11" t="s">
        <v>42</v>
      </c>
      <c r="Q537" s="11" t="s">
        <v>43</v>
      </c>
      <c r="R537" s="11" t="s">
        <v>44</v>
      </c>
      <c r="S537" s="9" t="s">
        <v>2117</v>
      </c>
      <c r="T537" s="9" t="s">
        <v>44</v>
      </c>
    </row>
    <row r="538" spans="1:20">
      <c r="A538" s="10">
        <v>531</v>
      </c>
      <c r="B538" s="10" t="s">
        <v>821</v>
      </c>
      <c r="C538" s="10" t="s">
        <v>803</v>
      </c>
      <c r="D538" s="10" t="s">
        <v>655</v>
      </c>
      <c r="E538" s="10" t="s">
        <v>34</v>
      </c>
      <c r="F538" s="10" t="s">
        <v>35</v>
      </c>
      <c r="G538" s="8" t="s">
        <v>41</v>
      </c>
      <c r="H538" s="12">
        <v>1</v>
      </c>
      <c r="I538" s="12">
        <v>1</v>
      </c>
      <c r="J538" s="15">
        <v>8000.0</v>
      </c>
      <c r="K538" s="15"/>
      <c r="L538" s="17">
        <f>IF(J538&gt;0, K538/J538, 0)</f>
        <v>0</v>
      </c>
      <c r="M538" s="15">
        <v>8000.0</v>
      </c>
      <c r="N538" s="15"/>
      <c r="O538" s="15">
        <f>M538-N538</f>
        <v>8000</v>
      </c>
      <c r="P538" s="10" t="s">
        <v>42</v>
      </c>
      <c r="Q538" s="10" t="s">
        <v>43</v>
      </c>
      <c r="R538" s="10" t="s">
        <v>44</v>
      </c>
      <c r="S538" s="8" t="s">
        <v>2068</v>
      </c>
      <c r="T538" s="8" t="s">
        <v>44</v>
      </c>
    </row>
    <row r="539" spans="1:20">
      <c r="A539" s="11">
        <v>532</v>
      </c>
      <c r="B539" s="11" t="s">
        <v>822</v>
      </c>
      <c r="C539" s="11" t="s">
        <v>803</v>
      </c>
      <c r="D539" s="11" t="s">
        <v>655</v>
      </c>
      <c r="E539" s="11" t="s">
        <v>34</v>
      </c>
      <c r="F539" s="11" t="s">
        <v>35</v>
      </c>
      <c r="G539" s="9" t="s">
        <v>41</v>
      </c>
      <c r="H539" s="13">
        <v>1</v>
      </c>
      <c r="I539" s="13">
        <v>1</v>
      </c>
      <c r="J539" s="16">
        <v>8500.0</v>
      </c>
      <c r="K539" s="16"/>
      <c r="L539" s="18">
        <f>IF(J539&gt;0, K539/J539, 0)</f>
        <v>0</v>
      </c>
      <c r="M539" s="16">
        <v>8500.0</v>
      </c>
      <c r="N539" s="16"/>
      <c r="O539" s="16">
        <f>M539-N539</f>
        <v>8500</v>
      </c>
      <c r="P539" s="11" t="s">
        <v>42</v>
      </c>
      <c r="Q539" s="11" t="s">
        <v>43</v>
      </c>
      <c r="R539" s="11" t="s">
        <v>44</v>
      </c>
      <c r="S539" s="9" t="s">
        <v>2045</v>
      </c>
      <c r="T539" s="9" t="s">
        <v>44</v>
      </c>
    </row>
    <row r="540" spans="1:20">
      <c r="A540" s="10">
        <v>533</v>
      </c>
      <c r="B540" s="10" t="s">
        <v>823</v>
      </c>
      <c r="C540" s="10" t="s">
        <v>803</v>
      </c>
      <c r="D540" s="10" t="s">
        <v>655</v>
      </c>
      <c r="E540" s="10" t="s">
        <v>34</v>
      </c>
      <c r="F540" s="10" t="s">
        <v>35</v>
      </c>
      <c r="G540" s="8" t="s">
        <v>41</v>
      </c>
      <c r="H540" s="12">
        <v>1</v>
      </c>
      <c r="I540" s="12">
        <v>1</v>
      </c>
      <c r="J540" s="15">
        <v>7500.0</v>
      </c>
      <c r="K540" s="15"/>
      <c r="L540" s="17">
        <f>IF(J540&gt;0, K540/J540, 0)</f>
        <v>0</v>
      </c>
      <c r="M540" s="15">
        <v>7500.0</v>
      </c>
      <c r="N540" s="15"/>
      <c r="O540" s="15">
        <f>M540-N540</f>
        <v>7500</v>
      </c>
      <c r="P540" s="10" t="s">
        <v>42</v>
      </c>
      <c r="Q540" s="10" t="s">
        <v>43</v>
      </c>
      <c r="R540" s="10" t="s">
        <v>44</v>
      </c>
      <c r="S540" s="8" t="s">
        <v>2046</v>
      </c>
      <c r="T540" s="8" t="s">
        <v>44</v>
      </c>
    </row>
    <row r="541" spans="1:20">
      <c r="A541" s="11">
        <v>534</v>
      </c>
      <c r="B541" s="11" t="s">
        <v>824</v>
      </c>
      <c r="C541" s="11" t="s">
        <v>803</v>
      </c>
      <c r="D541" s="11" t="s">
        <v>655</v>
      </c>
      <c r="E541" s="11" t="s">
        <v>34</v>
      </c>
      <c r="F541" s="11" t="s">
        <v>35</v>
      </c>
      <c r="G541" s="9" t="s">
        <v>41</v>
      </c>
      <c r="H541" s="13">
        <v>1</v>
      </c>
      <c r="I541" s="13">
        <v>1</v>
      </c>
      <c r="J541" s="16">
        <v>8000.0</v>
      </c>
      <c r="K541" s="16"/>
      <c r="L541" s="18">
        <f>IF(J541&gt;0, K541/J541, 0)</f>
        <v>0</v>
      </c>
      <c r="M541" s="16">
        <v>8000.0</v>
      </c>
      <c r="N541" s="16"/>
      <c r="O541" s="16">
        <f>M541-N541</f>
        <v>8000</v>
      </c>
      <c r="P541" s="11" t="s">
        <v>42</v>
      </c>
      <c r="Q541" s="11" t="s">
        <v>43</v>
      </c>
      <c r="R541" s="11" t="s">
        <v>44</v>
      </c>
      <c r="S541" s="9" t="s">
        <v>2045</v>
      </c>
      <c r="T541" s="9" t="s">
        <v>44</v>
      </c>
    </row>
    <row r="542" spans="1:20">
      <c r="A542" s="10">
        <v>535</v>
      </c>
      <c r="B542" s="10" t="s">
        <v>825</v>
      </c>
      <c r="C542" s="10" t="s">
        <v>803</v>
      </c>
      <c r="D542" s="10" t="s">
        <v>655</v>
      </c>
      <c r="E542" s="10" t="s">
        <v>34</v>
      </c>
      <c r="F542" s="10" t="s">
        <v>35</v>
      </c>
      <c r="G542" s="8" t="s">
        <v>41</v>
      </c>
      <c r="H542" s="12">
        <v>1</v>
      </c>
      <c r="I542" s="12">
        <v>1</v>
      </c>
      <c r="J542" s="15">
        <v>8000.0</v>
      </c>
      <c r="K542" s="15"/>
      <c r="L542" s="17">
        <f>IF(J542&gt;0, K542/J542, 0)</f>
        <v>0</v>
      </c>
      <c r="M542" s="15">
        <v>8000.0</v>
      </c>
      <c r="N542" s="15"/>
      <c r="O542" s="15">
        <f>M542-N542</f>
        <v>8000</v>
      </c>
      <c r="P542" s="10" t="s">
        <v>42</v>
      </c>
      <c r="Q542" s="10" t="s">
        <v>43</v>
      </c>
      <c r="R542" s="10" t="s">
        <v>44</v>
      </c>
      <c r="S542" s="8" t="s">
        <v>2022</v>
      </c>
      <c r="T542" s="8" t="s">
        <v>44</v>
      </c>
    </row>
    <row r="543" spans="1:20">
      <c r="A543" s="11">
        <v>536</v>
      </c>
      <c r="B543" s="11" t="s">
        <v>826</v>
      </c>
      <c r="C543" s="11" t="s">
        <v>803</v>
      </c>
      <c r="D543" s="11" t="s">
        <v>655</v>
      </c>
      <c r="E543" s="11" t="s">
        <v>34</v>
      </c>
      <c r="F543" s="11" t="s">
        <v>35</v>
      </c>
      <c r="G543" s="9" t="s">
        <v>41</v>
      </c>
      <c r="H543" s="13">
        <v>1</v>
      </c>
      <c r="I543" s="13">
        <v>1</v>
      </c>
      <c r="J543" s="16">
        <v>7000.0</v>
      </c>
      <c r="K543" s="16"/>
      <c r="L543" s="18">
        <f>IF(J543&gt;0, K543/J543, 0)</f>
        <v>0</v>
      </c>
      <c r="M543" s="16">
        <v>7000.0</v>
      </c>
      <c r="N543" s="16"/>
      <c r="O543" s="16">
        <f>M543-N543</f>
        <v>7000</v>
      </c>
      <c r="P543" s="11" t="s">
        <v>42</v>
      </c>
      <c r="Q543" s="11" t="s">
        <v>43</v>
      </c>
      <c r="R543" s="11" t="s">
        <v>44</v>
      </c>
      <c r="S543" s="9" t="s">
        <v>2068</v>
      </c>
      <c r="T543" s="9" t="s">
        <v>44</v>
      </c>
    </row>
    <row r="544" spans="1:20">
      <c r="A544" s="10">
        <v>537</v>
      </c>
      <c r="B544" s="10" t="s">
        <v>827</v>
      </c>
      <c r="C544" s="10" t="s">
        <v>803</v>
      </c>
      <c r="D544" s="10" t="s">
        <v>655</v>
      </c>
      <c r="E544" s="10" t="s">
        <v>34</v>
      </c>
      <c r="F544" s="10" t="s">
        <v>35</v>
      </c>
      <c r="G544" s="8" t="s">
        <v>41</v>
      </c>
      <c r="H544" s="12">
        <v>1</v>
      </c>
      <c r="I544" s="12">
        <v>1</v>
      </c>
      <c r="J544" s="15">
        <v>7000.0</v>
      </c>
      <c r="K544" s="15"/>
      <c r="L544" s="17">
        <f>IF(J544&gt;0, K544/J544, 0)</f>
        <v>0</v>
      </c>
      <c r="M544" s="15">
        <v>7000.0</v>
      </c>
      <c r="N544" s="15"/>
      <c r="O544" s="15">
        <f>M544-N544</f>
        <v>7000</v>
      </c>
      <c r="P544" s="10" t="s">
        <v>42</v>
      </c>
      <c r="Q544" s="10" t="s">
        <v>43</v>
      </c>
      <c r="R544" s="10" t="s">
        <v>44</v>
      </c>
      <c r="S544" s="8" t="s">
        <v>2053</v>
      </c>
      <c r="T544" s="8" t="s">
        <v>44</v>
      </c>
    </row>
    <row r="545" spans="1:20">
      <c r="A545" s="11">
        <v>538</v>
      </c>
      <c r="B545" s="11" t="s">
        <v>828</v>
      </c>
      <c r="C545" s="11" t="s">
        <v>803</v>
      </c>
      <c r="D545" s="11" t="s">
        <v>655</v>
      </c>
      <c r="E545" s="11" t="s">
        <v>70</v>
      </c>
      <c r="F545" s="11" t="s">
        <v>35</v>
      </c>
      <c r="G545" s="9" t="s">
        <v>41</v>
      </c>
      <c r="H545" s="13">
        <v>1</v>
      </c>
      <c r="I545" s="13">
        <v>1</v>
      </c>
      <c r="J545" s="16">
        <v>8000.0</v>
      </c>
      <c r="K545" s="16"/>
      <c r="L545" s="18">
        <f>IF(J545&gt;0, K545/J545, 0)</f>
        <v>0</v>
      </c>
      <c r="M545" s="16">
        <v>8000.0</v>
      </c>
      <c r="N545" s="16"/>
      <c r="O545" s="16">
        <f>M545-N545</f>
        <v>8000</v>
      </c>
      <c r="P545" s="11" t="s">
        <v>42</v>
      </c>
      <c r="Q545" s="11" t="s">
        <v>73</v>
      </c>
      <c r="R545" s="11" t="s">
        <v>44</v>
      </c>
      <c r="S545" s="9" t="s">
        <v>2138</v>
      </c>
      <c r="T545" s="9" t="s">
        <v>44</v>
      </c>
    </row>
    <row r="546" spans="1:20">
      <c r="A546" s="10">
        <v>539</v>
      </c>
      <c r="B546" s="10" t="s">
        <v>829</v>
      </c>
      <c r="C546" s="10" t="s">
        <v>803</v>
      </c>
      <c r="D546" s="10" t="s">
        <v>655</v>
      </c>
      <c r="E546" s="10" t="s">
        <v>34</v>
      </c>
      <c r="F546" s="10" t="s">
        <v>35</v>
      </c>
      <c r="G546" s="8" t="s">
        <v>41</v>
      </c>
      <c r="H546" s="12">
        <v>1</v>
      </c>
      <c r="I546" s="12">
        <v>1</v>
      </c>
      <c r="J546" s="15">
        <v>8000.0</v>
      </c>
      <c r="K546" s="15"/>
      <c r="L546" s="17">
        <f>IF(J546&gt;0, K546/J546, 0)</f>
        <v>0</v>
      </c>
      <c r="M546" s="15">
        <v>8000.0</v>
      </c>
      <c r="N546" s="15"/>
      <c r="O546" s="15">
        <f>M546-N546</f>
        <v>8000</v>
      </c>
      <c r="P546" s="10" t="s">
        <v>42</v>
      </c>
      <c r="Q546" s="10" t="s">
        <v>43</v>
      </c>
      <c r="R546" s="10" t="s">
        <v>44</v>
      </c>
      <c r="S546" s="8" t="s">
        <v>2137</v>
      </c>
      <c r="T546" s="8" t="s">
        <v>44</v>
      </c>
    </row>
    <row r="547" spans="1:20">
      <c r="A547" s="11">
        <v>540</v>
      </c>
      <c r="B547" s="11" t="s">
        <v>830</v>
      </c>
      <c r="C547" s="11" t="s">
        <v>803</v>
      </c>
      <c r="D547" s="11" t="s">
        <v>655</v>
      </c>
      <c r="E547" s="11" t="s">
        <v>34</v>
      </c>
      <c r="F547" s="11" t="s">
        <v>35</v>
      </c>
      <c r="G547" s="9" t="s">
        <v>41</v>
      </c>
      <c r="H547" s="13">
        <v>1</v>
      </c>
      <c r="I547" s="13">
        <v>1</v>
      </c>
      <c r="J547" s="16">
        <v>7000.0</v>
      </c>
      <c r="K547" s="16"/>
      <c r="L547" s="18">
        <f>IF(J547&gt;0, K547/J547, 0)</f>
        <v>0</v>
      </c>
      <c r="M547" s="16">
        <v>7000.0</v>
      </c>
      <c r="N547" s="16"/>
      <c r="O547" s="16">
        <f>M547-N547</f>
        <v>7000</v>
      </c>
      <c r="P547" s="11" t="s">
        <v>42</v>
      </c>
      <c r="Q547" s="11" t="s">
        <v>43</v>
      </c>
      <c r="R547" s="11" t="s">
        <v>44</v>
      </c>
      <c r="S547" s="9" t="s">
        <v>2077</v>
      </c>
      <c r="T547" s="9" t="s">
        <v>44</v>
      </c>
    </row>
    <row r="548" spans="1:20">
      <c r="A548" s="10">
        <v>541</v>
      </c>
      <c r="B548" s="10" t="s">
        <v>831</v>
      </c>
      <c r="C548" s="10" t="s">
        <v>832</v>
      </c>
      <c r="D548" s="10" t="s">
        <v>655</v>
      </c>
      <c r="E548" s="10" t="s">
        <v>70</v>
      </c>
      <c r="F548" s="10" t="s">
        <v>35</v>
      </c>
      <c r="G548" s="8" t="s">
        <v>41</v>
      </c>
      <c r="H548" s="12">
        <v>1</v>
      </c>
      <c r="I548" s="12">
        <v>1</v>
      </c>
      <c r="J548" s="15">
        <v>8000.0</v>
      </c>
      <c r="K548" s="15">
        <v>800.0</v>
      </c>
      <c r="L548" s="17">
        <f>IF(J548&gt;0, K548/J548, 0)</f>
        <v>0.1</v>
      </c>
      <c r="M548" s="15">
        <v>7200.0</v>
      </c>
      <c r="N548" s="15"/>
      <c r="O548" s="15">
        <f>M548-N548</f>
        <v>7200</v>
      </c>
      <c r="P548" s="10" t="s">
        <v>42</v>
      </c>
      <c r="Q548" s="10" t="s">
        <v>73</v>
      </c>
      <c r="R548" s="10" t="s">
        <v>44</v>
      </c>
      <c r="S548" s="8" t="s">
        <v>2142</v>
      </c>
      <c r="T548" s="8" t="s">
        <v>44</v>
      </c>
    </row>
    <row r="549" spans="1:20">
      <c r="A549" s="11">
        <v>542</v>
      </c>
      <c r="B549" s="11" t="s">
        <v>833</v>
      </c>
      <c r="C549" s="11" t="s">
        <v>832</v>
      </c>
      <c r="D549" s="11" t="s">
        <v>655</v>
      </c>
      <c r="E549" s="11" t="s">
        <v>34</v>
      </c>
      <c r="F549" s="11" t="s">
        <v>35</v>
      </c>
      <c r="G549" s="9" t="s">
        <v>41</v>
      </c>
      <c r="H549" s="13">
        <v>1</v>
      </c>
      <c r="I549" s="13">
        <v>1</v>
      </c>
      <c r="J549" s="16">
        <v>8000.0</v>
      </c>
      <c r="K549" s="16">
        <v>800.0</v>
      </c>
      <c r="L549" s="18">
        <f>IF(J549&gt;0, K549/J549, 0)</f>
        <v>0.1</v>
      </c>
      <c r="M549" s="16">
        <v>7200.0</v>
      </c>
      <c r="N549" s="16"/>
      <c r="O549" s="16">
        <f>M549-N549</f>
        <v>7200</v>
      </c>
      <c r="P549" s="11" t="s">
        <v>42</v>
      </c>
      <c r="Q549" s="11" t="s">
        <v>43</v>
      </c>
      <c r="R549" s="11" t="s">
        <v>44</v>
      </c>
      <c r="S549" s="9" t="s">
        <v>2111</v>
      </c>
      <c r="T549" s="9" t="s">
        <v>44</v>
      </c>
    </row>
    <row r="550" spans="1:20">
      <c r="A550" s="10">
        <v>543</v>
      </c>
      <c r="B550" s="10" t="s">
        <v>834</v>
      </c>
      <c r="C550" s="10" t="s">
        <v>832</v>
      </c>
      <c r="D550" s="10" t="s">
        <v>655</v>
      </c>
      <c r="E550" s="10" t="s">
        <v>34</v>
      </c>
      <c r="F550" s="10" t="s">
        <v>35</v>
      </c>
      <c r="G550" s="8" t="s">
        <v>41</v>
      </c>
      <c r="H550" s="12">
        <v>1</v>
      </c>
      <c r="I550" s="12">
        <v>1</v>
      </c>
      <c r="J550" s="15">
        <v>8000.0</v>
      </c>
      <c r="K550" s="15">
        <v>800.0</v>
      </c>
      <c r="L550" s="17">
        <f>IF(J550&gt;0, K550/J550, 0)</f>
        <v>0.1</v>
      </c>
      <c r="M550" s="15">
        <v>7200.0</v>
      </c>
      <c r="N550" s="15"/>
      <c r="O550" s="15">
        <f>M550-N550</f>
        <v>7200</v>
      </c>
      <c r="P550" s="10" t="s">
        <v>42</v>
      </c>
      <c r="Q550" s="10" t="s">
        <v>43</v>
      </c>
      <c r="R550" s="10" t="s">
        <v>44</v>
      </c>
      <c r="S550" s="8" t="s">
        <v>2087</v>
      </c>
      <c r="T550" s="8" t="s">
        <v>44</v>
      </c>
    </row>
    <row r="551" spans="1:20">
      <c r="A551" s="11">
        <v>544</v>
      </c>
      <c r="B551" s="11" t="s">
        <v>835</v>
      </c>
      <c r="C551" s="11" t="s">
        <v>832</v>
      </c>
      <c r="D551" s="11" t="s">
        <v>655</v>
      </c>
      <c r="E551" s="11" t="s">
        <v>70</v>
      </c>
      <c r="F551" s="11" t="s">
        <v>35</v>
      </c>
      <c r="G551" s="9" t="s">
        <v>41</v>
      </c>
      <c r="H551" s="13">
        <v>1</v>
      </c>
      <c r="I551" s="13">
        <v>2</v>
      </c>
      <c r="J551" s="16">
        <v>36000.0</v>
      </c>
      <c r="K551" s="16"/>
      <c r="L551" s="18">
        <f>IF(J551&gt;0, K551/J551, 0)</f>
        <v>0</v>
      </c>
      <c r="M551" s="16">
        <v>36000.0</v>
      </c>
      <c r="N551" s="16"/>
      <c r="O551" s="16">
        <f>M551-N551</f>
        <v>36000</v>
      </c>
      <c r="P551" s="11" t="s">
        <v>42</v>
      </c>
      <c r="Q551" s="11" t="s">
        <v>73</v>
      </c>
      <c r="R551" s="11" t="s">
        <v>44</v>
      </c>
      <c r="S551" s="9" t="s">
        <v>2171</v>
      </c>
      <c r="T551" s="9" t="s">
        <v>44</v>
      </c>
    </row>
    <row r="552" spans="1:20">
      <c r="A552" s="10">
        <v>545</v>
      </c>
      <c r="B552" s="10" t="s">
        <v>836</v>
      </c>
      <c r="C552" s="10" t="s">
        <v>832</v>
      </c>
      <c r="D552" s="10" t="s">
        <v>655</v>
      </c>
      <c r="E552" s="10" t="s">
        <v>34</v>
      </c>
      <c r="F552" s="10" t="s">
        <v>35</v>
      </c>
      <c r="G552" s="8" t="s">
        <v>41</v>
      </c>
      <c r="H552" s="12">
        <v>1</v>
      </c>
      <c r="I552" s="12">
        <v>1</v>
      </c>
      <c r="J552" s="15">
        <v>8500.0</v>
      </c>
      <c r="K552" s="15"/>
      <c r="L552" s="17">
        <f>IF(J552&gt;0, K552/J552, 0)</f>
        <v>0</v>
      </c>
      <c r="M552" s="15">
        <v>8500.0</v>
      </c>
      <c r="N552" s="15"/>
      <c r="O552" s="15">
        <f>M552-N552</f>
        <v>8500</v>
      </c>
      <c r="P552" s="10" t="s">
        <v>42</v>
      </c>
      <c r="Q552" s="10" t="s">
        <v>43</v>
      </c>
      <c r="R552" s="10" t="s">
        <v>44</v>
      </c>
      <c r="S552" s="8" t="s">
        <v>2045</v>
      </c>
      <c r="T552" s="8" t="s">
        <v>44</v>
      </c>
    </row>
    <row r="553" spans="1:20">
      <c r="A553" s="11">
        <v>546</v>
      </c>
      <c r="B553" s="11" t="s">
        <v>837</v>
      </c>
      <c r="C553" s="11" t="s">
        <v>832</v>
      </c>
      <c r="D553" s="11" t="s">
        <v>655</v>
      </c>
      <c r="E553" s="11" t="s">
        <v>34</v>
      </c>
      <c r="F553" s="11" t="s">
        <v>35</v>
      </c>
      <c r="G553" s="9" t="s">
        <v>41</v>
      </c>
      <c r="H553" s="13">
        <v>1</v>
      </c>
      <c r="I553" s="13">
        <v>2</v>
      </c>
      <c r="J553" s="16">
        <v>16000.0</v>
      </c>
      <c r="K553" s="16"/>
      <c r="L553" s="18">
        <f>IF(J553&gt;0, K553/J553, 0)</f>
        <v>0</v>
      </c>
      <c r="M553" s="16">
        <v>16000.0</v>
      </c>
      <c r="N553" s="16"/>
      <c r="O553" s="16">
        <f>M553-N553</f>
        <v>16000</v>
      </c>
      <c r="P553" s="11" t="s">
        <v>42</v>
      </c>
      <c r="Q553" s="11" t="s">
        <v>43</v>
      </c>
      <c r="R553" s="11" t="s">
        <v>44</v>
      </c>
      <c r="S553" s="9" t="s">
        <v>2091</v>
      </c>
      <c r="T553" s="9" t="s">
        <v>44</v>
      </c>
    </row>
    <row r="554" spans="1:20">
      <c r="A554" s="10">
        <v>547</v>
      </c>
      <c r="B554" s="10" t="s">
        <v>838</v>
      </c>
      <c r="C554" s="10" t="s">
        <v>832</v>
      </c>
      <c r="D554" s="10" t="s">
        <v>655</v>
      </c>
      <c r="E554" s="10" t="s">
        <v>34</v>
      </c>
      <c r="F554" s="10" t="s">
        <v>35</v>
      </c>
      <c r="G554" s="8" t="s">
        <v>41</v>
      </c>
      <c r="H554" s="12">
        <v>1</v>
      </c>
      <c r="I554" s="12">
        <v>1</v>
      </c>
      <c r="J554" s="15">
        <v>18000.0</v>
      </c>
      <c r="K554" s="15"/>
      <c r="L554" s="17">
        <f>IF(J554&gt;0, K554/J554, 0)</f>
        <v>0</v>
      </c>
      <c r="M554" s="15">
        <v>18000.0</v>
      </c>
      <c r="N554" s="15"/>
      <c r="O554" s="15">
        <f>M554-N554</f>
        <v>18000</v>
      </c>
      <c r="P554" s="10" t="s">
        <v>42</v>
      </c>
      <c r="Q554" s="10" t="s">
        <v>43</v>
      </c>
      <c r="R554" s="10" t="s">
        <v>44</v>
      </c>
      <c r="S554" s="8" t="s">
        <v>2021</v>
      </c>
      <c r="T554" s="8" t="s">
        <v>44</v>
      </c>
    </row>
    <row r="555" spans="1:20">
      <c r="A555" s="11">
        <v>548</v>
      </c>
      <c r="B555" s="11" t="s">
        <v>839</v>
      </c>
      <c r="C555" s="11" t="s">
        <v>832</v>
      </c>
      <c r="D555" s="11" t="s">
        <v>655</v>
      </c>
      <c r="E555" s="11" t="s">
        <v>34</v>
      </c>
      <c r="F555" s="11" t="s">
        <v>35</v>
      </c>
      <c r="G555" s="9" t="s">
        <v>41</v>
      </c>
      <c r="H555" s="13">
        <v>1</v>
      </c>
      <c r="I555" s="13">
        <v>1</v>
      </c>
      <c r="J555" s="16">
        <v>8000.0</v>
      </c>
      <c r="K555" s="16"/>
      <c r="L555" s="18">
        <f>IF(J555&gt;0, K555/J555, 0)</f>
        <v>0</v>
      </c>
      <c r="M555" s="16">
        <v>8000.0</v>
      </c>
      <c r="N555" s="16"/>
      <c r="O555" s="16">
        <f>M555-N555</f>
        <v>8000</v>
      </c>
      <c r="P555" s="11" t="s">
        <v>42</v>
      </c>
      <c r="Q555" s="11" t="s">
        <v>43</v>
      </c>
      <c r="R555" s="11" t="s">
        <v>44</v>
      </c>
      <c r="S555" s="9" t="s">
        <v>2022</v>
      </c>
      <c r="T555" s="9" t="s">
        <v>44</v>
      </c>
    </row>
    <row r="556" spans="1:20">
      <c r="A556" s="10">
        <v>549</v>
      </c>
      <c r="B556" s="10" t="s">
        <v>840</v>
      </c>
      <c r="C556" s="10" t="s">
        <v>832</v>
      </c>
      <c r="D556" s="10" t="s">
        <v>655</v>
      </c>
      <c r="E556" s="10" t="s">
        <v>34</v>
      </c>
      <c r="F556" s="10" t="s">
        <v>35</v>
      </c>
      <c r="G556" s="8" t="s">
        <v>41</v>
      </c>
      <c r="H556" s="12">
        <v>1</v>
      </c>
      <c r="I556" s="12">
        <v>1</v>
      </c>
      <c r="J556" s="15">
        <v>7000.0</v>
      </c>
      <c r="K556" s="15"/>
      <c r="L556" s="17">
        <f>IF(J556&gt;0, K556/J556, 0)</f>
        <v>0</v>
      </c>
      <c r="M556" s="15">
        <v>7000.0</v>
      </c>
      <c r="N556" s="15"/>
      <c r="O556" s="15">
        <f>M556-N556</f>
        <v>7000</v>
      </c>
      <c r="P556" s="10" t="s">
        <v>42</v>
      </c>
      <c r="Q556" s="10" t="s">
        <v>43</v>
      </c>
      <c r="R556" s="10" t="s">
        <v>44</v>
      </c>
      <c r="S556" s="8" t="s">
        <v>2046</v>
      </c>
      <c r="T556" s="8" t="s">
        <v>44</v>
      </c>
    </row>
    <row r="557" spans="1:20">
      <c r="A557" s="11">
        <v>550</v>
      </c>
      <c r="B557" s="11" t="s">
        <v>841</v>
      </c>
      <c r="C557" s="11" t="s">
        <v>832</v>
      </c>
      <c r="D557" s="11" t="s">
        <v>655</v>
      </c>
      <c r="E557" s="11" t="s">
        <v>34</v>
      </c>
      <c r="F557" s="11" t="s">
        <v>35</v>
      </c>
      <c r="G557" s="9" t="s">
        <v>41</v>
      </c>
      <c r="H557" s="13">
        <v>1</v>
      </c>
      <c r="I557" s="13">
        <v>1</v>
      </c>
      <c r="J557" s="16">
        <v>8000.0</v>
      </c>
      <c r="K557" s="16"/>
      <c r="L557" s="18">
        <f>IF(J557&gt;0, K557/J557, 0)</f>
        <v>0</v>
      </c>
      <c r="M557" s="16">
        <v>8000.0</v>
      </c>
      <c r="N557" s="16"/>
      <c r="O557" s="16">
        <f>M557-N557</f>
        <v>8000</v>
      </c>
      <c r="P557" s="11" t="s">
        <v>42</v>
      </c>
      <c r="Q557" s="11" t="s">
        <v>43</v>
      </c>
      <c r="R557" s="11" t="s">
        <v>44</v>
      </c>
      <c r="S557" s="9" t="s">
        <v>2027</v>
      </c>
      <c r="T557" s="9" t="s">
        <v>44</v>
      </c>
    </row>
    <row r="558" spans="1:20">
      <c r="A558" s="10">
        <v>551</v>
      </c>
      <c r="B558" s="10" t="s">
        <v>842</v>
      </c>
      <c r="C558" s="10" t="s">
        <v>832</v>
      </c>
      <c r="D558" s="10" t="s">
        <v>655</v>
      </c>
      <c r="E558" s="10" t="s">
        <v>34</v>
      </c>
      <c r="F558" s="10" t="s">
        <v>35</v>
      </c>
      <c r="G558" s="8" t="s">
        <v>41</v>
      </c>
      <c r="H558" s="12">
        <v>1</v>
      </c>
      <c r="I558" s="12">
        <v>2</v>
      </c>
      <c r="J558" s="15">
        <v>14000.0</v>
      </c>
      <c r="K558" s="15"/>
      <c r="L558" s="17">
        <f>IF(J558&gt;0, K558/J558, 0)</f>
        <v>0</v>
      </c>
      <c r="M558" s="15">
        <v>14000.0</v>
      </c>
      <c r="N558" s="15"/>
      <c r="O558" s="15">
        <f>M558-N558</f>
        <v>14000</v>
      </c>
      <c r="P558" s="10" t="s">
        <v>42</v>
      </c>
      <c r="Q558" s="10" t="s">
        <v>43</v>
      </c>
      <c r="R558" s="10" t="s">
        <v>44</v>
      </c>
      <c r="S558" s="8" t="s">
        <v>2050</v>
      </c>
      <c r="T558" s="8" t="s">
        <v>44</v>
      </c>
    </row>
    <row r="559" spans="1:20">
      <c r="A559" s="11">
        <v>552</v>
      </c>
      <c r="B559" s="11" t="s">
        <v>843</v>
      </c>
      <c r="C559" s="11" t="s">
        <v>832</v>
      </c>
      <c r="D559" s="11" t="s">
        <v>655</v>
      </c>
      <c r="E559" s="11" t="s">
        <v>34</v>
      </c>
      <c r="F559" s="11" t="s">
        <v>35</v>
      </c>
      <c r="G559" s="9" t="s">
        <v>41</v>
      </c>
      <c r="H559" s="13">
        <v>1</v>
      </c>
      <c r="I559" s="13">
        <v>1</v>
      </c>
      <c r="J559" s="16">
        <v>18000.0</v>
      </c>
      <c r="K559" s="16"/>
      <c r="L559" s="18">
        <f>IF(J559&gt;0, K559/J559, 0)</f>
        <v>0</v>
      </c>
      <c r="M559" s="16">
        <v>18000.0</v>
      </c>
      <c r="N559" s="16"/>
      <c r="O559" s="16">
        <f>M559-N559</f>
        <v>18000</v>
      </c>
      <c r="P559" s="11" t="s">
        <v>42</v>
      </c>
      <c r="Q559" s="11" t="s">
        <v>43</v>
      </c>
      <c r="R559" s="11" t="s">
        <v>44</v>
      </c>
      <c r="S559" s="9" t="s">
        <v>2021</v>
      </c>
      <c r="T559" s="9" t="s">
        <v>44</v>
      </c>
    </row>
    <row r="560" spans="1:20">
      <c r="A560" s="10">
        <v>553</v>
      </c>
      <c r="B560" s="10" t="s">
        <v>844</v>
      </c>
      <c r="C560" s="10" t="s">
        <v>832</v>
      </c>
      <c r="D560" s="10" t="s">
        <v>655</v>
      </c>
      <c r="E560" s="10" t="s">
        <v>34</v>
      </c>
      <c r="F560" s="10" t="s">
        <v>35</v>
      </c>
      <c r="G560" s="8" t="s">
        <v>41</v>
      </c>
      <c r="H560" s="12">
        <v>1</v>
      </c>
      <c r="I560" s="12">
        <v>1</v>
      </c>
      <c r="J560" s="15">
        <v>18000.0</v>
      </c>
      <c r="K560" s="15"/>
      <c r="L560" s="17">
        <f>IF(J560&gt;0, K560/J560, 0)</f>
        <v>0</v>
      </c>
      <c r="M560" s="15">
        <v>18000.0</v>
      </c>
      <c r="N560" s="15"/>
      <c r="O560" s="15">
        <f>M560-N560</f>
        <v>18000</v>
      </c>
      <c r="P560" s="10" t="s">
        <v>42</v>
      </c>
      <c r="Q560" s="10" t="s">
        <v>43</v>
      </c>
      <c r="R560" s="10" t="s">
        <v>44</v>
      </c>
      <c r="S560" s="8" t="s">
        <v>2117</v>
      </c>
      <c r="T560" s="8" t="s">
        <v>44</v>
      </c>
    </row>
    <row r="561" spans="1:20">
      <c r="A561" s="11">
        <v>554</v>
      </c>
      <c r="B561" s="11" t="s">
        <v>845</v>
      </c>
      <c r="C561" s="11" t="s">
        <v>832</v>
      </c>
      <c r="D561" s="11" t="s">
        <v>655</v>
      </c>
      <c r="E561" s="11" t="s">
        <v>34</v>
      </c>
      <c r="F561" s="11" t="s">
        <v>35</v>
      </c>
      <c r="G561" s="9" t="s">
        <v>41</v>
      </c>
      <c r="H561" s="13">
        <v>1</v>
      </c>
      <c r="I561" s="13">
        <v>1</v>
      </c>
      <c r="J561" s="16">
        <v>18000.0</v>
      </c>
      <c r="K561" s="16"/>
      <c r="L561" s="18">
        <f>IF(J561&gt;0, K561/J561, 0)</f>
        <v>0</v>
      </c>
      <c r="M561" s="16">
        <v>18000.0</v>
      </c>
      <c r="N561" s="16"/>
      <c r="O561" s="16">
        <f>M561-N561</f>
        <v>18000</v>
      </c>
      <c r="P561" s="11" t="s">
        <v>42</v>
      </c>
      <c r="Q561" s="11" t="s">
        <v>43</v>
      </c>
      <c r="R561" s="11" t="s">
        <v>44</v>
      </c>
      <c r="S561" s="9" t="s">
        <v>2122</v>
      </c>
      <c r="T561" s="9" t="s">
        <v>44</v>
      </c>
    </row>
    <row r="562" spans="1:20">
      <c r="A562" s="10">
        <v>555</v>
      </c>
      <c r="B562" s="10" t="s">
        <v>846</v>
      </c>
      <c r="C562" s="10" t="s">
        <v>847</v>
      </c>
      <c r="D562" s="10" t="s">
        <v>655</v>
      </c>
      <c r="E562" s="10" t="s">
        <v>34</v>
      </c>
      <c r="F562" s="10" t="s">
        <v>35</v>
      </c>
      <c r="G562" s="8" t="s">
        <v>41</v>
      </c>
      <c r="H562" s="12">
        <v>1</v>
      </c>
      <c r="I562" s="12">
        <v>2</v>
      </c>
      <c r="J562" s="15">
        <v>19000.0</v>
      </c>
      <c r="K562" s="15"/>
      <c r="L562" s="17">
        <f>IF(J562&gt;0, K562/J562, 0)</f>
        <v>0</v>
      </c>
      <c r="M562" s="15">
        <v>19000.0</v>
      </c>
      <c r="N562" s="15"/>
      <c r="O562" s="15">
        <f>M562-N562</f>
        <v>19000</v>
      </c>
      <c r="P562" s="10" t="s">
        <v>42</v>
      </c>
      <c r="Q562" s="10" t="s">
        <v>43</v>
      </c>
      <c r="R562" s="10" t="s">
        <v>44</v>
      </c>
      <c r="S562" s="8" t="s">
        <v>2168</v>
      </c>
      <c r="T562" s="8" t="s">
        <v>44</v>
      </c>
    </row>
    <row r="563" spans="1:20">
      <c r="A563" s="11">
        <v>556</v>
      </c>
      <c r="B563" s="11" t="s">
        <v>848</v>
      </c>
      <c r="C563" s="11" t="s">
        <v>847</v>
      </c>
      <c r="D563" s="11" t="s">
        <v>655</v>
      </c>
      <c r="E563" s="11" t="s">
        <v>34</v>
      </c>
      <c r="F563" s="11" t="s">
        <v>35</v>
      </c>
      <c r="G563" s="9" t="s">
        <v>41</v>
      </c>
      <c r="H563" s="13">
        <v>1</v>
      </c>
      <c r="I563" s="13">
        <v>1</v>
      </c>
      <c r="J563" s="16">
        <v>16500.0</v>
      </c>
      <c r="K563" s="16"/>
      <c r="L563" s="18">
        <f>IF(J563&gt;0, K563/J563, 0)</f>
        <v>0</v>
      </c>
      <c r="M563" s="16">
        <v>16500.0</v>
      </c>
      <c r="N563" s="16"/>
      <c r="O563" s="16">
        <f>M563-N563</f>
        <v>16500</v>
      </c>
      <c r="P563" s="11" t="s">
        <v>42</v>
      </c>
      <c r="Q563" s="11" t="s">
        <v>43</v>
      </c>
      <c r="R563" s="11" t="s">
        <v>44</v>
      </c>
      <c r="S563" s="9" t="s">
        <v>2121</v>
      </c>
      <c r="T563" s="9" t="s">
        <v>44</v>
      </c>
    </row>
    <row r="564" spans="1:20">
      <c r="A564" s="10">
        <v>557</v>
      </c>
      <c r="B564" s="10" t="s">
        <v>849</v>
      </c>
      <c r="C564" s="10" t="s">
        <v>847</v>
      </c>
      <c r="D564" s="10" t="s">
        <v>655</v>
      </c>
      <c r="E564" s="10" t="s">
        <v>34</v>
      </c>
      <c r="F564" s="10" t="s">
        <v>35</v>
      </c>
      <c r="G564" s="8" t="s">
        <v>41</v>
      </c>
      <c r="H564" s="12">
        <v>1</v>
      </c>
      <c r="I564" s="12">
        <v>2</v>
      </c>
      <c r="J564" s="15">
        <v>16000.0</v>
      </c>
      <c r="K564" s="15"/>
      <c r="L564" s="17">
        <f>IF(J564&gt;0, K564/J564, 0)</f>
        <v>0</v>
      </c>
      <c r="M564" s="15">
        <v>16000.0</v>
      </c>
      <c r="N564" s="15"/>
      <c r="O564" s="15">
        <f>M564-N564</f>
        <v>16000</v>
      </c>
      <c r="P564" s="10" t="s">
        <v>42</v>
      </c>
      <c r="Q564" s="10" t="s">
        <v>43</v>
      </c>
      <c r="R564" s="10" t="s">
        <v>44</v>
      </c>
      <c r="S564" s="8" t="s">
        <v>2156</v>
      </c>
      <c r="T564" s="8" t="s">
        <v>44</v>
      </c>
    </row>
    <row r="565" spans="1:20">
      <c r="A565" s="11">
        <v>558</v>
      </c>
      <c r="B565" s="11" t="s">
        <v>850</v>
      </c>
      <c r="C565" s="11" t="s">
        <v>847</v>
      </c>
      <c r="D565" s="11" t="s">
        <v>655</v>
      </c>
      <c r="E565" s="11" t="s">
        <v>34</v>
      </c>
      <c r="F565" s="11" t="s">
        <v>35</v>
      </c>
      <c r="G565" s="9" t="s">
        <v>41</v>
      </c>
      <c r="H565" s="13">
        <v>1</v>
      </c>
      <c r="I565" s="13">
        <v>1</v>
      </c>
      <c r="J565" s="16">
        <v>18000.0</v>
      </c>
      <c r="K565" s="16"/>
      <c r="L565" s="18">
        <f>IF(J565&gt;0, K565/J565, 0)</f>
        <v>0</v>
      </c>
      <c r="M565" s="16">
        <v>18000.0</v>
      </c>
      <c r="N565" s="16"/>
      <c r="O565" s="16">
        <f>M565-N565</f>
        <v>18000</v>
      </c>
      <c r="P565" s="11" t="s">
        <v>42</v>
      </c>
      <c r="Q565" s="11" t="s">
        <v>43</v>
      </c>
      <c r="R565" s="11" t="s">
        <v>44</v>
      </c>
      <c r="S565" s="9" t="s">
        <v>2170</v>
      </c>
      <c r="T565" s="9" t="s">
        <v>44</v>
      </c>
    </row>
    <row r="566" spans="1:20">
      <c r="A566" s="10">
        <v>559</v>
      </c>
      <c r="B566" s="10" t="s">
        <v>851</v>
      </c>
      <c r="C566" s="10" t="s">
        <v>847</v>
      </c>
      <c r="D566" s="10" t="s">
        <v>655</v>
      </c>
      <c r="E566" s="10" t="s">
        <v>70</v>
      </c>
      <c r="F566" s="10" t="s">
        <v>35</v>
      </c>
      <c r="G566" s="8" t="s">
        <v>41</v>
      </c>
      <c r="H566" s="12">
        <v>1</v>
      </c>
      <c r="I566" s="12">
        <v>1</v>
      </c>
      <c r="J566" s="15">
        <v>9000.0</v>
      </c>
      <c r="K566" s="15"/>
      <c r="L566" s="17">
        <f>IF(J566&gt;0, K566/J566, 0)</f>
        <v>0</v>
      </c>
      <c r="M566" s="15">
        <v>9000.0</v>
      </c>
      <c r="N566" s="15"/>
      <c r="O566" s="15">
        <f>M566-N566</f>
        <v>9000</v>
      </c>
      <c r="P566" s="10" t="s">
        <v>42</v>
      </c>
      <c r="Q566" s="10" t="s">
        <v>73</v>
      </c>
      <c r="R566" s="10" t="s">
        <v>44</v>
      </c>
      <c r="S566" s="8" t="s">
        <v>2164</v>
      </c>
      <c r="T566" s="8" t="s">
        <v>44</v>
      </c>
    </row>
    <row r="567" spans="1:20">
      <c r="A567" s="11">
        <v>560</v>
      </c>
      <c r="B567" s="11" t="s">
        <v>853</v>
      </c>
      <c r="C567" s="11" t="s">
        <v>847</v>
      </c>
      <c r="D567" s="11" t="s">
        <v>655</v>
      </c>
      <c r="E567" s="11" t="s">
        <v>70</v>
      </c>
      <c r="F567" s="11" t="s">
        <v>35</v>
      </c>
      <c r="G567" s="9" t="s">
        <v>41</v>
      </c>
      <c r="H567" s="13">
        <v>1</v>
      </c>
      <c r="I567" s="13">
        <v>1</v>
      </c>
      <c r="J567" s="16">
        <v>10000.0</v>
      </c>
      <c r="K567" s="16"/>
      <c r="L567" s="18">
        <f>IF(J567&gt;0, K567/J567, 0)</f>
        <v>0</v>
      </c>
      <c r="M567" s="16">
        <v>10000.0</v>
      </c>
      <c r="N567" s="16"/>
      <c r="O567" s="16">
        <f>M567-N567</f>
        <v>10000</v>
      </c>
      <c r="P567" s="11" t="s">
        <v>42</v>
      </c>
      <c r="Q567" s="11" t="s">
        <v>73</v>
      </c>
      <c r="R567" s="11" t="s">
        <v>44</v>
      </c>
      <c r="S567" s="9" t="s">
        <v>2087</v>
      </c>
      <c r="T567" s="9" t="s">
        <v>44</v>
      </c>
    </row>
    <row r="568" spans="1:20">
      <c r="A568" s="10">
        <v>561</v>
      </c>
      <c r="B568" s="10" t="s">
        <v>854</v>
      </c>
      <c r="C568" s="10" t="s">
        <v>847</v>
      </c>
      <c r="D568" s="10" t="s">
        <v>655</v>
      </c>
      <c r="E568" s="10" t="s">
        <v>34</v>
      </c>
      <c r="F568" s="10" t="s">
        <v>35</v>
      </c>
      <c r="G568" s="8" t="s">
        <v>41</v>
      </c>
      <c r="H568" s="12">
        <v>1</v>
      </c>
      <c r="I568" s="12">
        <v>1</v>
      </c>
      <c r="J568" s="15">
        <v>8500.0</v>
      </c>
      <c r="K568" s="15"/>
      <c r="L568" s="17">
        <f>IF(J568&gt;0, K568/J568, 0)</f>
        <v>0</v>
      </c>
      <c r="M568" s="15">
        <v>8500.0</v>
      </c>
      <c r="N568" s="15"/>
      <c r="O568" s="15">
        <f>M568-N568</f>
        <v>8500</v>
      </c>
      <c r="P568" s="10" t="s">
        <v>42</v>
      </c>
      <c r="Q568" s="10" t="s">
        <v>43</v>
      </c>
      <c r="R568" s="10" t="s">
        <v>44</v>
      </c>
      <c r="S568" s="8" t="s">
        <v>2024</v>
      </c>
      <c r="T568" s="8" t="s">
        <v>44</v>
      </c>
    </row>
    <row r="569" spans="1:20">
      <c r="A569" s="11">
        <v>562</v>
      </c>
      <c r="B569" s="11" t="s">
        <v>855</v>
      </c>
      <c r="C569" s="11" t="s">
        <v>847</v>
      </c>
      <c r="D569" s="11" t="s">
        <v>655</v>
      </c>
      <c r="E569" s="11" t="s">
        <v>34</v>
      </c>
      <c r="F569" s="11" t="s">
        <v>35</v>
      </c>
      <c r="G569" s="9" t="s">
        <v>41</v>
      </c>
      <c r="H569" s="13">
        <v>1</v>
      </c>
      <c r="I569" s="13">
        <v>1</v>
      </c>
      <c r="J569" s="16">
        <v>18000.0</v>
      </c>
      <c r="K569" s="16"/>
      <c r="L569" s="18">
        <f>IF(J569&gt;0, K569/J569, 0)</f>
        <v>0</v>
      </c>
      <c r="M569" s="16">
        <v>18000.0</v>
      </c>
      <c r="N569" s="16"/>
      <c r="O569" s="16">
        <f>M569-N569</f>
        <v>18000</v>
      </c>
      <c r="P569" s="11" t="s">
        <v>42</v>
      </c>
      <c r="Q569" s="11" t="s">
        <v>43</v>
      </c>
      <c r="R569" s="11" t="s">
        <v>44</v>
      </c>
      <c r="S569" s="9" t="s">
        <v>2066</v>
      </c>
      <c r="T569" s="9" t="s">
        <v>44</v>
      </c>
    </row>
    <row r="570" spans="1:20">
      <c r="A570" s="10">
        <v>563</v>
      </c>
      <c r="B570" s="10" t="s">
        <v>856</v>
      </c>
      <c r="C570" s="10" t="s">
        <v>847</v>
      </c>
      <c r="D570" s="10" t="s">
        <v>655</v>
      </c>
      <c r="E570" s="10" t="s">
        <v>34</v>
      </c>
      <c r="F570" s="10" t="s">
        <v>35</v>
      </c>
      <c r="G570" s="8" t="s">
        <v>41</v>
      </c>
      <c r="H570" s="12">
        <v>1</v>
      </c>
      <c r="I570" s="12">
        <v>1</v>
      </c>
      <c r="J570" s="15">
        <v>18000.0</v>
      </c>
      <c r="K570" s="15"/>
      <c r="L570" s="17">
        <f>IF(J570&gt;0, K570/J570, 0)</f>
        <v>0</v>
      </c>
      <c r="M570" s="15">
        <v>18000.0</v>
      </c>
      <c r="N570" s="15"/>
      <c r="O570" s="15">
        <f>M570-N570</f>
        <v>18000</v>
      </c>
      <c r="P570" s="10" t="s">
        <v>42</v>
      </c>
      <c r="Q570" s="10" t="s">
        <v>43</v>
      </c>
      <c r="R570" s="10" t="s">
        <v>44</v>
      </c>
      <c r="S570" s="8" t="s">
        <v>2141</v>
      </c>
      <c r="T570" s="8" t="s">
        <v>44</v>
      </c>
    </row>
    <row r="571" spans="1:20">
      <c r="A571" s="11">
        <v>564</v>
      </c>
      <c r="B571" s="11" t="s">
        <v>857</v>
      </c>
      <c r="C571" s="11" t="s">
        <v>847</v>
      </c>
      <c r="D571" s="11" t="s">
        <v>655</v>
      </c>
      <c r="E571" s="11" t="s">
        <v>34</v>
      </c>
      <c r="F571" s="11" t="s">
        <v>35</v>
      </c>
      <c r="G571" s="9" t="s">
        <v>41</v>
      </c>
      <c r="H571" s="13">
        <v>1</v>
      </c>
      <c r="I571" s="13">
        <v>1</v>
      </c>
      <c r="J571" s="16">
        <v>7000.0</v>
      </c>
      <c r="K571" s="16"/>
      <c r="L571" s="18">
        <f>IF(J571&gt;0, K571/J571, 0)</f>
        <v>0</v>
      </c>
      <c r="M571" s="16">
        <v>7000.0</v>
      </c>
      <c r="N571" s="16"/>
      <c r="O571" s="16">
        <f>M571-N571</f>
        <v>7000</v>
      </c>
      <c r="P571" s="11" t="s">
        <v>42</v>
      </c>
      <c r="Q571" s="11" t="s">
        <v>43</v>
      </c>
      <c r="R571" s="11" t="s">
        <v>44</v>
      </c>
      <c r="S571" s="9" t="s">
        <v>2038</v>
      </c>
      <c r="T571" s="9" t="s">
        <v>44</v>
      </c>
    </row>
    <row r="572" spans="1:20">
      <c r="A572" s="10">
        <v>565</v>
      </c>
      <c r="B572" s="10" t="s">
        <v>858</v>
      </c>
      <c r="C572" s="10" t="s">
        <v>847</v>
      </c>
      <c r="D572" s="10" t="s">
        <v>655</v>
      </c>
      <c r="E572" s="10" t="s">
        <v>70</v>
      </c>
      <c r="F572" s="10" t="s">
        <v>35</v>
      </c>
      <c r="G572" s="8" t="s">
        <v>41</v>
      </c>
      <c r="H572" s="12">
        <v>1</v>
      </c>
      <c r="I572" s="12">
        <v>1</v>
      </c>
      <c r="J572" s="15">
        <v>11000.0</v>
      </c>
      <c r="K572" s="15"/>
      <c r="L572" s="17">
        <f>IF(J572&gt;0, K572/J572, 0)</f>
        <v>0</v>
      </c>
      <c r="M572" s="15">
        <v>11000.0</v>
      </c>
      <c r="N572" s="15"/>
      <c r="O572" s="15">
        <f>M572-N572</f>
        <v>11000</v>
      </c>
      <c r="P572" s="10" t="s">
        <v>42</v>
      </c>
      <c r="Q572" s="10" t="s">
        <v>73</v>
      </c>
      <c r="R572" s="10" t="s">
        <v>44</v>
      </c>
      <c r="S572" s="8" t="s">
        <v>2052</v>
      </c>
      <c r="T572" s="8" t="s">
        <v>44</v>
      </c>
    </row>
    <row r="573" spans="1:20">
      <c r="A573" s="11">
        <v>566</v>
      </c>
      <c r="B573" s="11" t="s">
        <v>859</v>
      </c>
      <c r="C573" s="11" t="s">
        <v>847</v>
      </c>
      <c r="D573" s="11" t="s">
        <v>655</v>
      </c>
      <c r="E573" s="11" t="s">
        <v>34</v>
      </c>
      <c r="F573" s="11" t="s">
        <v>35</v>
      </c>
      <c r="G573" s="9" t="s">
        <v>41</v>
      </c>
      <c r="H573" s="13">
        <v>1</v>
      </c>
      <c r="I573" s="13">
        <v>1</v>
      </c>
      <c r="J573" s="16">
        <v>7000.0</v>
      </c>
      <c r="K573" s="16"/>
      <c r="L573" s="18">
        <f>IF(J573&gt;0, K573/J573, 0)</f>
        <v>0</v>
      </c>
      <c r="M573" s="16">
        <v>7000.0</v>
      </c>
      <c r="N573" s="16"/>
      <c r="O573" s="16">
        <f>M573-N573</f>
        <v>7000</v>
      </c>
      <c r="P573" s="11" t="s">
        <v>42</v>
      </c>
      <c r="Q573" s="11" t="s">
        <v>43</v>
      </c>
      <c r="R573" s="11" t="s">
        <v>44</v>
      </c>
      <c r="S573" s="9" t="s">
        <v>2038</v>
      </c>
      <c r="T573" s="9" t="s">
        <v>44</v>
      </c>
    </row>
    <row r="574" spans="1:20">
      <c r="A574" s="10">
        <v>567</v>
      </c>
      <c r="B574" s="10" t="s">
        <v>860</v>
      </c>
      <c r="C574" s="10" t="s">
        <v>847</v>
      </c>
      <c r="D574" s="10" t="s">
        <v>655</v>
      </c>
      <c r="E574" s="10" t="s">
        <v>34</v>
      </c>
      <c r="F574" s="10" t="s">
        <v>35</v>
      </c>
      <c r="G574" s="8" t="s">
        <v>41</v>
      </c>
      <c r="H574" s="12">
        <v>1</v>
      </c>
      <c r="I574" s="12">
        <v>1</v>
      </c>
      <c r="J574" s="15">
        <v>8000.0</v>
      </c>
      <c r="K574" s="15"/>
      <c r="L574" s="17">
        <f>IF(J574&gt;0, K574/J574, 0)</f>
        <v>0</v>
      </c>
      <c r="M574" s="15">
        <v>8000.0</v>
      </c>
      <c r="N574" s="15"/>
      <c r="O574" s="15">
        <f>M574-N574</f>
        <v>8000</v>
      </c>
      <c r="P574" s="10" t="s">
        <v>42</v>
      </c>
      <c r="Q574" s="10" t="s">
        <v>43</v>
      </c>
      <c r="R574" s="10" t="s">
        <v>44</v>
      </c>
      <c r="S574" s="8" t="s">
        <v>2037</v>
      </c>
      <c r="T574" s="8" t="s">
        <v>44</v>
      </c>
    </row>
    <row r="575" spans="1:20">
      <c r="A575" s="11">
        <v>568</v>
      </c>
      <c r="B575" s="11" t="s">
        <v>861</v>
      </c>
      <c r="C575" s="11" t="s">
        <v>847</v>
      </c>
      <c r="D575" s="11" t="s">
        <v>655</v>
      </c>
      <c r="E575" s="11" t="s">
        <v>34</v>
      </c>
      <c r="F575" s="11" t="s">
        <v>35</v>
      </c>
      <c r="G575" s="9" t="s">
        <v>41</v>
      </c>
      <c r="H575" s="13">
        <v>1</v>
      </c>
      <c r="I575" s="13">
        <v>1</v>
      </c>
      <c r="J575" s="16">
        <v>8000.0</v>
      </c>
      <c r="K575" s="16"/>
      <c r="L575" s="18">
        <f>IF(J575&gt;0, K575/J575, 0)</f>
        <v>0</v>
      </c>
      <c r="M575" s="16">
        <v>8000.0</v>
      </c>
      <c r="N575" s="16"/>
      <c r="O575" s="16">
        <f>M575-N575</f>
        <v>8000</v>
      </c>
      <c r="P575" s="11" t="s">
        <v>42</v>
      </c>
      <c r="Q575" s="11" t="s">
        <v>43</v>
      </c>
      <c r="R575" s="11" t="s">
        <v>44</v>
      </c>
      <c r="S575" s="9" t="s">
        <v>2115</v>
      </c>
      <c r="T575" s="9" t="s">
        <v>44</v>
      </c>
    </row>
    <row r="576" spans="1:20">
      <c r="A576" s="10">
        <v>569</v>
      </c>
      <c r="B576" s="10" t="s">
        <v>862</v>
      </c>
      <c r="C576" s="10" t="s">
        <v>847</v>
      </c>
      <c r="D576" s="10" t="s">
        <v>655</v>
      </c>
      <c r="E576" s="10" t="s">
        <v>34</v>
      </c>
      <c r="F576" s="10" t="s">
        <v>35</v>
      </c>
      <c r="G576" s="8" t="s">
        <v>41</v>
      </c>
      <c r="H576" s="12">
        <v>1</v>
      </c>
      <c r="I576" s="12">
        <v>1</v>
      </c>
      <c r="J576" s="15">
        <v>7000.0</v>
      </c>
      <c r="K576" s="15"/>
      <c r="L576" s="17">
        <f>IF(J576&gt;0, K576/J576, 0)</f>
        <v>0</v>
      </c>
      <c r="M576" s="15">
        <v>7000.0</v>
      </c>
      <c r="N576" s="15"/>
      <c r="O576" s="15">
        <f>M576-N576</f>
        <v>7000</v>
      </c>
      <c r="P576" s="10" t="s">
        <v>42</v>
      </c>
      <c r="Q576" s="10" t="s">
        <v>43</v>
      </c>
      <c r="R576" s="10" t="s">
        <v>44</v>
      </c>
      <c r="S576" s="8" t="s">
        <v>2101</v>
      </c>
      <c r="T576" s="8" t="s">
        <v>44</v>
      </c>
    </row>
    <row r="577" spans="1:20">
      <c r="A577" s="11">
        <v>570</v>
      </c>
      <c r="B577" s="11" t="s">
        <v>863</v>
      </c>
      <c r="C577" s="11" t="s">
        <v>847</v>
      </c>
      <c r="D577" s="11" t="s">
        <v>655</v>
      </c>
      <c r="E577" s="11" t="s">
        <v>34</v>
      </c>
      <c r="F577" s="11" t="s">
        <v>35</v>
      </c>
      <c r="G577" s="9" t="s">
        <v>41</v>
      </c>
      <c r="H577" s="13">
        <v>1</v>
      </c>
      <c r="I577" s="13">
        <v>1</v>
      </c>
      <c r="J577" s="16">
        <v>8000.0</v>
      </c>
      <c r="K577" s="16"/>
      <c r="L577" s="18">
        <f>IF(J577&gt;0, K577/J577, 0)</f>
        <v>0</v>
      </c>
      <c r="M577" s="16">
        <v>8000.0</v>
      </c>
      <c r="N577" s="16"/>
      <c r="O577" s="16">
        <f>M577-N577</f>
        <v>8000</v>
      </c>
      <c r="P577" s="11" t="s">
        <v>42</v>
      </c>
      <c r="Q577" s="11" t="s">
        <v>43</v>
      </c>
      <c r="R577" s="11" t="s">
        <v>44</v>
      </c>
      <c r="S577" s="9" t="s">
        <v>2067</v>
      </c>
      <c r="T577" s="9" t="s">
        <v>44</v>
      </c>
    </row>
    <row r="578" spans="1:20">
      <c r="A578" s="10">
        <v>571</v>
      </c>
      <c r="B578" s="10" t="s">
        <v>864</v>
      </c>
      <c r="C578" s="10" t="s">
        <v>847</v>
      </c>
      <c r="D578" s="10" t="s">
        <v>655</v>
      </c>
      <c r="E578" s="10" t="s">
        <v>70</v>
      </c>
      <c r="F578" s="10" t="s">
        <v>35</v>
      </c>
      <c r="G578" s="8" t="s">
        <v>41</v>
      </c>
      <c r="H578" s="12">
        <v>1</v>
      </c>
      <c r="I578" s="12">
        <v>1</v>
      </c>
      <c r="J578" s="15">
        <v>9000.0</v>
      </c>
      <c r="K578" s="15"/>
      <c r="L578" s="17">
        <f>IF(J578&gt;0, K578/J578, 0)</f>
        <v>0</v>
      </c>
      <c r="M578" s="15">
        <v>9000.0</v>
      </c>
      <c r="N578" s="15"/>
      <c r="O578" s="15">
        <f>M578-N578</f>
        <v>9000</v>
      </c>
      <c r="P578" s="10" t="s">
        <v>42</v>
      </c>
      <c r="Q578" s="10" t="s">
        <v>73</v>
      </c>
      <c r="R578" s="10" t="s">
        <v>44</v>
      </c>
      <c r="S578" s="8" t="s">
        <v>2138</v>
      </c>
      <c r="T578" s="8" t="s">
        <v>44</v>
      </c>
    </row>
    <row r="579" spans="1:20">
      <c r="A579" s="11">
        <v>572</v>
      </c>
      <c r="B579" s="11" t="s">
        <v>865</v>
      </c>
      <c r="C579" s="11" t="s">
        <v>847</v>
      </c>
      <c r="D579" s="11" t="s">
        <v>655</v>
      </c>
      <c r="E579" s="11" t="s">
        <v>70</v>
      </c>
      <c r="F579" s="11" t="s">
        <v>35</v>
      </c>
      <c r="G579" s="9" t="s">
        <v>41</v>
      </c>
      <c r="H579" s="13">
        <v>1</v>
      </c>
      <c r="I579" s="13">
        <v>1</v>
      </c>
      <c r="J579" s="16">
        <v>10000.0</v>
      </c>
      <c r="K579" s="16"/>
      <c r="L579" s="18">
        <f>IF(J579&gt;0, K579/J579, 0)</f>
        <v>0</v>
      </c>
      <c r="M579" s="16">
        <v>10000.0</v>
      </c>
      <c r="N579" s="16"/>
      <c r="O579" s="16">
        <f>M579-N579</f>
        <v>10000</v>
      </c>
      <c r="P579" s="11" t="s">
        <v>42</v>
      </c>
      <c r="Q579" s="11" t="s">
        <v>73</v>
      </c>
      <c r="R579" s="11" t="s">
        <v>44</v>
      </c>
      <c r="S579" s="9" t="s">
        <v>2071</v>
      </c>
      <c r="T579" s="9" t="s">
        <v>44</v>
      </c>
    </row>
    <row r="580" spans="1:20">
      <c r="A580" s="10">
        <v>573</v>
      </c>
      <c r="B580" s="10" t="s">
        <v>866</v>
      </c>
      <c r="C580" s="10" t="s">
        <v>847</v>
      </c>
      <c r="D580" s="10" t="s">
        <v>655</v>
      </c>
      <c r="E580" s="10" t="s">
        <v>34</v>
      </c>
      <c r="F580" s="10" t="s">
        <v>35</v>
      </c>
      <c r="G580" s="8" t="s">
        <v>41</v>
      </c>
      <c r="H580" s="12">
        <v>1</v>
      </c>
      <c r="I580" s="12">
        <v>1</v>
      </c>
      <c r="J580" s="15">
        <v>7000.0</v>
      </c>
      <c r="K580" s="15"/>
      <c r="L580" s="17">
        <f>IF(J580&gt;0, K580/J580, 0)</f>
        <v>0</v>
      </c>
      <c r="M580" s="15">
        <v>7000.0</v>
      </c>
      <c r="N580" s="15"/>
      <c r="O580" s="15">
        <f>M580-N580</f>
        <v>7000</v>
      </c>
      <c r="P580" s="10" t="s">
        <v>42</v>
      </c>
      <c r="Q580" s="10" t="s">
        <v>43</v>
      </c>
      <c r="R580" s="10" t="s">
        <v>44</v>
      </c>
      <c r="S580" s="8" t="s">
        <v>2100</v>
      </c>
      <c r="T580" s="8" t="s">
        <v>44</v>
      </c>
    </row>
    <row r="581" spans="1:20">
      <c r="A581" s="11">
        <v>574</v>
      </c>
      <c r="B581" s="11" t="s">
        <v>867</v>
      </c>
      <c r="C581" s="11" t="s">
        <v>847</v>
      </c>
      <c r="D581" s="11" t="s">
        <v>655</v>
      </c>
      <c r="E581" s="11" t="s">
        <v>34</v>
      </c>
      <c r="F581" s="11" t="s">
        <v>35</v>
      </c>
      <c r="G581" s="9" t="s">
        <v>41</v>
      </c>
      <c r="H581" s="13">
        <v>1</v>
      </c>
      <c r="I581" s="13">
        <v>1</v>
      </c>
      <c r="J581" s="16">
        <v>8000.0</v>
      </c>
      <c r="K581" s="16"/>
      <c r="L581" s="18">
        <f>IF(J581&gt;0, K581/J581, 0)</f>
        <v>0</v>
      </c>
      <c r="M581" s="16">
        <v>8000.0</v>
      </c>
      <c r="N581" s="16"/>
      <c r="O581" s="16">
        <f>M581-N581</f>
        <v>8000</v>
      </c>
      <c r="P581" s="11" t="s">
        <v>42</v>
      </c>
      <c r="Q581" s="11" t="s">
        <v>43</v>
      </c>
      <c r="R581" s="11" t="s">
        <v>44</v>
      </c>
      <c r="S581" s="9" t="s">
        <v>2098</v>
      </c>
      <c r="T581" s="9" t="s">
        <v>44</v>
      </c>
    </row>
    <row r="582" spans="1:20">
      <c r="A582" s="10">
        <v>575</v>
      </c>
      <c r="B582" s="10" t="s">
        <v>868</v>
      </c>
      <c r="C582" s="10" t="s">
        <v>847</v>
      </c>
      <c r="D582" s="10" t="s">
        <v>655</v>
      </c>
      <c r="E582" s="10" t="s">
        <v>34</v>
      </c>
      <c r="F582" s="10" t="s">
        <v>35</v>
      </c>
      <c r="G582" s="8" t="s">
        <v>41</v>
      </c>
      <c r="H582" s="12">
        <v>1</v>
      </c>
      <c r="I582" s="12">
        <v>1</v>
      </c>
      <c r="J582" s="15">
        <v>8000.0</v>
      </c>
      <c r="K582" s="15"/>
      <c r="L582" s="17">
        <f>IF(J582&gt;0, K582/J582, 0)</f>
        <v>0</v>
      </c>
      <c r="M582" s="15">
        <v>8000.0</v>
      </c>
      <c r="N582" s="15"/>
      <c r="O582" s="15">
        <f>M582-N582</f>
        <v>8000</v>
      </c>
      <c r="P582" s="10" t="s">
        <v>42</v>
      </c>
      <c r="Q582" s="10" t="s">
        <v>43</v>
      </c>
      <c r="R582" s="10" t="s">
        <v>44</v>
      </c>
      <c r="S582" s="8" t="s">
        <v>2144</v>
      </c>
      <c r="T582" s="8" t="s">
        <v>44</v>
      </c>
    </row>
    <row r="583" spans="1:20">
      <c r="A583" s="11">
        <v>576</v>
      </c>
      <c r="B583" s="11" t="s">
        <v>869</v>
      </c>
      <c r="C583" s="11" t="s">
        <v>847</v>
      </c>
      <c r="D583" s="11" t="s">
        <v>655</v>
      </c>
      <c r="E583" s="11" t="s">
        <v>34</v>
      </c>
      <c r="F583" s="11" t="s">
        <v>35</v>
      </c>
      <c r="G583" s="9" t="s">
        <v>41</v>
      </c>
      <c r="H583" s="13">
        <v>1</v>
      </c>
      <c r="I583" s="13">
        <v>1</v>
      </c>
      <c r="J583" s="16">
        <v>7000.0</v>
      </c>
      <c r="K583" s="16"/>
      <c r="L583" s="18">
        <f>IF(J583&gt;0, K583/J583, 0)</f>
        <v>0</v>
      </c>
      <c r="M583" s="16">
        <v>7000.0</v>
      </c>
      <c r="N583" s="16"/>
      <c r="O583" s="16">
        <f>M583-N583</f>
        <v>7000</v>
      </c>
      <c r="P583" s="11" t="s">
        <v>42</v>
      </c>
      <c r="Q583" s="11" t="s">
        <v>43</v>
      </c>
      <c r="R583" s="11" t="s">
        <v>44</v>
      </c>
      <c r="S583" s="9" t="s">
        <v>2053</v>
      </c>
      <c r="T583" s="9" t="s">
        <v>44</v>
      </c>
    </row>
    <row r="584" spans="1:20">
      <c r="A584" s="10">
        <v>577</v>
      </c>
      <c r="B584" s="10" t="s">
        <v>870</v>
      </c>
      <c r="C584" s="10" t="s">
        <v>847</v>
      </c>
      <c r="D584" s="10" t="s">
        <v>655</v>
      </c>
      <c r="E584" s="10" t="s">
        <v>34</v>
      </c>
      <c r="F584" s="10" t="s">
        <v>35</v>
      </c>
      <c r="G584" s="8" t="s">
        <v>41</v>
      </c>
      <c r="H584" s="12">
        <v>1</v>
      </c>
      <c r="I584" s="12">
        <v>1</v>
      </c>
      <c r="J584" s="15">
        <v>16000.0</v>
      </c>
      <c r="K584" s="15"/>
      <c r="L584" s="17">
        <f>IF(J584&gt;0, K584/J584, 0)</f>
        <v>0</v>
      </c>
      <c r="M584" s="15">
        <v>16000.0</v>
      </c>
      <c r="N584" s="15"/>
      <c r="O584" s="15">
        <f>M584-N584</f>
        <v>16000</v>
      </c>
      <c r="P584" s="10" t="s">
        <v>42</v>
      </c>
      <c r="Q584" s="10" t="s">
        <v>43</v>
      </c>
      <c r="R584" s="10" t="s">
        <v>44</v>
      </c>
      <c r="S584" s="8" t="s">
        <v>2072</v>
      </c>
      <c r="T584" s="8" t="s">
        <v>44</v>
      </c>
    </row>
    <row r="585" spans="1:20">
      <c r="A585" s="11">
        <v>578</v>
      </c>
      <c r="B585" s="11" t="s">
        <v>871</v>
      </c>
      <c r="C585" s="11" t="s">
        <v>847</v>
      </c>
      <c r="D585" s="11" t="s">
        <v>655</v>
      </c>
      <c r="E585" s="11" t="s">
        <v>34</v>
      </c>
      <c r="F585" s="11" t="s">
        <v>35</v>
      </c>
      <c r="G585" s="9" t="s">
        <v>41</v>
      </c>
      <c r="H585" s="13">
        <v>1</v>
      </c>
      <c r="I585" s="13">
        <v>1</v>
      </c>
      <c r="J585" s="16">
        <v>7500.0</v>
      </c>
      <c r="K585" s="16"/>
      <c r="L585" s="18">
        <f>IF(J585&gt;0, K585/J585, 0)</f>
        <v>0</v>
      </c>
      <c r="M585" s="16">
        <v>7500.0</v>
      </c>
      <c r="N585" s="16"/>
      <c r="O585" s="16">
        <f>M585-N585</f>
        <v>7500</v>
      </c>
      <c r="P585" s="11" t="s">
        <v>42</v>
      </c>
      <c r="Q585" s="11" t="s">
        <v>43</v>
      </c>
      <c r="R585" s="11" t="s">
        <v>44</v>
      </c>
      <c r="S585" s="9" t="s">
        <v>2023</v>
      </c>
      <c r="T585" s="9" t="s">
        <v>44</v>
      </c>
    </row>
    <row r="586" spans="1:20">
      <c r="A586" s="10">
        <v>579</v>
      </c>
      <c r="B586" s="10" t="s">
        <v>872</v>
      </c>
      <c r="C586" s="10" t="s">
        <v>847</v>
      </c>
      <c r="D586" s="10" t="s">
        <v>655</v>
      </c>
      <c r="E586" s="10" t="s">
        <v>70</v>
      </c>
      <c r="F586" s="10" t="s">
        <v>35</v>
      </c>
      <c r="G586" s="8" t="s">
        <v>41</v>
      </c>
      <c r="H586" s="12">
        <v>1</v>
      </c>
      <c r="I586" s="12">
        <v>1</v>
      </c>
      <c r="J586" s="15">
        <v>11000.0</v>
      </c>
      <c r="K586" s="15"/>
      <c r="L586" s="17">
        <f>IF(J586&gt;0, K586/J586, 0)</f>
        <v>0</v>
      </c>
      <c r="M586" s="15">
        <v>11000.0</v>
      </c>
      <c r="N586" s="15"/>
      <c r="O586" s="15">
        <f>M586-N586</f>
        <v>11000</v>
      </c>
      <c r="P586" s="10" t="s">
        <v>42</v>
      </c>
      <c r="Q586" s="10" t="s">
        <v>73</v>
      </c>
      <c r="R586" s="10" t="s">
        <v>44</v>
      </c>
      <c r="S586" s="8" t="s">
        <v>2075</v>
      </c>
      <c r="T586" s="8" t="s">
        <v>44</v>
      </c>
    </row>
    <row r="587" spans="1:20">
      <c r="A587" s="11">
        <v>580</v>
      </c>
      <c r="B587" s="11" t="s">
        <v>873</v>
      </c>
      <c r="C587" s="11" t="s">
        <v>847</v>
      </c>
      <c r="D587" s="11" t="s">
        <v>655</v>
      </c>
      <c r="E587" s="11" t="s">
        <v>70</v>
      </c>
      <c r="F587" s="11" t="s">
        <v>35</v>
      </c>
      <c r="G587" s="9" t="s">
        <v>41</v>
      </c>
      <c r="H587" s="13">
        <v>1</v>
      </c>
      <c r="I587" s="13">
        <v>1</v>
      </c>
      <c r="J587" s="16">
        <v>10000.0</v>
      </c>
      <c r="K587" s="16"/>
      <c r="L587" s="18">
        <f>IF(J587&gt;0, K587/J587, 0)</f>
        <v>0</v>
      </c>
      <c r="M587" s="16">
        <v>10000.0</v>
      </c>
      <c r="N587" s="16"/>
      <c r="O587" s="16">
        <f>M587-N587</f>
        <v>10000</v>
      </c>
      <c r="P587" s="11" t="s">
        <v>42</v>
      </c>
      <c r="Q587" s="11" t="s">
        <v>73</v>
      </c>
      <c r="R587" s="11" t="s">
        <v>44</v>
      </c>
      <c r="S587" s="9" t="s">
        <v>2028</v>
      </c>
      <c r="T587" s="9" t="s">
        <v>44</v>
      </c>
    </row>
    <row r="588" spans="1:20">
      <c r="A588" s="10">
        <v>581</v>
      </c>
      <c r="B588" s="10" t="s">
        <v>874</v>
      </c>
      <c r="C588" s="10" t="s">
        <v>847</v>
      </c>
      <c r="D588" s="10" t="s">
        <v>655</v>
      </c>
      <c r="E588" s="10" t="s">
        <v>34</v>
      </c>
      <c r="F588" s="10" t="s">
        <v>35</v>
      </c>
      <c r="G588" s="8" t="s">
        <v>41</v>
      </c>
      <c r="H588" s="12">
        <v>1</v>
      </c>
      <c r="I588" s="12">
        <v>1</v>
      </c>
      <c r="J588" s="15">
        <v>8000.0</v>
      </c>
      <c r="K588" s="15"/>
      <c r="L588" s="17">
        <f>IF(J588&gt;0, K588/J588, 0)</f>
        <v>0</v>
      </c>
      <c r="M588" s="15">
        <v>8000.0</v>
      </c>
      <c r="N588" s="15"/>
      <c r="O588" s="15">
        <f>M588-N588</f>
        <v>8000</v>
      </c>
      <c r="P588" s="10" t="s">
        <v>42</v>
      </c>
      <c r="Q588" s="10" t="s">
        <v>43</v>
      </c>
      <c r="R588" s="10" t="s">
        <v>44</v>
      </c>
      <c r="S588" s="8" t="s">
        <v>2087</v>
      </c>
      <c r="T588" s="8" t="s">
        <v>44</v>
      </c>
    </row>
    <row r="589" spans="1:20">
      <c r="A589" s="11">
        <v>582</v>
      </c>
      <c r="B589" s="11" t="s">
        <v>875</v>
      </c>
      <c r="C589" s="11" t="s">
        <v>847</v>
      </c>
      <c r="D589" s="11" t="s">
        <v>655</v>
      </c>
      <c r="E589" s="11" t="s">
        <v>34</v>
      </c>
      <c r="F589" s="11" t="s">
        <v>35</v>
      </c>
      <c r="G589" s="9" t="s">
        <v>41</v>
      </c>
      <c r="H589" s="13">
        <v>1</v>
      </c>
      <c r="I589" s="13">
        <v>1</v>
      </c>
      <c r="J589" s="16">
        <v>8500.0</v>
      </c>
      <c r="K589" s="16"/>
      <c r="L589" s="18">
        <f>IF(J589&gt;0, K589/J589, 0)</f>
        <v>0</v>
      </c>
      <c r="M589" s="16">
        <v>8500.0</v>
      </c>
      <c r="N589" s="16"/>
      <c r="O589" s="16">
        <f>M589-N589</f>
        <v>8500</v>
      </c>
      <c r="P589" s="11" t="s">
        <v>42</v>
      </c>
      <c r="Q589" s="11" t="s">
        <v>43</v>
      </c>
      <c r="R589" s="11" t="s">
        <v>44</v>
      </c>
      <c r="S589" s="9" t="s">
        <v>2024</v>
      </c>
      <c r="T589" s="9" t="s">
        <v>44</v>
      </c>
    </row>
    <row r="590" spans="1:20">
      <c r="A590" s="10">
        <v>583</v>
      </c>
      <c r="B590" s="10" t="s">
        <v>876</v>
      </c>
      <c r="C590" s="10" t="s">
        <v>847</v>
      </c>
      <c r="D590" s="10" t="s">
        <v>655</v>
      </c>
      <c r="E590" s="10" t="s">
        <v>34</v>
      </c>
      <c r="F590" s="10" t="s">
        <v>35</v>
      </c>
      <c r="G590" s="8" t="s">
        <v>41</v>
      </c>
      <c r="H590" s="12">
        <v>1</v>
      </c>
      <c r="I590" s="12">
        <v>1</v>
      </c>
      <c r="J590" s="15">
        <v>7500.0</v>
      </c>
      <c r="K590" s="15"/>
      <c r="L590" s="17">
        <f>IF(J590&gt;0, K590/J590, 0)</f>
        <v>0</v>
      </c>
      <c r="M590" s="15">
        <v>7500.0</v>
      </c>
      <c r="N590" s="15"/>
      <c r="O590" s="15">
        <f>M590-N590</f>
        <v>7500</v>
      </c>
      <c r="P590" s="10" t="s">
        <v>42</v>
      </c>
      <c r="Q590" s="10" t="s">
        <v>43</v>
      </c>
      <c r="R590" s="10" t="s">
        <v>44</v>
      </c>
      <c r="S590" s="8" t="s">
        <v>2023</v>
      </c>
      <c r="T590" s="8" t="s">
        <v>44</v>
      </c>
    </row>
    <row r="591" spans="1:20">
      <c r="A591" s="11">
        <v>584</v>
      </c>
      <c r="B591" s="11" t="s">
        <v>877</v>
      </c>
      <c r="C591" s="11" t="s">
        <v>847</v>
      </c>
      <c r="D591" s="11" t="s">
        <v>655</v>
      </c>
      <c r="E591" s="11" t="s">
        <v>34</v>
      </c>
      <c r="F591" s="11" t="s">
        <v>35</v>
      </c>
      <c r="G591" s="9" t="s">
        <v>41</v>
      </c>
      <c r="H591" s="13">
        <v>1</v>
      </c>
      <c r="I591" s="13">
        <v>1</v>
      </c>
      <c r="J591" s="16">
        <v>7000.0</v>
      </c>
      <c r="K591" s="16"/>
      <c r="L591" s="18">
        <f>IF(J591&gt;0, K591/J591, 0)</f>
        <v>0</v>
      </c>
      <c r="M591" s="16">
        <v>7000.0</v>
      </c>
      <c r="N591" s="16"/>
      <c r="O591" s="16">
        <f>M591-N591</f>
        <v>7000</v>
      </c>
      <c r="P591" s="11" t="s">
        <v>42</v>
      </c>
      <c r="Q591" s="11" t="s">
        <v>43</v>
      </c>
      <c r="R591" s="11" t="s">
        <v>44</v>
      </c>
      <c r="S591" s="9" t="s">
        <v>2077</v>
      </c>
      <c r="T591" s="9" t="s">
        <v>44</v>
      </c>
    </row>
    <row r="592" spans="1:20">
      <c r="A592" s="10">
        <v>585</v>
      </c>
      <c r="B592" s="10" t="s">
        <v>878</v>
      </c>
      <c r="C592" s="10" t="s">
        <v>847</v>
      </c>
      <c r="D592" s="10" t="s">
        <v>655</v>
      </c>
      <c r="E592" s="10" t="s">
        <v>34</v>
      </c>
      <c r="F592" s="10" t="s">
        <v>35</v>
      </c>
      <c r="G592" s="8" t="s">
        <v>41</v>
      </c>
      <c r="H592" s="12">
        <v>1</v>
      </c>
      <c r="I592" s="12">
        <v>1</v>
      </c>
      <c r="J592" s="15">
        <v>8000.0</v>
      </c>
      <c r="K592" s="15"/>
      <c r="L592" s="17">
        <f>IF(J592&gt;0, K592/J592, 0)</f>
        <v>0</v>
      </c>
      <c r="M592" s="15">
        <v>8000.0</v>
      </c>
      <c r="N592" s="15"/>
      <c r="O592" s="15">
        <f>M592-N592</f>
        <v>8000</v>
      </c>
      <c r="P592" s="10" t="s">
        <v>42</v>
      </c>
      <c r="Q592" s="10" t="s">
        <v>43</v>
      </c>
      <c r="R592" s="10" t="s">
        <v>44</v>
      </c>
      <c r="S592" s="8" t="s">
        <v>2137</v>
      </c>
      <c r="T592" s="8" t="s">
        <v>44</v>
      </c>
    </row>
    <row r="593" spans="1:20">
      <c r="A593" s="11">
        <v>586</v>
      </c>
      <c r="B593" s="11" t="s">
        <v>879</v>
      </c>
      <c r="C593" s="11" t="s">
        <v>847</v>
      </c>
      <c r="D593" s="11" t="s">
        <v>655</v>
      </c>
      <c r="E593" s="11" t="s">
        <v>34</v>
      </c>
      <c r="F593" s="11" t="s">
        <v>35</v>
      </c>
      <c r="G593" s="9" t="s">
        <v>41</v>
      </c>
      <c r="H593" s="13">
        <v>1</v>
      </c>
      <c r="I593" s="13">
        <v>1</v>
      </c>
      <c r="J593" s="16">
        <v>8000.0</v>
      </c>
      <c r="K593" s="16"/>
      <c r="L593" s="18">
        <f>IF(J593&gt;0, K593/J593, 0)</f>
        <v>0</v>
      </c>
      <c r="M593" s="16">
        <v>8000.0</v>
      </c>
      <c r="N593" s="16"/>
      <c r="O593" s="16">
        <f>M593-N593</f>
        <v>8000</v>
      </c>
      <c r="P593" s="11" t="s">
        <v>42</v>
      </c>
      <c r="Q593" s="11" t="s">
        <v>43</v>
      </c>
      <c r="R593" s="11" t="s">
        <v>44</v>
      </c>
      <c r="S593" s="9" t="s">
        <v>2051</v>
      </c>
      <c r="T593" s="9" t="s">
        <v>44</v>
      </c>
    </row>
    <row r="594" spans="1:20">
      <c r="A594" s="10">
        <v>587</v>
      </c>
      <c r="B594" s="10" t="s">
        <v>880</v>
      </c>
      <c r="C594" s="10" t="s">
        <v>847</v>
      </c>
      <c r="D594" s="10" t="s">
        <v>655</v>
      </c>
      <c r="E594" s="10" t="s">
        <v>34</v>
      </c>
      <c r="F594" s="10" t="s">
        <v>35</v>
      </c>
      <c r="G594" s="8" t="s">
        <v>41</v>
      </c>
      <c r="H594" s="12">
        <v>1</v>
      </c>
      <c r="I594" s="12">
        <v>1</v>
      </c>
      <c r="J594" s="15">
        <v>8000.0</v>
      </c>
      <c r="K594" s="15"/>
      <c r="L594" s="17">
        <f>IF(J594&gt;0, K594/J594, 0)</f>
        <v>0</v>
      </c>
      <c r="M594" s="15">
        <v>8000.0</v>
      </c>
      <c r="N594" s="15"/>
      <c r="O594" s="15">
        <f>M594-N594</f>
        <v>8000</v>
      </c>
      <c r="P594" s="10" t="s">
        <v>42</v>
      </c>
      <c r="Q594" s="10" t="s">
        <v>43</v>
      </c>
      <c r="R594" s="10" t="s">
        <v>44</v>
      </c>
      <c r="S594" s="8" t="s">
        <v>2062</v>
      </c>
      <c r="T594" s="8" t="s">
        <v>44</v>
      </c>
    </row>
    <row r="595" spans="1:20">
      <c r="A595" s="11">
        <v>588</v>
      </c>
      <c r="B595" s="11" t="s">
        <v>881</v>
      </c>
      <c r="C595" s="11" t="s">
        <v>847</v>
      </c>
      <c r="D595" s="11" t="s">
        <v>655</v>
      </c>
      <c r="E595" s="11" t="s">
        <v>34</v>
      </c>
      <c r="F595" s="11" t="s">
        <v>35</v>
      </c>
      <c r="G595" s="9" t="s">
        <v>41</v>
      </c>
      <c r="H595" s="13">
        <v>1</v>
      </c>
      <c r="I595" s="13">
        <v>1</v>
      </c>
      <c r="J595" s="16">
        <v>16000.0</v>
      </c>
      <c r="K595" s="16"/>
      <c r="L595" s="18">
        <f>IF(J595&gt;0, K595/J595, 0)</f>
        <v>0</v>
      </c>
      <c r="M595" s="16">
        <v>16000.0</v>
      </c>
      <c r="N595" s="16"/>
      <c r="O595" s="16">
        <f>M595-N595</f>
        <v>16000</v>
      </c>
      <c r="P595" s="11" t="s">
        <v>42</v>
      </c>
      <c r="Q595" s="11" t="s">
        <v>43</v>
      </c>
      <c r="R595" s="11" t="s">
        <v>44</v>
      </c>
      <c r="S595" s="9" t="s">
        <v>2073</v>
      </c>
      <c r="T595" s="9" t="s">
        <v>44</v>
      </c>
    </row>
    <row r="596" spans="1:20">
      <c r="A596" s="10">
        <v>589</v>
      </c>
      <c r="B596" s="10" t="s">
        <v>882</v>
      </c>
      <c r="C596" s="10" t="s">
        <v>847</v>
      </c>
      <c r="D596" s="10" t="s">
        <v>655</v>
      </c>
      <c r="E596" s="10" t="s">
        <v>34</v>
      </c>
      <c r="F596" s="10" t="s">
        <v>35</v>
      </c>
      <c r="G596" s="8" t="s">
        <v>41</v>
      </c>
      <c r="H596" s="12">
        <v>1</v>
      </c>
      <c r="I596" s="12">
        <v>1</v>
      </c>
      <c r="J596" s="15">
        <v>8500.0</v>
      </c>
      <c r="K596" s="15"/>
      <c r="L596" s="17">
        <f>IF(J596&gt;0, K596/J596, 0)</f>
        <v>0</v>
      </c>
      <c r="M596" s="15">
        <v>8500.0</v>
      </c>
      <c r="N596" s="15"/>
      <c r="O596" s="15">
        <f>M596-N596</f>
        <v>8500</v>
      </c>
      <c r="P596" s="10" t="s">
        <v>42</v>
      </c>
      <c r="Q596" s="10" t="s">
        <v>43</v>
      </c>
      <c r="R596" s="10" t="s">
        <v>44</v>
      </c>
      <c r="S596" s="8" t="s">
        <v>2103</v>
      </c>
      <c r="T596" s="8" t="s">
        <v>44</v>
      </c>
    </row>
    <row r="597" spans="1:20">
      <c r="A597" s="11">
        <v>590</v>
      </c>
      <c r="B597" s="11" t="s">
        <v>883</v>
      </c>
      <c r="C597" s="11" t="s">
        <v>847</v>
      </c>
      <c r="D597" s="11" t="s">
        <v>655</v>
      </c>
      <c r="E597" s="11" t="s">
        <v>34</v>
      </c>
      <c r="F597" s="11" t="s">
        <v>35</v>
      </c>
      <c r="G597" s="9" t="s">
        <v>41</v>
      </c>
      <c r="H597" s="13">
        <v>1</v>
      </c>
      <c r="I597" s="13">
        <v>1</v>
      </c>
      <c r="J597" s="16">
        <v>8000.0</v>
      </c>
      <c r="K597" s="16"/>
      <c r="L597" s="18">
        <f>IF(J597&gt;0, K597/J597, 0)</f>
        <v>0</v>
      </c>
      <c r="M597" s="16">
        <v>8000.0</v>
      </c>
      <c r="N597" s="16"/>
      <c r="O597" s="16">
        <f>M597-N597</f>
        <v>8000</v>
      </c>
      <c r="P597" s="11" t="s">
        <v>42</v>
      </c>
      <c r="Q597" s="11" t="s">
        <v>43</v>
      </c>
      <c r="R597" s="11" t="s">
        <v>44</v>
      </c>
      <c r="S597" s="9" t="s">
        <v>2068</v>
      </c>
      <c r="T597" s="9" t="s">
        <v>44</v>
      </c>
    </row>
    <row r="598" spans="1:20">
      <c r="A598" s="10">
        <v>591</v>
      </c>
      <c r="B598" s="10" t="s">
        <v>884</v>
      </c>
      <c r="C598" s="10" t="s">
        <v>847</v>
      </c>
      <c r="D598" s="10" t="s">
        <v>655</v>
      </c>
      <c r="E598" s="10" t="s">
        <v>34</v>
      </c>
      <c r="F598" s="10" t="s">
        <v>35</v>
      </c>
      <c r="G598" s="8" t="s">
        <v>41</v>
      </c>
      <c r="H598" s="12">
        <v>1</v>
      </c>
      <c r="I598" s="12">
        <v>1</v>
      </c>
      <c r="J598" s="15">
        <v>16000.0</v>
      </c>
      <c r="K598" s="15"/>
      <c r="L598" s="17">
        <f>IF(J598&gt;0, K598/J598, 0)</f>
        <v>0</v>
      </c>
      <c r="M598" s="15">
        <v>16000.0</v>
      </c>
      <c r="N598" s="15"/>
      <c r="O598" s="15">
        <f>M598-N598</f>
        <v>16000</v>
      </c>
      <c r="P598" s="10" t="s">
        <v>42</v>
      </c>
      <c r="Q598" s="10" t="s">
        <v>43</v>
      </c>
      <c r="R598" s="10" t="s">
        <v>44</v>
      </c>
      <c r="S598" s="8" t="s">
        <v>2090</v>
      </c>
      <c r="T598" s="8" t="s">
        <v>44</v>
      </c>
    </row>
    <row r="599" spans="1:20">
      <c r="A599" s="11">
        <v>592</v>
      </c>
      <c r="B599" s="11" t="s">
        <v>885</v>
      </c>
      <c r="C599" s="11" t="s">
        <v>847</v>
      </c>
      <c r="D599" s="11" t="s">
        <v>655</v>
      </c>
      <c r="E599" s="11" t="s">
        <v>34</v>
      </c>
      <c r="F599" s="11" t="s">
        <v>35</v>
      </c>
      <c r="G599" s="9" t="s">
        <v>41</v>
      </c>
      <c r="H599" s="13">
        <v>1</v>
      </c>
      <c r="I599" s="13">
        <v>2</v>
      </c>
      <c r="J599" s="16">
        <v>14000.0</v>
      </c>
      <c r="K599" s="16"/>
      <c r="L599" s="18">
        <f>IF(J599&gt;0, K599/J599, 0)</f>
        <v>0</v>
      </c>
      <c r="M599" s="16">
        <v>14000.0</v>
      </c>
      <c r="N599" s="16"/>
      <c r="O599" s="16">
        <f>M599-N599</f>
        <v>14000</v>
      </c>
      <c r="P599" s="11" t="s">
        <v>42</v>
      </c>
      <c r="Q599" s="11" t="s">
        <v>43</v>
      </c>
      <c r="R599" s="11" t="s">
        <v>44</v>
      </c>
      <c r="S599" s="9" t="s">
        <v>2063</v>
      </c>
      <c r="T599" s="9" t="s">
        <v>44</v>
      </c>
    </row>
    <row r="600" spans="1:20">
      <c r="A600" s="10">
        <v>593</v>
      </c>
      <c r="B600" s="10" t="s">
        <v>886</v>
      </c>
      <c r="C600" s="10" t="s">
        <v>847</v>
      </c>
      <c r="D600" s="10" t="s">
        <v>655</v>
      </c>
      <c r="E600" s="10" t="s">
        <v>34</v>
      </c>
      <c r="F600" s="10" t="s">
        <v>35</v>
      </c>
      <c r="G600" s="8" t="s">
        <v>41</v>
      </c>
      <c r="H600" s="12">
        <v>1</v>
      </c>
      <c r="I600" s="12">
        <v>1</v>
      </c>
      <c r="J600" s="15">
        <v>7500.0</v>
      </c>
      <c r="K600" s="15"/>
      <c r="L600" s="17">
        <f>IF(J600&gt;0, K600/J600, 0)</f>
        <v>0</v>
      </c>
      <c r="M600" s="15">
        <v>7500.0</v>
      </c>
      <c r="N600" s="15"/>
      <c r="O600" s="15">
        <f>M600-N600</f>
        <v>7500</v>
      </c>
      <c r="P600" s="10" t="s">
        <v>42</v>
      </c>
      <c r="Q600" s="10" t="s">
        <v>43</v>
      </c>
      <c r="R600" s="10" t="s">
        <v>44</v>
      </c>
      <c r="S600" s="8" t="s">
        <v>2074</v>
      </c>
      <c r="T600" s="8" t="s">
        <v>44</v>
      </c>
    </row>
    <row r="601" spans="1:20">
      <c r="A601" s="11">
        <v>594</v>
      </c>
      <c r="B601" s="11" t="s">
        <v>887</v>
      </c>
      <c r="C601" s="11" t="s">
        <v>847</v>
      </c>
      <c r="D601" s="11" t="s">
        <v>655</v>
      </c>
      <c r="E601" s="11" t="s">
        <v>34</v>
      </c>
      <c r="F601" s="11" t="s">
        <v>35</v>
      </c>
      <c r="G601" s="9" t="s">
        <v>41</v>
      </c>
      <c r="H601" s="13">
        <v>1</v>
      </c>
      <c r="I601" s="13">
        <v>1</v>
      </c>
      <c r="J601" s="16">
        <v>8000.0</v>
      </c>
      <c r="K601" s="16"/>
      <c r="L601" s="18">
        <f>IF(J601&gt;0, K601/J601, 0)</f>
        <v>0</v>
      </c>
      <c r="M601" s="16">
        <v>8000.0</v>
      </c>
      <c r="N601" s="16"/>
      <c r="O601" s="16">
        <f>M601-N601</f>
        <v>8000</v>
      </c>
      <c r="P601" s="11" t="s">
        <v>42</v>
      </c>
      <c r="Q601" s="11" t="s">
        <v>43</v>
      </c>
      <c r="R601" s="11" t="s">
        <v>44</v>
      </c>
      <c r="S601" s="9" t="s">
        <v>2105</v>
      </c>
      <c r="T601" s="9" t="s">
        <v>44</v>
      </c>
    </row>
    <row r="602" spans="1:20">
      <c r="A602" s="10">
        <v>595</v>
      </c>
      <c r="B602" s="10" t="s">
        <v>888</v>
      </c>
      <c r="C602" s="10" t="s">
        <v>847</v>
      </c>
      <c r="D602" s="10" t="s">
        <v>655</v>
      </c>
      <c r="E602" s="10" t="s">
        <v>34</v>
      </c>
      <c r="F602" s="10" t="s">
        <v>35</v>
      </c>
      <c r="G602" s="8" t="s">
        <v>41</v>
      </c>
      <c r="H602" s="12">
        <v>1</v>
      </c>
      <c r="I602" s="12">
        <v>1</v>
      </c>
      <c r="J602" s="15">
        <v>8000.0</v>
      </c>
      <c r="K602" s="15"/>
      <c r="L602" s="17">
        <f>IF(J602&gt;0, K602/J602, 0)</f>
        <v>0</v>
      </c>
      <c r="M602" s="15">
        <v>8000.0</v>
      </c>
      <c r="N602" s="15"/>
      <c r="O602" s="15">
        <f>M602-N602</f>
        <v>8000</v>
      </c>
      <c r="P602" s="10" t="s">
        <v>42</v>
      </c>
      <c r="Q602" s="10" t="s">
        <v>43</v>
      </c>
      <c r="R602" s="10" t="s">
        <v>44</v>
      </c>
      <c r="S602" s="8" t="s">
        <v>2068</v>
      </c>
      <c r="T602" s="8" t="s">
        <v>44</v>
      </c>
    </row>
    <row r="603" spans="1:20">
      <c r="A603" s="11">
        <v>596</v>
      </c>
      <c r="B603" s="11" t="s">
        <v>889</v>
      </c>
      <c r="C603" s="11" t="s">
        <v>847</v>
      </c>
      <c r="D603" s="11" t="s">
        <v>655</v>
      </c>
      <c r="E603" s="11" t="s">
        <v>34</v>
      </c>
      <c r="F603" s="11" t="s">
        <v>35</v>
      </c>
      <c r="G603" s="9" t="s">
        <v>41</v>
      </c>
      <c r="H603" s="13">
        <v>1</v>
      </c>
      <c r="I603" s="13">
        <v>1</v>
      </c>
      <c r="J603" s="16">
        <v>18000.0</v>
      </c>
      <c r="K603" s="16"/>
      <c r="L603" s="18">
        <f>IF(J603&gt;0, K603/J603, 0)</f>
        <v>0</v>
      </c>
      <c r="M603" s="16">
        <v>18000.0</v>
      </c>
      <c r="N603" s="16"/>
      <c r="O603" s="16">
        <f>M603-N603</f>
        <v>18000</v>
      </c>
      <c r="P603" s="11" t="s">
        <v>42</v>
      </c>
      <c r="Q603" s="11" t="s">
        <v>43</v>
      </c>
      <c r="R603" s="11" t="s">
        <v>44</v>
      </c>
      <c r="S603" s="9" t="s">
        <v>2049</v>
      </c>
      <c r="T603" s="9" t="s">
        <v>44</v>
      </c>
    </row>
    <row r="604" spans="1:20">
      <c r="A604" s="10">
        <v>597</v>
      </c>
      <c r="B604" s="10" t="s">
        <v>890</v>
      </c>
      <c r="C604" s="10" t="s">
        <v>847</v>
      </c>
      <c r="D604" s="10" t="s">
        <v>655</v>
      </c>
      <c r="E604" s="10" t="s">
        <v>34</v>
      </c>
      <c r="F604" s="10" t="s">
        <v>35</v>
      </c>
      <c r="G604" s="8" t="s">
        <v>41</v>
      </c>
      <c r="H604" s="12">
        <v>1</v>
      </c>
      <c r="I604" s="12">
        <v>1</v>
      </c>
      <c r="J604" s="15">
        <v>9000.0</v>
      </c>
      <c r="K604" s="15"/>
      <c r="L604" s="17">
        <f>IF(J604&gt;0, K604/J604, 0)</f>
        <v>0</v>
      </c>
      <c r="M604" s="15">
        <v>9000.0</v>
      </c>
      <c r="N604" s="15"/>
      <c r="O604" s="15">
        <f>M604-N604</f>
        <v>9000</v>
      </c>
      <c r="P604" s="10" t="s">
        <v>42</v>
      </c>
      <c r="Q604" s="10" t="s">
        <v>43</v>
      </c>
      <c r="R604" s="10" t="s">
        <v>44</v>
      </c>
      <c r="S604" s="8" t="s">
        <v>2148</v>
      </c>
      <c r="T604" s="8" t="s">
        <v>44</v>
      </c>
    </row>
    <row r="605" spans="1:20">
      <c r="A605" s="11">
        <v>598</v>
      </c>
      <c r="B605" s="11" t="s">
        <v>891</v>
      </c>
      <c r="C605" s="11" t="s">
        <v>847</v>
      </c>
      <c r="D605" s="11" t="s">
        <v>655</v>
      </c>
      <c r="E605" s="11" t="s">
        <v>34</v>
      </c>
      <c r="F605" s="11" t="s">
        <v>35</v>
      </c>
      <c r="G605" s="9" t="s">
        <v>41</v>
      </c>
      <c r="H605" s="13">
        <v>1</v>
      </c>
      <c r="I605" s="13">
        <v>2</v>
      </c>
      <c r="J605" s="16">
        <v>16000.0</v>
      </c>
      <c r="K605" s="16"/>
      <c r="L605" s="18">
        <f>IF(J605&gt;0, K605/J605, 0)</f>
        <v>0</v>
      </c>
      <c r="M605" s="16">
        <v>16000.0</v>
      </c>
      <c r="N605" s="16"/>
      <c r="O605" s="16">
        <f>M605-N605</f>
        <v>16000</v>
      </c>
      <c r="P605" s="11" t="s">
        <v>42</v>
      </c>
      <c r="Q605" s="11" t="s">
        <v>43</v>
      </c>
      <c r="R605" s="11" t="s">
        <v>44</v>
      </c>
      <c r="S605" s="9" t="s">
        <v>2050</v>
      </c>
      <c r="T605" s="9" t="s">
        <v>44</v>
      </c>
    </row>
    <row r="606" spans="1:20">
      <c r="A606" s="10">
        <v>599</v>
      </c>
      <c r="B606" s="10" t="s">
        <v>892</v>
      </c>
      <c r="C606" s="10" t="s">
        <v>847</v>
      </c>
      <c r="D606" s="10" t="s">
        <v>655</v>
      </c>
      <c r="E606" s="10" t="s">
        <v>34</v>
      </c>
      <c r="F606" s="10" t="s">
        <v>35</v>
      </c>
      <c r="G606" s="8" t="s">
        <v>41</v>
      </c>
      <c r="H606" s="12">
        <v>1</v>
      </c>
      <c r="I606" s="12">
        <v>1</v>
      </c>
      <c r="J606" s="15">
        <v>8500.0</v>
      </c>
      <c r="K606" s="15"/>
      <c r="L606" s="17">
        <f>IF(J606&gt;0, K606/J606, 0)</f>
        <v>0</v>
      </c>
      <c r="M606" s="15">
        <v>8500.0</v>
      </c>
      <c r="N606" s="15"/>
      <c r="O606" s="15">
        <f>M606-N606</f>
        <v>8500</v>
      </c>
      <c r="P606" s="10" t="s">
        <v>42</v>
      </c>
      <c r="Q606" s="10" t="s">
        <v>43</v>
      </c>
      <c r="R606" s="10" t="s">
        <v>44</v>
      </c>
      <c r="S606" s="8" t="s">
        <v>2024</v>
      </c>
      <c r="T606" s="8" t="s">
        <v>44</v>
      </c>
    </row>
    <row r="607" spans="1:20">
      <c r="A607" s="11">
        <v>600</v>
      </c>
      <c r="B607" s="11" t="s">
        <v>893</v>
      </c>
      <c r="C607" s="11" t="s">
        <v>847</v>
      </c>
      <c r="D607" s="11" t="s">
        <v>655</v>
      </c>
      <c r="E607" s="11" t="s">
        <v>34</v>
      </c>
      <c r="F607" s="11" t="s">
        <v>35</v>
      </c>
      <c r="G607" s="9" t="s">
        <v>41</v>
      </c>
      <c r="H607" s="13">
        <v>1</v>
      </c>
      <c r="I607" s="13">
        <v>1</v>
      </c>
      <c r="J607" s="16">
        <v>8500.0</v>
      </c>
      <c r="K607" s="16"/>
      <c r="L607" s="18">
        <f>IF(J607&gt;0, K607/J607, 0)</f>
        <v>0</v>
      </c>
      <c r="M607" s="16">
        <v>8500.0</v>
      </c>
      <c r="N607" s="16"/>
      <c r="O607" s="16">
        <f>M607-N607</f>
        <v>8500</v>
      </c>
      <c r="P607" s="11" t="s">
        <v>42</v>
      </c>
      <c r="Q607" s="11" t="s">
        <v>43</v>
      </c>
      <c r="R607" s="11" t="s">
        <v>44</v>
      </c>
      <c r="S607" s="9" t="s">
        <v>2045</v>
      </c>
      <c r="T607" s="9" t="s">
        <v>44</v>
      </c>
    </row>
    <row r="608" spans="1:20">
      <c r="A608" s="10">
        <v>601</v>
      </c>
      <c r="B608" s="10" t="s">
        <v>894</v>
      </c>
      <c r="C608" s="10" t="s">
        <v>847</v>
      </c>
      <c r="D608" s="10" t="s">
        <v>655</v>
      </c>
      <c r="E608" s="10" t="s">
        <v>34</v>
      </c>
      <c r="F608" s="10" t="s">
        <v>35</v>
      </c>
      <c r="G608" s="8" t="s">
        <v>41</v>
      </c>
      <c r="H608" s="12">
        <v>1</v>
      </c>
      <c r="I608" s="12">
        <v>2</v>
      </c>
      <c r="J608" s="15">
        <v>14000.0</v>
      </c>
      <c r="K608" s="15"/>
      <c r="L608" s="17">
        <f>IF(J608&gt;0, K608/J608, 0)</f>
        <v>0</v>
      </c>
      <c r="M608" s="15">
        <v>14000.0</v>
      </c>
      <c r="N608" s="15"/>
      <c r="O608" s="15">
        <f>M608-N608</f>
        <v>14000</v>
      </c>
      <c r="P608" s="10" t="s">
        <v>42</v>
      </c>
      <c r="Q608" s="10" t="s">
        <v>43</v>
      </c>
      <c r="R608" s="10" t="s">
        <v>44</v>
      </c>
      <c r="S608" s="8" t="s">
        <v>2140</v>
      </c>
      <c r="T608" s="8" t="s">
        <v>44</v>
      </c>
    </row>
    <row r="609" spans="1:20">
      <c r="A609" s="11">
        <v>602</v>
      </c>
      <c r="B609" s="11" t="s">
        <v>895</v>
      </c>
      <c r="C609" s="11" t="s">
        <v>847</v>
      </c>
      <c r="D609" s="11" t="s">
        <v>655</v>
      </c>
      <c r="E609" s="11" t="s">
        <v>34</v>
      </c>
      <c r="F609" s="11" t="s">
        <v>35</v>
      </c>
      <c r="G609" s="9" t="s">
        <v>41</v>
      </c>
      <c r="H609" s="13">
        <v>1</v>
      </c>
      <c r="I609" s="13">
        <v>1</v>
      </c>
      <c r="J609" s="16">
        <v>8000.0</v>
      </c>
      <c r="K609" s="16"/>
      <c r="L609" s="18">
        <f>IF(J609&gt;0, K609/J609, 0)</f>
        <v>0</v>
      </c>
      <c r="M609" s="16">
        <v>8000.0</v>
      </c>
      <c r="N609" s="16"/>
      <c r="O609" s="16">
        <f>M609-N609</f>
        <v>8000</v>
      </c>
      <c r="P609" s="11" t="s">
        <v>42</v>
      </c>
      <c r="Q609" s="11" t="s">
        <v>43</v>
      </c>
      <c r="R609" s="11" t="s">
        <v>44</v>
      </c>
      <c r="S609" s="9" t="s">
        <v>2024</v>
      </c>
      <c r="T609" s="9" t="s">
        <v>44</v>
      </c>
    </row>
    <row r="610" spans="1:20">
      <c r="A610" s="10">
        <v>603</v>
      </c>
      <c r="B610" s="10" t="s">
        <v>896</v>
      </c>
      <c r="C610" s="10" t="s">
        <v>847</v>
      </c>
      <c r="D610" s="10" t="s">
        <v>655</v>
      </c>
      <c r="E610" s="10" t="s">
        <v>34</v>
      </c>
      <c r="F610" s="10" t="s">
        <v>35</v>
      </c>
      <c r="G610" s="8" t="s">
        <v>41</v>
      </c>
      <c r="H610" s="12">
        <v>1</v>
      </c>
      <c r="I610" s="12">
        <v>1</v>
      </c>
      <c r="J610" s="15">
        <v>8000.0</v>
      </c>
      <c r="K610" s="15"/>
      <c r="L610" s="17">
        <f>IF(J610&gt;0, K610/J610, 0)</f>
        <v>0</v>
      </c>
      <c r="M610" s="15">
        <v>8000.0</v>
      </c>
      <c r="N610" s="15"/>
      <c r="O610" s="15">
        <f>M610-N610</f>
        <v>8000</v>
      </c>
      <c r="P610" s="10" t="s">
        <v>42</v>
      </c>
      <c r="Q610" s="10" t="s">
        <v>43</v>
      </c>
      <c r="R610" s="10" t="s">
        <v>44</v>
      </c>
      <c r="S610" s="8" t="s">
        <v>2068</v>
      </c>
      <c r="T610" s="8" t="s">
        <v>44</v>
      </c>
    </row>
    <row r="611" spans="1:20">
      <c r="A611" s="11">
        <v>604</v>
      </c>
      <c r="B611" s="11" t="s">
        <v>897</v>
      </c>
      <c r="C611" s="11" t="s">
        <v>847</v>
      </c>
      <c r="D611" s="11" t="s">
        <v>655</v>
      </c>
      <c r="E611" s="11" t="s">
        <v>34</v>
      </c>
      <c r="F611" s="11" t="s">
        <v>35</v>
      </c>
      <c r="G611" s="9" t="s">
        <v>41</v>
      </c>
      <c r="H611" s="13">
        <v>1</v>
      </c>
      <c r="I611" s="13">
        <v>2</v>
      </c>
      <c r="J611" s="16">
        <v>14000.0</v>
      </c>
      <c r="K611" s="16"/>
      <c r="L611" s="18">
        <f>IF(J611&gt;0, K611/J611, 0)</f>
        <v>0</v>
      </c>
      <c r="M611" s="16">
        <v>14000.0</v>
      </c>
      <c r="N611" s="16"/>
      <c r="O611" s="16">
        <f>M611-N611</f>
        <v>14000</v>
      </c>
      <c r="P611" s="11" t="s">
        <v>42</v>
      </c>
      <c r="Q611" s="11" t="s">
        <v>43</v>
      </c>
      <c r="R611" s="11" t="s">
        <v>44</v>
      </c>
      <c r="S611" s="9" t="s">
        <v>2140</v>
      </c>
      <c r="T611" s="9" t="s">
        <v>44</v>
      </c>
    </row>
    <row r="612" spans="1:20">
      <c r="A612" s="10">
        <v>605</v>
      </c>
      <c r="B612" s="10" t="s">
        <v>898</v>
      </c>
      <c r="C612" s="10" t="s">
        <v>847</v>
      </c>
      <c r="D612" s="10" t="s">
        <v>655</v>
      </c>
      <c r="E612" s="10" t="s">
        <v>34</v>
      </c>
      <c r="F612" s="10" t="s">
        <v>35</v>
      </c>
      <c r="G612" s="8" t="s">
        <v>41</v>
      </c>
      <c r="H612" s="12">
        <v>1</v>
      </c>
      <c r="I612" s="12">
        <v>1</v>
      </c>
      <c r="J612" s="15">
        <v>8000.0</v>
      </c>
      <c r="K612" s="15"/>
      <c r="L612" s="17">
        <f>IF(J612&gt;0, K612/J612, 0)</f>
        <v>0</v>
      </c>
      <c r="M612" s="15">
        <v>8000.0</v>
      </c>
      <c r="N612" s="15"/>
      <c r="O612" s="15">
        <f>M612-N612</f>
        <v>8000</v>
      </c>
      <c r="P612" s="10" t="s">
        <v>42</v>
      </c>
      <c r="Q612" s="10" t="s">
        <v>43</v>
      </c>
      <c r="R612" s="10" t="s">
        <v>44</v>
      </c>
      <c r="S612" s="8" t="s">
        <v>2024</v>
      </c>
      <c r="T612" s="8" t="s">
        <v>44</v>
      </c>
    </row>
    <row r="613" spans="1:20">
      <c r="A613" s="11">
        <v>606</v>
      </c>
      <c r="B613" s="11" t="s">
        <v>899</v>
      </c>
      <c r="C613" s="11" t="s">
        <v>847</v>
      </c>
      <c r="D613" s="11" t="s">
        <v>655</v>
      </c>
      <c r="E613" s="11" t="s">
        <v>34</v>
      </c>
      <c r="F613" s="11" t="s">
        <v>35</v>
      </c>
      <c r="G613" s="9" t="s">
        <v>41</v>
      </c>
      <c r="H613" s="13">
        <v>1</v>
      </c>
      <c r="I613" s="13">
        <v>1</v>
      </c>
      <c r="J613" s="16">
        <v>8000.0</v>
      </c>
      <c r="K613" s="16"/>
      <c r="L613" s="18">
        <f>IF(J613&gt;0, K613/J613, 0)</f>
        <v>0</v>
      </c>
      <c r="M613" s="16">
        <v>8000.0</v>
      </c>
      <c r="N613" s="16"/>
      <c r="O613" s="16">
        <f>M613-N613</f>
        <v>8000</v>
      </c>
      <c r="P613" s="11" t="s">
        <v>42</v>
      </c>
      <c r="Q613" s="11" t="s">
        <v>43</v>
      </c>
      <c r="R613" s="11" t="s">
        <v>44</v>
      </c>
      <c r="S613" s="9" t="s">
        <v>2067</v>
      </c>
      <c r="T613" s="9" t="s">
        <v>44</v>
      </c>
    </row>
    <row r="614" spans="1:20">
      <c r="A614" s="10">
        <v>607</v>
      </c>
      <c r="B614" s="10" t="s">
        <v>900</v>
      </c>
      <c r="C614" s="10" t="s">
        <v>847</v>
      </c>
      <c r="D614" s="10" t="s">
        <v>655</v>
      </c>
      <c r="E614" s="10" t="s">
        <v>34</v>
      </c>
      <c r="F614" s="10" t="s">
        <v>35</v>
      </c>
      <c r="G614" s="8" t="s">
        <v>41</v>
      </c>
      <c r="H614" s="12">
        <v>1</v>
      </c>
      <c r="I614" s="12">
        <v>1</v>
      </c>
      <c r="J614" s="15">
        <v>7000.0</v>
      </c>
      <c r="K614" s="15"/>
      <c r="L614" s="17">
        <f>IF(J614&gt;0, K614/J614, 0)</f>
        <v>0</v>
      </c>
      <c r="M614" s="15">
        <v>7000.0</v>
      </c>
      <c r="N614" s="15"/>
      <c r="O614" s="15">
        <f>M614-N614</f>
        <v>7000</v>
      </c>
      <c r="P614" s="10" t="s">
        <v>42</v>
      </c>
      <c r="Q614" s="10" t="s">
        <v>43</v>
      </c>
      <c r="R614" s="10" t="s">
        <v>44</v>
      </c>
      <c r="S614" s="8" t="s">
        <v>2034</v>
      </c>
      <c r="T614" s="8" t="s">
        <v>44</v>
      </c>
    </row>
    <row r="615" spans="1:20">
      <c r="A615" s="11">
        <v>608</v>
      </c>
      <c r="B615" s="11" t="s">
        <v>901</v>
      </c>
      <c r="C615" s="11" t="s">
        <v>847</v>
      </c>
      <c r="D615" s="11" t="s">
        <v>655</v>
      </c>
      <c r="E615" s="11" t="s">
        <v>34</v>
      </c>
      <c r="F615" s="11" t="s">
        <v>35</v>
      </c>
      <c r="G615" s="9" t="s">
        <v>41</v>
      </c>
      <c r="H615" s="13">
        <v>1</v>
      </c>
      <c r="I615" s="13">
        <v>1</v>
      </c>
      <c r="J615" s="16">
        <v>7000.0</v>
      </c>
      <c r="K615" s="16"/>
      <c r="L615" s="18">
        <f>IF(J615&gt;0, K615/J615, 0)</f>
        <v>0</v>
      </c>
      <c r="M615" s="16">
        <v>7000.0</v>
      </c>
      <c r="N615" s="16"/>
      <c r="O615" s="16">
        <f>M615-N615</f>
        <v>7000</v>
      </c>
      <c r="P615" s="11" t="s">
        <v>42</v>
      </c>
      <c r="Q615" s="11" t="s">
        <v>43</v>
      </c>
      <c r="R615" s="11" t="s">
        <v>44</v>
      </c>
      <c r="S615" s="9" t="s">
        <v>2088</v>
      </c>
      <c r="T615" s="9" t="s">
        <v>44</v>
      </c>
    </row>
    <row r="616" spans="1:20">
      <c r="A616" s="10">
        <v>609</v>
      </c>
      <c r="B616" s="10" t="s">
        <v>902</v>
      </c>
      <c r="C616" s="10" t="s">
        <v>847</v>
      </c>
      <c r="D616" s="10" t="s">
        <v>655</v>
      </c>
      <c r="E616" s="10" t="s">
        <v>34</v>
      </c>
      <c r="F616" s="10" t="s">
        <v>35</v>
      </c>
      <c r="G616" s="8" t="s">
        <v>41</v>
      </c>
      <c r="H616" s="12">
        <v>1</v>
      </c>
      <c r="I616" s="12">
        <v>1</v>
      </c>
      <c r="J616" s="15">
        <v>7000.0</v>
      </c>
      <c r="K616" s="15"/>
      <c r="L616" s="17">
        <f>IF(J616&gt;0, K616/J616, 0)</f>
        <v>0</v>
      </c>
      <c r="M616" s="15">
        <v>7000.0</v>
      </c>
      <c r="N616" s="15"/>
      <c r="O616" s="15">
        <f>M616-N616</f>
        <v>7000</v>
      </c>
      <c r="P616" s="10" t="s">
        <v>42</v>
      </c>
      <c r="Q616" s="10" t="s">
        <v>43</v>
      </c>
      <c r="R616" s="10" t="s">
        <v>44</v>
      </c>
      <c r="S616" s="8" t="s">
        <v>2101</v>
      </c>
      <c r="T616" s="8" t="s">
        <v>44</v>
      </c>
    </row>
    <row r="617" spans="1:20">
      <c r="A617" s="11">
        <v>610</v>
      </c>
      <c r="B617" s="11" t="s">
        <v>903</v>
      </c>
      <c r="C617" s="11" t="s">
        <v>847</v>
      </c>
      <c r="D617" s="11" t="s">
        <v>655</v>
      </c>
      <c r="E617" s="11" t="s">
        <v>34</v>
      </c>
      <c r="F617" s="11" t="s">
        <v>35</v>
      </c>
      <c r="G617" s="9" t="s">
        <v>41</v>
      </c>
      <c r="H617" s="13">
        <v>1</v>
      </c>
      <c r="I617" s="13">
        <v>1</v>
      </c>
      <c r="J617" s="16">
        <v>18000.0</v>
      </c>
      <c r="K617" s="16"/>
      <c r="L617" s="18">
        <f>IF(J617&gt;0, K617/J617, 0)</f>
        <v>0</v>
      </c>
      <c r="M617" s="16">
        <v>18000.0</v>
      </c>
      <c r="N617" s="16"/>
      <c r="O617" s="16">
        <f>M617-N617</f>
        <v>18000</v>
      </c>
      <c r="P617" s="11" t="s">
        <v>42</v>
      </c>
      <c r="Q617" s="11" t="s">
        <v>43</v>
      </c>
      <c r="R617" s="11" t="s">
        <v>44</v>
      </c>
      <c r="S617" s="9" t="s">
        <v>2170</v>
      </c>
      <c r="T617" s="9" t="s">
        <v>44</v>
      </c>
    </row>
    <row r="618" spans="1:20">
      <c r="A618" s="10">
        <v>611</v>
      </c>
      <c r="B618" s="10" t="s">
        <v>904</v>
      </c>
      <c r="C618" s="10" t="s">
        <v>847</v>
      </c>
      <c r="D618" s="10" t="s">
        <v>655</v>
      </c>
      <c r="E618" s="10" t="s">
        <v>34</v>
      </c>
      <c r="F618" s="10" t="s">
        <v>35</v>
      </c>
      <c r="G618" s="8" t="s">
        <v>41</v>
      </c>
      <c r="H618" s="12">
        <v>1</v>
      </c>
      <c r="I618" s="12">
        <v>1</v>
      </c>
      <c r="J618" s="15">
        <v>18000.0</v>
      </c>
      <c r="K618" s="15"/>
      <c r="L618" s="17">
        <f>IF(J618&gt;0, K618/J618, 0)</f>
        <v>0</v>
      </c>
      <c r="M618" s="15">
        <v>18000.0</v>
      </c>
      <c r="N618" s="15"/>
      <c r="O618" s="15">
        <f>M618-N618</f>
        <v>18000</v>
      </c>
      <c r="P618" s="10" t="s">
        <v>42</v>
      </c>
      <c r="Q618" s="10" t="s">
        <v>43</v>
      </c>
      <c r="R618" s="10" t="s">
        <v>44</v>
      </c>
      <c r="S618" s="8" t="s">
        <v>2066</v>
      </c>
      <c r="T618" s="8" t="s">
        <v>44</v>
      </c>
    </row>
    <row r="619" spans="1:20">
      <c r="A619" s="11">
        <v>612</v>
      </c>
      <c r="B619" s="11" t="s">
        <v>905</v>
      </c>
      <c r="C619" s="11" t="s">
        <v>847</v>
      </c>
      <c r="D619" s="11" t="s">
        <v>655</v>
      </c>
      <c r="E619" s="11" t="s">
        <v>34</v>
      </c>
      <c r="F619" s="11" t="s">
        <v>35</v>
      </c>
      <c r="G619" s="9" t="s">
        <v>41</v>
      </c>
      <c r="H619" s="13">
        <v>1</v>
      </c>
      <c r="I619" s="13">
        <v>1</v>
      </c>
      <c r="J619" s="16">
        <v>9000.0</v>
      </c>
      <c r="K619" s="16"/>
      <c r="L619" s="18">
        <f>IF(J619&gt;0, K619/J619, 0)</f>
        <v>0</v>
      </c>
      <c r="M619" s="16">
        <v>9000.0</v>
      </c>
      <c r="N619" s="16"/>
      <c r="O619" s="16">
        <f>M619-N619</f>
        <v>9000</v>
      </c>
      <c r="P619" s="11" t="s">
        <v>42</v>
      </c>
      <c r="Q619" s="11" t="s">
        <v>43</v>
      </c>
      <c r="R619" s="11" t="s">
        <v>44</v>
      </c>
      <c r="S619" s="9" t="s">
        <v>2172</v>
      </c>
      <c r="T619" s="9" t="s">
        <v>44</v>
      </c>
    </row>
    <row r="620" spans="1:20">
      <c r="A620" s="10">
        <v>613</v>
      </c>
      <c r="B620" s="10" t="s">
        <v>907</v>
      </c>
      <c r="C620" s="10" t="s">
        <v>847</v>
      </c>
      <c r="D620" s="10" t="s">
        <v>655</v>
      </c>
      <c r="E620" s="10" t="s">
        <v>34</v>
      </c>
      <c r="F620" s="10" t="s">
        <v>35</v>
      </c>
      <c r="G620" s="8" t="s">
        <v>41</v>
      </c>
      <c r="H620" s="12">
        <v>1</v>
      </c>
      <c r="I620" s="12">
        <v>1</v>
      </c>
      <c r="J620" s="15">
        <v>8000.0</v>
      </c>
      <c r="K620" s="15"/>
      <c r="L620" s="17">
        <f>IF(J620&gt;0, K620/J620, 0)</f>
        <v>0</v>
      </c>
      <c r="M620" s="15">
        <v>8000.0</v>
      </c>
      <c r="N620" s="15"/>
      <c r="O620" s="15">
        <f>M620-N620</f>
        <v>8000</v>
      </c>
      <c r="P620" s="10" t="s">
        <v>42</v>
      </c>
      <c r="Q620" s="10" t="s">
        <v>43</v>
      </c>
      <c r="R620" s="10" t="s">
        <v>44</v>
      </c>
      <c r="S620" s="8" t="s">
        <v>2112</v>
      </c>
      <c r="T620" s="8" t="s">
        <v>44</v>
      </c>
    </row>
    <row r="621" spans="1:20">
      <c r="A621" s="11">
        <v>614</v>
      </c>
      <c r="B621" s="11" t="s">
        <v>908</v>
      </c>
      <c r="C621" s="11" t="s">
        <v>847</v>
      </c>
      <c r="D621" s="11" t="s">
        <v>655</v>
      </c>
      <c r="E621" s="11" t="s">
        <v>34</v>
      </c>
      <c r="F621" s="11" t="s">
        <v>35</v>
      </c>
      <c r="G621" s="9" t="s">
        <v>41</v>
      </c>
      <c r="H621" s="13">
        <v>1</v>
      </c>
      <c r="I621" s="13">
        <v>1</v>
      </c>
      <c r="J621" s="16">
        <v>8000.0</v>
      </c>
      <c r="K621" s="16"/>
      <c r="L621" s="18">
        <f>IF(J621&gt;0, K621/J621, 0)</f>
        <v>0</v>
      </c>
      <c r="M621" s="16">
        <v>8000.0</v>
      </c>
      <c r="N621" s="16"/>
      <c r="O621" s="16">
        <f>M621-N621</f>
        <v>8000</v>
      </c>
      <c r="P621" s="11" t="s">
        <v>42</v>
      </c>
      <c r="Q621" s="11" t="s">
        <v>43</v>
      </c>
      <c r="R621" s="11" t="s">
        <v>44</v>
      </c>
      <c r="S621" s="9" t="s">
        <v>2105</v>
      </c>
      <c r="T621" s="9" t="s">
        <v>44</v>
      </c>
    </row>
    <row r="622" spans="1:20">
      <c r="A622" s="10">
        <v>615</v>
      </c>
      <c r="B622" s="10" t="s">
        <v>909</v>
      </c>
      <c r="C622" s="10" t="s">
        <v>847</v>
      </c>
      <c r="D622" s="10" t="s">
        <v>655</v>
      </c>
      <c r="E622" s="10" t="s">
        <v>34</v>
      </c>
      <c r="F622" s="10" t="s">
        <v>35</v>
      </c>
      <c r="G622" s="8" t="s">
        <v>41</v>
      </c>
      <c r="H622" s="12">
        <v>1</v>
      </c>
      <c r="I622" s="12">
        <v>1</v>
      </c>
      <c r="J622" s="15">
        <v>9500.0</v>
      </c>
      <c r="K622" s="15"/>
      <c r="L622" s="17">
        <f>IF(J622&gt;0, K622/J622, 0)</f>
        <v>0</v>
      </c>
      <c r="M622" s="15">
        <v>9500.0</v>
      </c>
      <c r="N622" s="15"/>
      <c r="O622" s="15">
        <f>M622-N622</f>
        <v>9500</v>
      </c>
      <c r="P622" s="10" t="s">
        <v>42</v>
      </c>
      <c r="Q622" s="10" t="s">
        <v>43</v>
      </c>
      <c r="R622" s="10" t="s">
        <v>44</v>
      </c>
      <c r="S622" s="8" t="s">
        <v>2162</v>
      </c>
      <c r="T622" s="8" t="s">
        <v>44</v>
      </c>
    </row>
    <row r="623" spans="1:20">
      <c r="A623" s="11">
        <v>616</v>
      </c>
      <c r="B623" s="11" t="s">
        <v>910</v>
      </c>
      <c r="C623" s="11" t="s">
        <v>847</v>
      </c>
      <c r="D623" s="11" t="s">
        <v>655</v>
      </c>
      <c r="E623" s="11" t="s">
        <v>34</v>
      </c>
      <c r="F623" s="11" t="s">
        <v>35</v>
      </c>
      <c r="G623" s="9" t="s">
        <v>41</v>
      </c>
      <c r="H623" s="13">
        <v>1</v>
      </c>
      <c r="I623" s="13">
        <v>1</v>
      </c>
      <c r="J623" s="16">
        <v>7000.0</v>
      </c>
      <c r="K623" s="16"/>
      <c r="L623" s="18">
        <f>IF(J623&gt;0, K623/J623, 0)</f>
        <v>0</v>
      </c>
      <c r="M623" s="16">
        <v>7000.0</v>
      </c>
      <c r="N623" s="16"/>
      <c r="O623" s="16">
        <f>M623-N623</f>
        <v>7000</v>
      </c>
      <c r="P623" s="11" t="s">
        <v>42</v>
      </c>
      <c r="Q623" s="11" t="s">
        <v>43</v>
      </c>
      <c r="R623" s="11" t="s">
        <v>44</v>
      </c>
      <c r="S623" s="9" t="s">
        <v>2100</v>
      </c>
      <c r="T623" s="9" t="s">
        <v>44</v>
      </c>
    </row>
    <row r="624" spans="1:20">
      <c r="A624" s="10">
        <v>617</v>
      </c>
      <c r="B624" s="10" t="s">
        <v>911</v>
      </c>
      <c r="C624" s="10" t="s">
        <v>847</v>
      </c>
      <c r="D624" s="10" t="s">
        <v>655</v>
      </c>
      <c r="E624" s="10" t="s">
        <v>34</v>
      </c>
      <c r="F624" s="10" t="s">
        <v>35</v>
      </c>
      <c r="G624" s="8" t="s">
        <v>41</v>
      </c>
      <c r="H624" s="12">
        <v>1</v>
      </c>
      <c r="I624" s="12">
        <v>1</v>
      </c>
      <c r="J624" s="15">
        <v>7500.0</v>
      </c>
      <c r="K624" s="15"/>
      <c r="L624" s="17">
        <f>IF(J624&gt;0, K624/J624, 0)</f>
        <v>0</v>
      </c>
      <c r="M624" s="15">
        <v>7500.0</v>
      </c>
      <c r="N624" s="15"/>
      <c r="O624" s="15">
        <f>M624-N624</f>
        <v>7500</v>
      </c>
      <c r="P624" s="10" t="s">
        <v>42</v>
      </c>
      <c r="Q624" s="10" t="s">
        <v>43</v>
      </c>
      <c r="R624" s="10" t="s">
        <v>44</v>
      </c>
      <c r="S624" s="8" t="s">
        <v>2149</v>
      </c>
      <c r="T624" s="8" t="s">
        <v>44</v>
      </c>
    </row>
    <row r="625" spans="1:20">
      <c r="A625" s="11">
        <v>618</v>
      </c>
      <c r="B625" s="11" t="s">
        <v>912</v>
      </c>
      <c r="C625" s="11" t="s">
        <v>847</v>
      </c>
      <c r="D625" s="11" t="s">
        <v>655</v>
      </c>
      <c r="E625" s="11" t="s">
        <v>34</v>
      </c>
      <c r="F625" s="11" t="s">
        <v>35</v>
      </c>
      <c r="G625" s="9" t="s">
        <v>41</v>
      </c>
      <c r="H625" s="13">
        <v>1</v>
      </c>
      <c r="I625" s="13">
        <v>2</v>
      </c>
      <c r="J625" s="16">
        <v>17000.0</v>
      </c>
      <c r="K625" s="16"/>
      <c r="L625" s="18">
        <f>IF(J625&gt;0, K625/J625, 0)</f>
        <v>0</v>
      </c>
      <c r="M625" s="16">
        <v>17000.0</v>
      </c>
      <c r="N625" s="16"/>
      <c r="O625" s="16">
        <f>M625-N625</f>
        <v>17000</v>
      </c>
      <c r="P625" s="11" t="s">
        <v>42</v>
      </c>
      <c r="Q625" s="11" t="s">
        <v>43</v>
      </c>
      <c r="R625" s="11" t="s">
        <v>44</v>
      </c>
      <c r="S625" s="9" t="s">
        <v>2173</v>
      </c>
      <c r="T625" s="9" t="s">
        <v>44</v>
      </c>
    </row>
    <row r="626" spans="1:20">
      <c r="A626" s="10">
        <v>619</v>
      </c>
      <c r="B626" s="10" t="s">
        <v>914</v>
      </c>
      <c r="C626" s="10" t="s">
        <v>847</v>
      </c>
      <c r="D626" s="10" t="s">
        <v>655</v>
      </c>
      <c r="E626" s="10" t="s">
        <v>34</v>
      </c>
      <c r="F626" s="10" t="s">
        <v>35</v>
      </c>
      <c r="G626" s="8" t="s">
        <v>41</v>
      </c>
      <c r="H626" s="12">
        <v>1</v>
      </c>
      <c r="I626" s="12">
        <v>2</v>
      </c>
      <c r="J626" s="15">
        <v>16000.0</v>
      </c>
      <c r="K626" s="15"/>
      <c r="L626" s="17">
        <f>IF(J626&gt;0, K626/J626, 0)</f>
        <v>0</v>
      </c>
      <c r="M626" s="15">
        <v>16000.0</v>
      </c>
      <c r="N626" s="15"/>
      <c r="O626" s="15">
        <f>M626-N626</f>
        <v>16000</v>
      </c>
      <c r="P626" s="10" t="s">
        <v>42</v>
      </c>
      <c r="Q626" s="10" t="s">
        <v>43</v>
      </c>
      <c r="R626" s="10" t="s">
        <v>44</v>
      </c>
      <c r="S626" s="8" t="s">
        <v>2174</v>
      </c>
      <c r="T626" s="8" t="s">
        <v>44</v>
      </c>
    </row>
    <row r="627" spans="1:20">
      <c r="A627" s="11">
        <v>620</v>
      </c>
      <c r="B627" s="11" t="s">
        <v>915</v>
      </c>
      <c r="C627" s="11" t="s">
        <v>847</v>
      </c>
      <c r="D627" s="11" t="s">
        <v>655</v>
      </c>
      <c r="E627" s="11" t="s">
        <v>34</v>
      </c>
      <c r="F627" s="11" t="s">
        <v>35</v>
      </c>
      <c r="G627" s="9" t="s">
        <v>41</v>
      </c>
      <c r="H627" s="13">
        <v>1</v>
      </c>
      <c r="I627" s="13">
        <v>2</v>
      </c>
      <c r="J627" s="16">
        <v>16000.0</v>
      </c>
      <c r="K627" s="16"/>
      <c r="L627" s="18">
        <f>IF(J627&gt;0, K627/J627, 0)</f>
        <v>0</v>
      </c>
      <c r="M627" s="16">
        <v>16000.0</v>
      </c>
      <c r="N627" s="16"/>
      <c r="O627" s="16">
        <f>M627-N627</f>
        <v>16000</v>
      </c>
      <c r="P627" s="11" t="s">
        <v>42</v>
      </c>
      <c r="Q627" s="11" t="s">
        <v>43</v>
      </c>
      <c r="R627" s="11" t="s">
        <v>44</v>
      </c>
      <c r="S627" s="9" t="s">
        <v>2093</v>
      </c>
      <c r="T627" s="9" t="s">
        <v>44</v>
      </c>
    </row>
    <row r="628" spans="1:20">
      <c r="A628" s="10">
        <v>621</v>
      </c>
      <c r="B628" s="10" t="s">
        <v>916</v>
      </c>
      <c r="C628" s="10" t="s">
        <v>847</v>
      </c>
      <c r="D628" s="10" t="s">
        <v>655</v>
      </c>
      <c r="E628" s="10" t="s">
        <v>34</v>
      </c>
      <c r="F628" s="10" t="s">
        <v>35</v>
      </c>
      <c r="G628" s="8" t="s">
        <v>41</v>
      </c>
      <c r="H628" s="12">
        <v>1</v>
      </c>
      <c r="I628" s="12">
        <v>1</v>
      </c>
      <c r="J628" s="15">
        <v>8000.0</v>
      </c>
      <c r="K628" s="15"/>
      <c r="L628" s="17">
        <f>IF(J628&gt;0, K628/J628, 0)</f>
        <v>0</v>
      </c>
      <c r="M628" s="15">
        <v>8000.0</v>
      </c>
      <c r="N628" s="15"/>
      <c r="O628" s="15">
        <f>M628-N628</f>
        <v>8000</v>
      </c>
      <c r="P628" s="10" t="s">
        <v>42</v>
      </c>
      <c r="Q628" s="10" t="s">
        <v>43</v>
      </c>
      <c r="R628" s="10" t="s">
        <v>44</v>
      </c>
      <c r="S628" s="8" t="s">
        <v>2144</v>
      </c>
      <c r="T628" s="8" t="s">
        <v>44</v>
      </c>
    </row>
    <row r="629" spans="1:20">
      <c r="A629" s="11">
        <v>622</v>
      </c>
      <c r="B629" s="11" t="s">
        <v>917</v>
      </c>
      <c r="C629" s="11" t="s">
        <v>847</v>
      </c>
      <c r="D629" s="11" t="s">
        <v>655</v>
      </c>
      <c r="E629" s="11" t="s">
        <v>34</v>
      </c>
      <c r="F629" s="11" t="s">
        <v>35</v>
      </c>
      <c r="G629" s="9" t="s">
        <v>41</v>
      </c>
      <c r="H629" s="13">
        <v>1</v>
      </c>
      <c r="I629" s="13">
        <v>1</v>
      </c>
      <c r="J629" s="16">
        <v>8000.0</v>
      </c>
      <c r="K629" s="16"/>
      <c r="L629" s="18">
        <f>IF(J629&gt;0, K629/J629, 0)</f>
        <v>0</v>
      </c>
      <c r="M629" s="16">
        <v>8000.0</v>
      </c>
      <c r="N629" s="16"/>
      <c r="O629" s="16">
        <f>M629-N629</f>
        <v>8000</v>
      </c>
      <c r="P629" s="11" t="s">
        <v>42</v>
      </c>
      <c r="Q629" s="11" t="s">
        <v>43</v>
      </c>
      <c r="R629" s="11" t="s">
        <v>44</v>
      </c>
      <c r="S629" s="9" t="s">
        <v>2137</v>
      </c>
      <c r="T629" s="9" t="s">
        <v>44</v>
      </c>
    </row>
    <row r="630" spans="1:20">
      <c r="A630" s="10">
        <v>623</v>
      </c>
      <c r="B630" s="10" t="s">
        <v>918</v>
      </c>
      <c r="C630" s="10" t="s">
        <v>847</v>
      </c>
      <c r="D630" s="10" t="s">
        <v>655</v>
      </c>
      <c r="E630" s="10" t="s">
        <v>34</v>
      </c>
      <c r="F630" s="10" t="s">
        <v>35</v>
      </c>
      <c r="G630" s="8" t="s">
        <v>41</v>
      </c>
      <c r="H630" s="12">
        <v>1</v>
      </c>
      <c r="I630" s="12">
        <v>2</v>
      </c>
      <c r="J630" s="15">
        <v>14000.0</v>
      </c>
      <c r="K630" s="15"/>
      <c r="L630" s="17">
        <f>IF(J630&gt;0, K630/J630, 0)</f>
        <v>0</v>
      </c>
      <c r="M630" s="15">
        <v>14000.0</v>
      </c>
      <c r="N630" s="15"/>
      <c r="O630" s="15">
        <f>M630-N630</f>
        <v>14000</v>
      </c>
      <c r="P630" s="10" t="s">
        <v>42</v>
      </c>
      <c r="Q630" s="10" t="s">
        <v>43</v>
      </c>
      <c r="R630" s="10" t="s">
        <v>44</v>
      </c>
      <c r="S630" s="8" t="s">
        <v>2044</v>
      </c>
      <c r="T630" s="8" t="s">
        <v>44</v>
      </c>
    </row>
    <row r="631" spans="1:20">
      <c r="A631" s="11">
        <v>624</v>
      </c>
      <c r="B631" s="11" t="s">
        <v>919</v>
      </c>
      <c r="C631" s="11" t="s">
        <v>847</v>
      </c>
      <c r="D631" s="11" t="s">
        <v>655</v>
      </c>
      <c r="E631" s="11" t="s">
        <v>34</v>
      </c>
      <c r="F631" s="11" t="s">
        <v>35</v>
      </c>
      <c r="G631" s="9" t="s">
        <v>41</v>
      </c>
      <c r="H631" s="13">
        <v>1</v>
      </c>
      <c r="I631" s="13">
        <v>2</v>
      </c>
      <c r="J631" s="16">
        <v>14000.0</v>
      </c>
      <c r="K631" s="16"/>
      <c r="L631" s="18">
        <f>IF(J631&gt;0, K631/J631, 0)</f>
        <v>0</v>
      </c>
      <c r="M631" s="16">
        <v>14000.0</v>
      </c>
      <c r="N631" s="16"/>
      <c r="O631" s="16">
        <f>M631-N631</f>
        <v>14000</v>
      </c>
      <c r="P631" s="11" t="s">
        <v>42</v>
      </c>
      <c r="Q631" s="11" t="s">
        <v>43</v>
      </c>
      <c r="R631" s="11" t="s">
        <v>44</v>
      </c>
      <c r="S631" s="9" t="s">
        <v>2146</v>
      </c>
      <c r="T631" s="9" t="s">
        <v>44</v>
      </c>
    </row>
    <row r="632" spans="1:20">
      <c r="A632" s="10">
        <v>625</v>
      </c>
      <c r="B632" s="10" t="s">
        <v>920</v>
      </c>
      <c r="C632" s="10" t="s">
        <v>847</v>
      </c>
      <c r="D632" s="10" t="s">
        <v>655</v>
      </c>
      <c r="E632" s="10" t="s">
        <v>34</v>
      </c>
      <c r="F632" s="10" t="s">
        <v>35</v>
      </c>
      <c r="G632" s="8" t="s">
        <v>41</v>
      </c>
      <c r="H632" s="12">
        <v>1</v>
      </c>
      <c r="I632" s="12">
        <v>1</v>
      </c>
      <c r="J632" s="15">
        <v>16500.0</v>
      </c>
      <c r="K632" s="15"/>
      <c r="L632" s="17">
        <f>IF(J632&gt;0, K632/J632, 0)</f>
        <v>0</v>
      </c>
      <c r="M632" s="15">
        <v>16500.0</v>
      </c>
      <c r="N632" s="15"/>
      <c r="O632" s="15">
        <f>M632-N632</f>
        <v>16500</v>
      </c>
      <c r="P632" s="10" t="s">
        <v>42</v>
      </c>
      <c r="Q632" s="10" t="s">
        <v>43</v>
      </c>
      <c r="R632" s="10" t="s">
        <v>44</v>
      </c>
      <c r="S632" s="8" t="s">
        <v>2175</v>
      </c>
      <c r="T632" s="8" t="s">
        <v>44</v>
      </c>
    </row>
    <row r="633" spans="1:20">
      <c r="A633" s="11">
        <v>626</v>
      </c>
      <c r="B633" s="11" t="s">
        <v>922</v>
      </c>
      <c r="C633" s="11" t="s">
        <v>847</v>
      </c>
      <c r="D633" s="11" t="s">
        <v>655</v>
      </c>
      <c r="E633" s="11" t="s">
        <v>34</v>
      </c>
      <c r="F633" s="11" t="s">
        <v>35</v>
      </c>
      <c r="G633" s="9" t="s">
        <v>41</v>
      </c>
      <c r="H633" s="13">
        <v>1</v>
      </c>
      <c r="I633" s="13">
        <v>1</v>
      </c>
      <c r="J633" s="16">
        <v>16000.0</v>
      </c>
      <c r="K633" s="16"/>
      <c r="L633" s="18">
        <f>IF(J633&gt;0, K633/J633, 0)</f>
        <v>0</v>
      </c>
      <c r="M633" s="16">
        <v>16000.0</v>
      </c>
      <c r="N633" s="16"/>
      <c r="O633" s="16">
        <f>M633-N633</f>
        <v>16000</v>
      </c>
      <c r="P633" s="11" t="s">
        <v>42</v>
      </c>
      <c r="Q633" s="11" t="s">
        <v>43</v>
      </c>
      <c r="R633" s="11" t="s">
        <v>44</v>
      </c>
      <c r="S633" s="9" t="s">
        <v>2072</v>
      </c>
      <c r="T633" s="9" t="s">
        <v>44</v>
      </c>
    </row>
    <row r="634" spans="1:20">
      <c r="A634" s="10">
        <v>627</v>
      </c>
      <c r="B634" s="10" t="s">
        <v>923</v>
      </c>
      <c r="C634" s="10" t="s">
        <v>847</v>
      </c>
      <c r="D634" s="10" t="s">
        <v>655</v>
      </c>
      <c r="E634" s="10" t="s">
        <v>34</v>
      </c>
      <c r="F634" s="10" t="s">
        <v>35</v>
      </c>
      <c r="G634" s="8" t="s">
        <v>41</v>
      </c>
      <c r="H634" s="12">
        <v>1</v>
      </c>
      <c r="I634" s="12">
        <v>1</v>
      </c>
      <c r="J634" s="15">
        <v>16000.0</v>
      </c>
      <c r="K634" s="15"/>
      <c r="L634" s="17">
        <f>IF(J634&gt;0, K634/J634, 0)</f>
        <v>0</v>
      </c>
      <c r="M634" s="15">
        <v>16000.0</v>
      </c>
      <c r="N634" s="15"/>
      <c r="O634" s="15">
        <f>M634-N634</f>
        <v>16000</v>
      </c>
      <c r="P634" s="10" t="s">
        <v>42</v>
      </c>
      <c r="Q634" s="10" t="s">
        <v>43</v>
      </c>
      <c r="R634" s="10" t="s">
        <v>44</v>
      </c>
      <c r="S634" s="8" t="s">
        <v>2078</v>
      </c>
      <c r="T634" s="8" t="s">
        <v>44</v>
      </c>
    </row>
    <row r="635" spans="1:20">
      <c r="A635" s="11">
        <v>628</v>
      </c>
      <c r="B635" s="11" t="s">
        <v>924</v>
      </c>
      <c r="C635" s="11" t="s">
        <v>847</v>
      </c>
      <c r="D635" s="11" t="s">
        <v>655</v>
      </c>
      <c r="E635" s="11" t="s">
        <v>34</v>
      </c>
      <c r="F635" s="11" t="s">
        <v>35</v>
      </c>
      <c r="G635" s="9" t="s">
        <v>41</v>
      </c>
      <c r="H635" s="13">
        <v>1</v>
      </c>
      <c r="I635" s="13">
        <v>1</v>
      </c>
      <c r="J635" s="16">
        <v>18000.0</v>
      </c>
      <c r="K635" s="16"/>
      <c r="L635" s="18">
        <f>IF(J635&gt;0, K635/J635, 0)</f>
        <v>0</v>
      </c>
      <c r="M635" s="16">
        <v>18000.0</v>
      </c>
      <c r="N635" s="16"/>
      <c r="O635" s="16">
        <f>M635-N635</f>
        <v>18000</v>
      </c>
      <c r="P635" s="11" t="s">
        <v>42</v>
      </c>
      <c r="Q635" s="11" t="s">
        <v>43</v>
      </c>
      <c r="R635" s="11" t="s">
        <v>44</v>
      </c>
      <c r="S635" s="9" t="s">
        <v>2133</v>
      </c>
      <c r="T635" s="9" t="s">
        <v>44</v>
      </c>
    </row>
    <row r="636" spans="1:20">
      <c r="A636" s="10">
        <v>629</v>
      </c>
      <c r="B636" s="10" t="s">
        <v>925</v>
      </c>
      <c r="C636" s="10" t="s">
        <v>847</v>
      </c>
      <c r="D636" s="10" t="s">
        <v>655</v>
      </c>
      <c r="E636" s="10" t="s">
        <v>34</v>
      </c>
      <c r="F636" s="10" t="s">
        <v>35</v>
      </c>
      <c r="G636" s="8" t="s">
        <v>41</v>
      </c>
      <c r="H636" s="12">
        <v>1</v>
      </c>
      <c r="I636" s="12">
        <v>1</v>
      </c>
      <c r="J636" s="15">
        <v>18000.0</v>
      </c>
      <c r="K636" s="15"/>
      <c r="L636" s="17">
        <f>IF(J636&gt;0, K636/J636, 0)</f>
        <v>0</v>
      </c>
      <c r="M636" s="15">
        <v>18000.0</v>
      </c>
      <c r="N636" s="15"/>
      <c r="O636" s="15">
        <f>M636-N636</f>
        <v>18000</v>
      </c>
      <c r="P636" s="10" t="s">
        <v>42</v>
      </c>
      <c r="Q636" s="10" t="s">
        <v>43</v>
      </c>
      <c r="R636" s="10" t="s">
        <v>44</v>
      </c>
      <c r="S636" s="8" t="s">
        <v>2107</v>
      </c>
      <c r="T636" s="8" t="s">
        <v>44</v>
      </c>
    </row>
    <row r="637" spans="1:20">
      <c r="A637" s="11">
        <v>630</v>
      </c>
      <c r="B637" s="11" t="s">
        <v>926</v>
      </c>
      <c r="C637" s="11" t="s">
        <v>847</v>
      </c>
      <c r="D637" s="11" t="s">
        <v>655</v>
      </c>
      <c r="E637" s="11" t="s">
        <v>34</v>
      </c>
      <c r="F637" s="11" t="s">
        <v>35</v>
      </c>
      <c r="G637" s="9" t="s">
        <v>41</v>
      </c>
      <c r="H637" s="13">
        <v>1</v>
      </c>
      <c r="I637" s="13">
        <v>1</v>
      </c>
      <c r="J637" s="16">
        <v>18000.0</v>
      </c>
      <c r="K637" s="16"/>
      <c r="L637" s="18">
        <f>IF(J637&gt;0, K637/J637, 0)</f>
        <v>0</v>
      </c>
      <c r="M637" s="16">
        <v>18000.0</v>
      </c>
      <c r="N637" s="16"/>
      <c r="O637" s="16">
        <f>M637-N637</f>
        <v>18000</v>
      </c>
      <c r="P637" s="11" t="s">
        <v>42</v>
      </c>
      <c r="Q637" s="11" t="s">
        <v>43</v>
      </c>
      <c r="R637" s="11" t="s">
        <v>44</v>
      </c>
      <c r="S637" s="9" t="s">
        <v>2118</v>
      </c>
      <c r="T637" s="9" t="s">
        <v>44</v>
      </c>
    </row>
    <row r="638" spans="1:20">
      <c r="A638" s="10">
        <v>631</v>
      </c>
      <c r="B638" s="10" t="s">
        <v>927</v>
      </c>
      <c r="C638" s="10" t="s">
        <v>847</v>
      </c>
      <c r="D638" s="10" t="s">
        <v>655</v>
      </c>
      <c r="E638" s="10" t="s">
        <v>34</v>
      </c>
      <c r="F638" s="10" t="s">
        <v>35</v>
      </c>
      <c r="G638" s="8" t="s">
        <v>41</v>
      </c>
      <c r="H638" s="12">
        <v>1</v>
      </c>
      <c r="I638" s="12">
        <v>1</v>
      </c>
      <c r="J638" s="15">
        <v>16000.0</v>
      </c>
      <c r="K638" s="15"/>
      <c r="L638" s="17">
        <f>IF(J638&gt;0, K638/J638, 0)</f>
        <v>0</v>
      </c>
      <c r="M638" s="15">
        <v>16000.0</v>
      </c>
      <c r="N638" s="15"/>
      <c r="O638" s="15">
        <f>M638-N638</f>
        <v>16000</v>
      </c>
      <c r="P638" s="10" t="s">
        <v>42</v>
      </c>
      <c r="Q638" s="10" t="s">
        <v>43</v>
      </c>
      <c r="R638" s="10" t="s">
        <v>44</v>
      </c>
      <c r="S638" s="8" t="s">
        <v>2078</v>
      </c>
      <c r="T638" s="8" t="s">
        <v>44</v>
      </c>
    </row>
    <row r="639" spans="1:20">
      <c r="A639" s="11">
        <v>632</v>
      </c>
      <c r="B639" s="11" t="s">
        <v>928</v>
      </c>
      <c r="C639" s="11" t="s">
        <v>847</v>
      </c>
      <c r="D639" s="11" t="s">
        <v>655</v>
      </c>
      <c r="E639" s="11" t="s">
        <v>34</v>
      </c>
      <c r="F639" s="11" t="s">
        <v>35</v>
      </c>
      <c r="G639" s="9" t="s">
        <v>41</v>
      </c>
      <c r="H639" s="13">
        <v>1</v>
      </c>
      <c r="I639" s="13">
        <v>1</v>
      </c>
      <c r="J639" s="16">
        <v>8000.0</v>
      </c>
      <c r="K639" s="16"/>
      <c r="L639" s="18">
        <f>IF(J639&gt;0, K639/J639, 0)</f>
        <v>0</v>
      </c>
      <c r="M639" s="16">
        <v>8000.0</v>
      </c>
      <c r="N639" s="16"/>
      <c r="O639" s="16">
        <f>M639-N639</f>
        <v>8000</v>
      </c>
      <c r="P639" s="11" t="s">
        <v>42</v>
      </c>
      <c r="Q639" s="11" t="s">
        <v>43</v>
      </c>
      <c r="R639" s="11" t="s">
        <v>44</v>
      </c>
      <c r="S639" s="9" t="s">
        <v>2062</v>
      </c>
      <c r="T639" s="9" t="s">
        <v>44</v>
      </c>
    </row>
    <row r="640" spans="1:20">
      <c r="A640" s="10">
        <v>633</v>
      </c>
      <c r="B640" s="10" t="s">
        <v>929</v>
      </c>
      <c r="C640" s="10" t="s">
        <v>847</v>
      </c>
      <c r="D640" s="10" t="s">
        <v>655</v>
      </c>
      <c r="E640" s="10" t="s">
        <v>34</v>
      </c>
      <c r="F640" s="10" t="s">
        <v>35</v>
      </c>
      <c r="G640" s="8" t="s">
        <v>41</v>
      </c>
      <c r="H640" s="12">
        <v>1</v>
      </c>
      <c r="I640" s="12">
        <v>1</v>
      </c>
      <c r="J640" s="15">
        <v>8000.0</v>
      </c>
      <c r="K640" s="15"/>
      <c r="L640" s="17">
        <f>IF(J640&gt;0, K640/J640, 0)</f>
        <v>0</v>
      </c>
      <c r="M640" s="15">
        <v>8000.0</v>
      </c>
      <c r="N640" s="15"/>
      <c r="O640" s="15">
        <f>M640-N640</f>
        <v>8000</v>
      </c>
      <c r="P640" s="10" t="s">
        <v>42</v>
      </c>
      <c r="Q640" s="10" t="s">
        <v>43</v>
      </c>
      <c r="R640" s="10" t="s">
        <v>44</v>
      </c>
      <c r="S640" s="8" t="s">
        <v>2111</v>
      </c>
      <c r="T640" s="8" t="s">
        <v>44</v>
      </c>
    </row>
    <row r="641" spans="1:20">
      <c r="A641" s="11">
        <v>634</v>
      </c>
      <c r="B641" s="11" t="s">
        <v>930</v>
      </c>
      <c r="C641" s="11" t="s">
        <v>847</v>
      </c>
      <c r="D641" s="11" t="s">
        <v>655</v>
      </c>
      <c r="E641" s="11" t="s">
        <v>34</v>
      </c>
      <c r="F641" s="11" t="s">
        <v>35</v>
      </c>
      <c r="G641" s="9" t="s">
        <v>41</v>
      </c>
      <c r="H641" s="13">
        <v>1</v>
      </c>
      <c r="I641" s="13">
        <v>1</v>
      </c>
      <c r="J641" s="16">
        <v>8000.0</v>
      </c>
      <c r="K641" s="16"/>
      <c r="L641" s="18">
        <f>IF(J641&gt;0, K641/J641, 0)</f>
        <v>0</v>
      </c>
      <c r="M641" s="16">
        <v>8000.0</v>
      </c>
      <c r="N641" s="16"/>
      <c r="O641" s="16">
        <f>M641-N641</f>
        <v>8000</v>
      </c>
      <c r="P641" s="11" t="s">
        <v>42</v>
      </c>
      <c r="Q641" s="11" t="s">
        <v>43</v>
      </c>
      <c r="R641" s="11" t="s">
        <v>44</v>
      </c>
      <c r="S641" s="9" t="s">
        <v>2137</v>
      </c>
      <c r="T641" s="9" t="s">
        <v>44</v>
      </c>
    </row>
    <row r="642" spans="1:20">
      <c r="A642" s="10">
        <v>635</v>
      </c>
      <c r="B642" s="10" t="s">
        <v>931</v>
      </c>
      <c r="C642" s="10" t="s">
        <v>847</v>
      </c>
      <c r="D642" s="10" t="s">
        <v>655</v>
      </c>
      <c r="E642" s="10" t="s">
        <v>34</v>
      </c>
      <c r="F642" s="10" t="s">
        <v>35</v>
      </c>
      <c r="G642" s="8" t="s">
        <v>41</v>
      </c>
      <c r="H642" s="12">
        <v>1</v>
      </c>
      <c r="I642" s="12">
        <v>2</v>
      </c>
      <c r="J642" s="15">
        <v>14000.0</v>
      </c>
      <c r="K642" s="15"/>
      <c r="L642" s="17">
        <f>IF(J642&gt;0, K642/J642, 0)</f>
        <v>0</v>
      </c>
      <c r="M642" s="15">
        <v>14000.0</v>
      </c>
      <c r="N642" s="15"/>
      <c r="O642" s="15">
        <f>M642-N642</f>
        <v>14000</v>
      </c>
      <c r="P642" s="10" t="s">
        <v>42</v>
      </c>
      <c r="Q642" s="10" t="s">
        <v>43</v>
      </c>
      <c r="R642" s="10" t="s">
        <v>44</v>
      </c>
      <c r="S642" s="8" t="s">
        <v>2140</v>
      </c>
      <c r="T642" s="8" t="s">
        <v>44</v>
      </c>
    </row>
    <row r="643" spans="1:20">
      <c r="A643" s="11">
        <v>636</v>
      </c>
      <c r="B643" s="11" t="s">
        <v>932</v>
      </c>
      <c r="C643" s="11" t="s">
        <v>847</v>
      </c>
      <c r="D643" s="11" t="s">
        <v>655</v>
      </c>
      <c r="E643" s="11" t="s">
        <v>70</v>
      </c>
      <c r="F643" s="11" t="s">
        <v>35</v>
      </c>
      <c r="G643" s="9" t="s">
        <v>41</v>
      </c>
      <c r="H643" s="13">
        <v>1</v>
      </c>
      <c r="I643" s="13">
        <v>2</v>
      </c>
      <c r="J643" s="16">
        <v>20000.0</v>
      </c>
      <c r="K643" s="16"/>
      <c r="L643" s="18">
        <f>IF(J643&gt;0, K643/J643, 0)</f>
        <v>0</v>
      </c>
      <c r="M643" s="16">
        <v>20000.0</v>
      </c>
      <c r="N643" s="16"/>
      <c r="O643" s="16">
        <f>M643-N643</f>
        <v>20000</v>
      </c>
      <c r="P643" s="11" t="s">
        <v>42</v>
      </c>
      <c r="Q643" s="11" t="s">
        <v>73</v>
      </c>
      <c r="R643" s="11" t="s">
        <v>44</v>
      </c>
      <c r="S643" s="9" t="s">
        <v>2176</v>
      </c>
      <c r="T643" s="9" t="s">
        <v>44</v>
      </c>
    </row>
    <row r="644" spans="1:20">
      <c r="A644" s="10">
        <v>637</v>
      </c>
      <c r="B644" s="10" t="s">
        <v>933</v>
      </c>
      <c r="C644" s="10" t="s">
        <v>847</v>
      </c>
      <c r="D644" s="10" t="s">
        <v>655</v>
      </c>
      <c r="E644" s="10" t="s">
        <v>70</v>
      </c>
      <c r="F644" s="10" t="s">
        <v>35</v>
      </c>
      <c r="G644" s="8" t="s">
        <v>41</v>
      </c>
      <c r="H644" s="12">
        <v>1</v>
      </c>
      <c r="I644" s="12">
        <v>1</v>
      </c>
      <c r="J644" s="15">
        <v>10000.0</v>
      </c>
      <c r="K644" s="15"/>
      <c r="L644" s="17">
        <f>IF(J644&gt;0, K644/J644, 0)</f>
        <v>0</v>
      </c>
      <c r="M644" s="15">
        <v>10000.0</v>
      </c>
      <c r="N644" s="15"/>
      <c r="O644" s="15">
        <f>M644-N644</f>
        <v>10000</v>
      </c>
      <c r="P644" s="10" t="s">
        <v>42</v>
      </c>
      <c r="Q644" s="10" t="s">
        <v>73</v>
      </c>
      <c r="R644" s="10" t="s">
        <v>44</v>
      </c>
      <c r="S644" s="8" t="s">
        <v>2086</v>
      </c>
      <c r="T644" s="8" t="s">
        <v>44</v>
      </c>
    </row>
    <row r="645" spans="1:20">
      <c r="A645" s="11">
        <v>638</v>
      </c>
      <c r="B645" s="11" t="s">
        <v>934</v>
      </c>
      <c r="C645" s="11" t="s">
        <v>847</v>
      </c>
      <c r="D645" s="11" t="s">
        <v>655</v>
      </c>
      <c r="E645" s="11" t="s">
        <v>34</v>
      </c>
      <c r="F645" s="11" t="s">
        <v>35</v>
      </c>
      <c r="G645" s="9" t="s">
        <v>41</v>
      </c>
      <c r="H645" s="13">
        <v>1</v>
      </c>
      <c r="I645" s="13">
        <v>2</v>
      </c>
      <c r="J645" s="16">
        <v>16000.0</v>
      </c>
      <c r="K645" s="16"/>
      <c r="L645" s="18">
        <f>IF(J645&gt;0, K645/J645, 0)</f>
        <v>0</v>
      </c>
      <c r="M645" s="16">
        <v>16000.0</v>
      </c>
      <c r="N645" s="16"/>
      <c r="O645" s="16">
        <f>M645-N645</f>
        <v>16000</v>
      </c>
      <c r="P645" s="11" t="s">
        <v>42</v>
      </c>
      <c r="Q645" s="11" t="s">
        <v>43</v>
      </c>
      <c r="R645" s="11" t="s">
        <v>44</v>
      </c>
      <c r="S645" s="9" t="s">
        <v>2147</v>
      </c>
      <c r="T645" s="9" t="s">
        <v>44</v>
      </c>
    </row>
    <row r="646" spans="1:20">
      <c r="A646" s="10">
        <v>639</v>
      </c>
      <c r="B646" s="10" t="s">
        <v>935</v>
      </c>
      <c r="C646" s="10" t="s">
        <v>847</v>
      </c>
      <c r="D646" s="10" t="s">
        <v>655</v>
      </c>
      <c r="E646" s="10" t="s">
        <v>34</v>
      </c>
      <c r="F646" s="10" t="s">
        <v>35</v>
      </c>
      <c r="G646" s="8" t="s">
        <v>41</v>
      </c>
      <c r="H646" s="12">
        <v>1</v>
      </c>
      <c r="I646" s="12">
        <v>1</v>
      </c>
      <c r="J646" s="15">
        <v>8500.0</v>
      </c>
      <c r="K646" s="15"/>
      <c r="L646" s="17">
        <f>IF(J646&gt;0, K646/J646, 0)</f>
        <v>0</v>
      </c>
      <c r="M646" s="15">
        <v>8500.0</v>
      </c>
      <c r="N646" s="15"/>
      <c r="O646" s="15">
        <f>M646-N646</f>
        <v>8500</v>
      </c>
      <c r="P646" s="10" t="s">
        <v>42</v>
      </c>
      <c r="Q646" s="10" t="s">
        <v>43</v>
      </c>
      <c r="R646" s="10" t="s">
        <v>44</v>
      </c>
      <c r="S646" s="8" t="s">
        <v>2045</v>
      </c>
      <c r="T646" s="8" t="s">
        <v>44</v>
      </c>
    </row>
    <row r="647" spans="1:20">
      <c r="A647" s="11">
        <v>640</v>
      </c>
      <c r="B647" s="11" t="s">
        <v>936</v>
      </c>
      <c r="C647" s="11" t="s">
        <v>847</v>
      </c>
      <c r="D647" s="11" t="s">
        <v>655</v>
      </c>
      <c r="E647" s="11" t="s">
        <v>34</v>
      </c>
      <c r="F647" s="11" t="s">
        <v>35</v>
      </c>
      <c r="G647" s="9" t="s">
        <v>41</v>
      </c>
      <c r="H647" s="13">
        <v>1</v>
      </c>
      <c r="I647" s="13">
        <v>2</v>
      </c>
      <c r="J647" s="16">
        <v>32000.0</v>
      </c>
      <c r="K647" s="16"/>
      <c r="L647" s="18">
        <f>IF(J647&gt;0, K647/J647, 0)</f>
        <v>0</v>
      </c>
      <c r="M647" s="16">
        <v>32000.0</v>
      </c>
      <c r="N647" s="16"/>
      <c r="O647" s="16">
        <f>M647-N647</f>
        <v>32000</v>
      </c>
      <c r="P647" s="11" t="s">
        <v>42</v>
      </c>
      <c r="Q647" s="11" t="s">
        <v>43</v>
      </c>
      <c r="R647" s="11" t="s">
        <v>44</v>
      </c>
      <c r="S647" s="9" t="s">
        <v>2177</v>
      </c>
      <c r="T647" s="9" t="s">
        <v>44</v>
      </c>
    </row>
    <row r="648" spans="1:20">
      <c r="A648" s="10">
        <v>641</v>
      </c>
      <c r="B648" s="10" t="s">
        <v>937</v>
      </c>
      <c r="C648" s="10" t="s">
        <v>847</v>
      </c>
      <c r="D648" s="10" t="s">
        <v>655</v>
      </c>
      <c r="E648" s="10" t="s">
        <v>34</v>
      </c>
      <c r="F648" s="10" t="s">
        <v>35</v>
      </c>
      <c r="G648" s="8" t="s">
        <v>41</v>
      </c>
      <c r="H648" s="12">
        <v>1</v>
      </c>
      <c r="I648" s="12">
        <v>1</v>
      </c>
      <c r="J648" s="15">
        <v>18000.0</v>
      </c>
      <c r="K648" s="15"/>
      <c r="L648" s="17">
        <f>IF(J648&gt;0, K648/J648, 0)</f>
        <v>0</v>
      </c>
      <c r="M648" s="15">
        <v>18000.0</v>
      </c>
      <c r="N648" s="15"/>
      <c r="O648" s="15">
        <f>M648-N648</f>
        <v>18000</v>
      </c>
      <c r="P648" s="10" t="s">
        <v>42</v>
      </c>
      <c r="Q648" s="10" t="s">
        <v>43</v>
      </c>
      <c r="R648" s="10" t="s">
        <v>44</v>
      </c>
      <c r="S648" s="8" t="s">
        <v>2117</v>
      </c>
      <c r="T648" s="8" t="s">
        <v>44</v>
      </c>
    </row>
    <row r="649" spans="1:20">
      <c r="A649" s="11">
        <v>642</v>
      </c>
      <c r="B649" s="11" t="s">
        <v>938</v>
      </c>
      <c r="C649" s="11" t="s">
        <v>847</v>
      </c>
      <c r="D649" s="11" t="s">
        <v>655</v>
      </c>
      <c r="E649" s="11" t="s">
        <v>34</v>
      </c>
      <c r="F649" s="11" t="s">
        <v>35</v>
      </c>
      <c r="G649" s="9" t="s">
        <v>41</v>
      </c>
      <c r="H649" s="13">
        <v>1</v>
      </c>
      <c r="I649" s="13">
        <v>1</v>
      </c>
      <c r="J649" s="16">
        <v>18000.0</v>
      </c>
      <c r="K649" s="16"/>
      <c r="L649" s="18">
        <f>IF(J649&gt;0, K649/J649, 0)</f>
        <v>0</v>
      </c>
      <c r="M649" s="16">
        <v>18000.0</v>
      </c>
      <c r="N649" s="16"/>
      <c r="O649" s="16">
        <f>M649-N649</f>
        <v>18000</v>
      </c>
      <c r="P649" s="11" t="s">
        <v>42</v>
      </c>
      <c r="Q649" s="11" t="s">
        <v>43</v>
      </c>
      <c r="R649" s="11" t="s">
        <v>44</v>
      </c>
      <c r="S649" s="9" t="s">
        <v>2122</v>
      </c>
      <c r="T649" s="9" t="s">
        <v>44</v>
      </c>
    </row>
    <row r="650" spans="1:20">
      <c r="A650" s="10">
        <v>643</v>
      </c>
      <c r="B650" s="10" t="s">
        <v>939</v>
      </c>
      <c r="C650" s="10" t="s">
        <v>847</v>
      </c>
      <c r="D650" s="10" t="s">
        <v>655</v>
      </c>
      <c r="E650" s="10" t="s">
        <v>34</v>
      </c>
      <c r="F650" s="10" t="s">
        <v>35</v>
      </c>
      <c r="G650" s="8" t="s">
        <v>41</v>
      </c>
      <c r="H650" s="12">
        <v>1</v>
      </c>
      <c r="I650" s="12">
        <v>1</v>
      </c>
      <c r="J650" s="15">
        <v>9500.0</v>
      </c>
      <c r="K650" s="15"/>
      <c r="L650" s="17">
        <f>IF(J650&gt;0, K650/J650, 0)</f>
        <v>0</v>
      </c>
      <c r="M650" s="15">
        <v>9500.0</v>
      </c>
      <c r="N650" s="15"/>
      <c r="O650" s="15">
        <f>M650-N650</f>
        <v>9500</v>
      </c>
      <c r="P650" s="10" t="s">
        <v>42</v>
      </c>
      <c r="Q650" s="10" t="s">
        <v>43</v>
      </c>
      <c r="R650" s="10" t="s">
        <v>44</v>
      </c>
      <c r="S650" s="8" t="s">
        <v>2081</v>
      </c>
      <c r="T650" s="8" t="s">
        <v>44</v>
      </c>
    </row>
    <row r="651" spans="1:20">
      <c r="A651" s="11">
        <v>644</v>
      </c>
      <c r="B651" s="11" t="s">
        <v>940</v>
      </c>
      <c r="C651" s="11" t="s">
        <v>847</v>
      </c>
      <c r="D651" s="11" t="s">
        <v>655</v>
      </c>
      <c r="E651" s="11" t="s">
        <v>34</v>
      </c>
      <c r="F651" s="11" t="s">
        <v>35</v>
      </c>
      <c r="G651" s="9" t="s">
        <v>41</v>
      </c>
      <c r="H651" s="13">
        <v>1</v>
      </c>
      <c r="I651" s="13">
        <v>1</v>
      </c>
      <c r="J651" s="16">
        <v>7500.0</v>
      </c>
      <c r="K651" s="16"/>
      <c r="L651" s="18">
        <f>IF(J651&gt;0, K651/J651, 0)</f>
        <v>0</v>
      </c>
      <c r="M651" s="16">
        <v>7500.0</v>
      </c>
      <c r="N651" s="16"/>
      <c r="O651" s="16">
        <f>M651-N651</f>
        <v>7500</v>
      </c>
      <c r="P651" s="11" t="s">
        <v>42</v>
      </c>
      <c r="Q651" s="11" t="s">
        <v>43</v>
      </c>
      <c r="R651" s="11" t="s">
        <v>44</v>
      </c>
      <c r="S651" s="9" t="s">
        <v>2151</v>
      </c>
      <c r="T651" s="9" t="s">
        <v>44</v>
      </c>
    </row>
    <row r="652" spans="1:20">
      <c r="A652" s="10">
        <v>645</v>
      </c>
      <c r="B652" s="10" t="s">
        <v>941</v>
      </c>
      <c r="C652" s="10" t="s">
        <v>847</v>
      </c>
      <c r="D652" s="10" t="s">
        <v>655</v>
      </c>
      <c r="E652" s="10" t="s">
        <v>34</v>
      </c>
      <c r="F652" s="10" t="s">
        <v>35</v>
      </c>
      <c r="G652" s="8" t="s">
        <v>41</v>
      </c>
      <c r="H652" s="12">
        <v>1</v>
      </c>
      <c r="I652" s="12">
        <v>1</v>
      </c>
      <c r="J652" s="15">
        <v>8500.0</v>
      </c>
      <c r="K652" s="15"/>
      <c r="L652" s="17">
        <f>IF(J652&gt;0, K652/J652, 0)</f>
        <v>0</v>
      </c>
      <c r="M652" s="15">
        <v>8500.0</v>
      </c>
      <c r="N652" s="15"/>
      <c r="O652" s="15">
        <f>M652-N652</f>
        <v>8500</v>
      </c>
      <c r="P652" s="10" t="s">
        <v>42</v>
      </c>
      <c r="Q652" s="10" t="s">
        <v>43</v>
      </c>
      <c r="R652" s="10" t="s">
        <v>44</v>
      </c>
      <c r="S652" s="8" t="s">
        <v>2119</v>
      </c>
      <c r="T652" s="8" t="s">
        <v>44</v>
      </c>
    </row>
    <row r="653" spans="1:20">
      <c r="A653" s="11">
        <v>646</v>
      </c>
      <c r="B653" s="11" t="s">
        <v>942</v>
      </c>
      <c r="C653" s="11" t="s">
        <v>847</v>
      </c>
      <c r="D653" s="11" t="s">
        <v>655</v>
      </c>
      <c r="E653" s="11" t="s">
        <v>34</v>
      </c>
      <c r="F653" s="11" t="s">
        <v>35</v>
      </c>
      <c r="G653" s="9" t="s">
        <v>41</v>
      </c>
      <c r="H653" s="13">
        <v>1</v>
      </c>
      <c r="I653" s="13">
        <v>1</v>
      </c>
      <c r="J653" s="16">
        <v>9000.0</v>
      </c>
      <c r="K653" s="16"/>
      <c r="L653" s="18">
        <f>IF(J653&gt;0, K653/J653, 0)</f>
        <v>0</v>
      </c>
      <c r="M653" s="16">
        <v>9000.0</v>
      </c>
      <c r="N653" s="16"/>
      <c r="O653" s="16">
        <f>M653-N653</f>
        <v>9000</v>
      </c>
      <c r="P653" s="11" t="s">
        <v>42</v>
      </c>
      <c r="Q653" s="11" t="s">
        <v>43</v>
      </c>
      <c r="R653" s="11" t="s">
        <v>44</v>
      </c>
      <c r="S653" s="9" t="s">
        <v>2120</v>
      </c>
      <c r="T653" s="9" t="s">
        <v>44</v>
      </c>
    </row>
    <row r="654" spans="1:20">
      <c r="A654" s="10">
        <v>647</v>
      </c>
      <c r="B654" s="10" t="s">
        <v>943</v>
      </c>
      <c r="C654" s="10" t="s">
        <v>847</v>
      </c>
      <c r="D654" s="10" t="s">
        <v>655</v>
      </c>
      <c r="E654" s="10" t="s">
        <v>34</v>
      </c>
      <c r="F654" s="10" t="s">
        <v>35</v>
      </c>
      <c r="G654" s="8" t="s">
        <v>41</v>
      </c>
      <c r="H654" s="12">
        <v>1</v>
      </c>
      <c r="I654" s="12">
        <v>1</v>
      </c>
      <c r="J654" s="15">
        <v>8000.0</v>
      </c>
      <c r="K654" s="15"/>
      <c r="L654" s="17">
        <f>IF(J654&gt;0, K654/J654, 0)</f>
        <v>0</v>
      </c>
      <c r="M654" s="15">
        <v>8000.0</v>
      </c>
      <c r="N654" s="15"/>
      <c r="O654" s="15">
        <f>M654-N654</f>
        <v>8000</v>
      </c>
      <c r="P654" s="10" t="s">
        <v>42</v>
      </c>
      <c r="Q654" s="10" t="s">
        <v>43</v>
      </c>
      <c r="R654" s="10" t="s">
        <v>44</v>
      </c>
      <c r="S654" s="8" t="s">
        <v>2108</v>
      </c>
      <c r="T654" s="8" t="s">
        <v>44</v>
      </c>
    </row>
    <row r="655" spans="1:20">
      <c r="A655" s="11">
        <v>648</v>
      </c>
      <c r="B655" s="11" t="s">
        <v>944</v>
      </c>
      <c r="C655" s="11" t="s">
        <v>847</v>
      </c>
      <c r="D655" s="11" t="s">
        <v>655</v>
      </c>
      <c r="E655" s="11" t="s">
        <v>70</v>
      </c>
      <c r="F655" s="11" t="s">
        <v>35</v>
      </c>
      <c r="G655" s="9" t="s">
        <v>41</v>
      </c>
      <c r="H655" s="13">
        <v>1</v>
      </c>
      <c r="I655" s="13">
        <v>4</v>
      </c>
      <c r="J655" s="16">
        <v>40000.0</v>
      </c>
      <c r="K655" s="16"/>
      <c r="L655" s="18">
        <f>IF(J655&gt;0, K655/J655, 0)</f>
        <v>0</v>
      </c>
      <c r="M655" s="16">
        <v>40000.0</v>
      </c>
      <c r="N655" s="16"/>
      <c r="O655" s="16">
        <f>M655-N655</f>
        <v>40000</v>
      </c>
      <c r="P655" s="11" t="s">
        <v>42</v>
      </c>
      <c r="Q655" s="11" t="s">
        <v>73</v>
      </c>
      <c r="R655" s="11" t="s">
        <v>44</v>
      </c>
      <c r="S655" s="9" t="s">
        <v>2178</v>
      </c>
      <c r="T655" s="9" t="s">
        <v>44</v>
      </c>
    </row>
    <row r="656" spans="1:20">
      <c r="A656" s="10">
        <v>649</v>
      </c>
      <c r="B656" s="10" t="s">
        <v>945</v>
      </c>
      <c r="C656" s="10" t="s">
        <v>847</v>
      </c>
      <c r="D656" s="10" t="s">
        <v>655</v>
      </c>
      <c r="E656" s="10" t="s">
        <v>70</v>
      </c>
      <c r="F656" s="10" t="s">
        <v>35</v>
      </c>
      <c r="G656" s="8" t="s">
        <v>41</v>
      </c>
      <c r="H656" s="12">
        <v>1</v>
      </c>
      <c r="I656" s="12">
        <v>1</v>
      </c>
      <c r="J656" s="15">
        <v>18000.0</v>
      </c>
      <c r="K656" s="15"/>
      <c r="L656" s="17">
        <f>IF(J656&gt;0, K656/J656, 0)</f>
        <v>0</v>
      </c>
      <c r="M656" s="15">
        <v>18000.0</v>
      </c>
      <c r="N656" s="15"/>
      <c r="O656" s="15">
        <f>M656-N656</f>
        <v>18000</v>
      </c>
      <c r="P656" s="10" t="s">
        <v>42</v>
      </c>
      <c r="Q656" s="10" t="s">
        <v>73</v>
      </c>
      <c r="R656" s="10" t="s">
        <v>44</v>
      </c>
      <c r="S656" s="8" t="s">
        <v>2026</v>
      </c>
      <c r="T656" s="8" t="s">
        <v>44</v>
      </c>
    </row>
    <row r="657" spans="1:20">
      <c r="A657" s="11">
        <v>650</v>
      </c>
      <c r="B657" s="11" t="s">
        <v>946</v>
      </c>
      <c r="C657" s="11" t="s">
        <v>847</v>
      </c>
      <c r="D657" s="11" t="s">
        <v>655</v>
      </c>
      <c r="E657" s="11" t="s">
        <v>34</v>
      </c>
      <c r="F657" s="11" t="s">
        <v>35</v>
      </c>
      <c r="G657" s="9" t="s">
        <v>41</v>
      </c>
      <c r="H657" s="13">
        <v>1</v>
      </c>
      <c r="I657" s="13">
        <v>1</v>
      </c>
      <c r="J657" s="16">
        <v>8000.0</v>
      </c>
      <c r="K657" s="16"/>
      <c r="L657" s="18">
        <f>IF(J657&gt;0, K657/J657, 0)</f>
        <v>0</v>
      </c>
      <c r="M657" s="16">
        <v>8000.0</v>
      </c>
      <c r="N657" s="16"/>
      <c r="O657" s="16">
        <f>M657-N657</f>
        <v>8000</v>
      </c>
      <c r="P657" s="11" t="s">
        <v>42</v>
      </c>
      <c r="Q657" s="11" t="s">
        <v>43</v>
      </c>
      <c r="R657" s="11" t="s">
        <v>44</v>
      </c>
      <c r="S657" s="9" t="s">
        <v>2068</v>
      </c>
      <c r="T657" s="9" t="s">
        <v>44</v>
      </c>
    </row>
    <row r="658" spans="1:20">
      <c r="A658" s="10">
        <v>651</v>
      </c>
      <c r="B658" s="10" t="s">
        <v>947</v>
      </c>
      <c r="C658" s="10" t="s">
        <v>847</v>
      </c>
      <c r="D658" s="10" t="s">
        <v>655</v>
      </c>
      <c r="E658" s="10" t="s">
        <v>34</v>
      </c>
      <c r="F658" s="10" t="s">
        <v>35</v>
      </c>
      <c r="G658" s="8" t="s">
        <v>41</v>
      </c>
      <c r="H658" s="12">
        <v>1</v>
      </c>
      <c r="I658" s="12">
        <v>1</v>
      </c>
      <c r="J658" s="15">
        <v>18000.0</v>
      </c>
      <c r="K658" s="15"/>
      <c r="L658" s="17">
        <f>IF(J658&gt;0, K658/J658, 0)</f>
        <v>0</v>
      </c>
      <c r="M658" s="15">
        <v>18000.0</v>
      </c>
      <c r="N658" s="15"/>
      <c r="O658" s="15">
        <f>M658-N658</f>
        <v>18000</v>
      </c>
      <c r="P658" s="10" t="s">
        <v>42</v>
      </c>
      <c r="Q658" s="10" t="s">
        <v>43</v>
      </c>
      <c r="R658" s="10" t="s">
        <v>44</v>
      </c>
      <c r="S658" s="8" t="s">
        <v>2117</v>
      </c>
      <c r="T658" s="8" t="s">
        <v>44</v>
      </c>
    </row>
    <row r="659" spans="1:20">
      <c r="A659" s="11">
        <v>652</v>
      </c>
      <c r="B659" s="11" t="s">
        <v>948</v>
      </c>
      <c r="C659" s="11" t="s">
        <v>847</v>
      </c>
      <c r="D659" s="11" t="s">
        <v>655</v>
      </c>
      <c r="E659" s="11" t="s">
        <v>70</v>
      </c>
      <c r="F659" s="11" t="s">
        <v>35</v>
      </c>
      <c r="G659" s="9" t="s">
        <v>41</v>
      </c>
      <c r="H659" s="13">
        <v>1</v>
      </c>
      <c r="I659" s="13">
        <v>1</v>
      </c>
      <c r="J659" s="16">
        <v>8000.0</v>
      </c>
      <c r="K659" s="16"/>
      <c r="L659" s="18">
        <f>IF(J659&gt;0, K659/J659, 0)</f>
        <v>0</v>
      </c>
      <c r="M659" s="16">
        <v>8000.0</v>
      </c>
      <c r="N659" s="16"/>
      <c r="O659" s="16">
        <f>M659-N659</f>
        <v>8000</v>
      </c>
      <c r="P659" s="11" t="s">
        <v>42</v>
      </c>
      <c r="Q659" s="11" t="s">
        <v>73</v>
      </c>
      <c r="R659" s="11" t="s">
        <v>44</v>
      </c>
      <c r="S659" s="9" t="s">
        <v>2164</v>
      </c>
      <c r="T659" s="9" t="s">
        <v>44</v>
      </c>
    </row>
    <row r="660" spans="1:20">
      <c r="A660" s="10">
        <v>653</v>
      </c>
      <c r="B660" s="10" t="s">
        <v>949</v>
      </c>
      <c r="C660" s="10" t="s">
        <v>847</v>
      </c>
      <c r="D660" s="10" t="s">
        <v>655</v>
      </c>
      <c r="E660" s="10" t="s">
        <v>70</v>
      </c>
      <c r="F660" s="10" t="s">
        <v>35</v>
      </c>
      <c r="G660" s="8" t="s">
        <v>41</v>
      </c>
      <c r="H660" s="12">
        <v>1</v>
      </c>
      <c r="I660" s="12">
        <v>1</v>
      </c>
      <c r="J660" s="15">
        <v>8000.0</v>
      </c>
      <c r="K660" s="15"/>
      <c r="L660" s="17">
        <f>IF(J660&gt;0, K660/J660, 0)</f>
        <v>0</v>
      </c>
      <c r="M660" s="15">
        <v>8000.0</v>
      </c>
      <c r="N660" s="15"/>
      <c r="O660" s="15">
        <f>M660-N660</f>
        <v>8000</v>
      </c>
      <c r="P660" s="10" t="s">
        <v>42</v>
      </c>
      <c r="Q660" s="10" t="s">
        <v>73</v>
      </c>
      <c r="R660" s="10" t="s">
        <v>44</v>
      </c>
      <c r="S660" s="8" t="s">
        <v>2041</v>
      </c>
      <c r="T660" s="8" t="s">
        <v>44</v>
      </c>
    </row>
    <row r="661" spans="1:20">
      <c r="A661" s="11">
        <v>654</v>
      </c>
      <c r="B661" s="11" t="s">
        <v>950</v>
      </c>
      <c r="C661" s="11" t="s">
        <v>847</v>
      </c>
      <c r="D661" s="11" t="s">
        <v>655</v>
      </c>
      <c r="E661" s="11" t="s">
        <v>70</v>
      </c>
      <c r="F661" s="11" t="s">
        <v>35</v>
      </c>
      <c r="G661" s="9" t="s">
        <v>41</v>
      </c>
      <c r="H661" s="13">
        <v>1</v>
      </c>
      <c r="I661" s="13">
        <v>1</v>
      </c>
      <c r="J661" s="16">
        <v>10000.0</v>
      </c>
      <c r="K661" s="16"/>
      <c r="L661" s="18">
        <f>IF(J661&gt;0, K661/J661, 0)</f>
        <v>0</v>
      </c>
      <c r="M661" s="16">
        <v>10000.0</v>
      </c>
      <c r="N661" s="16"/>
      <c r="O661" s="16">
        <f>M661-N661</f>
        <v>10000</v>
      </c>
      <c r="P661" s="11" t="s">
        <v>42</v>
      </c>
      <c r="Q661" s="11" t="s">
        <v>73</v>
      </c>
      <c r="R661" s="11" t="s">
        <v>44</v>
      </c>
      <c r="S661" s="9" t="s">
        <v>2059</v>
      </c>
      <c r="T661" s="9" t="s">
        <v>44</v>
      </c>
    </row>
    <row r="662" spans="1:20">
      <c r="A662" s="10">
        <v>655</v>
      </c>
      <c r="B662" s="10" t="s">
        <v>951</v>
      </c>
      <c r="C662" s="10" t="s">
        <v>847</v>
      </c>
      <c r="D662" s="10" t="s">
        <v>655</v>
      </c>
      <c r="E662" s="10" t="s">
        <v>34</v>
      </c>
      <c r="F662" s="10" t="s">
        <v>35</v>
      </c>
      <c r="G662" s="8" t="s">
        <v>41</v>
      </c>
      <c r="H662" s="12">
        <v>1</v>
      </c>
      <c r="I662" s="12">
        <v>1</v>
      </c>
      <c r="J662" s="15">
        <v>9000.0</v>
      </c>
      <c r="K662" s="15"/>
      <c r="L662" s="17">
        <f>IF(J662&gt;0, K662/J662, 0)</f>
        <v>0</v>
      </c>
      <c r="M662" s="15">
        <v>9000.0</v>
      </c>
      <c r="N662" s="15"/>
      <c r="O662" s="15">
        <f>M662-N662</f>
        <v>9000</v>
      </c>
      <c r="P662" s="10" t="s">
        <v>42</v>
      </c>
      <c r="Q662" s="10" t="s">
        <v>43</v>
      </c>
      <c r="R662" s="10" t="s">
        <v>44</v>
      </c>
      <c r="S662" s="8" t="s">
        <v>2083</v>
      </c>
      <c r="T662" s="8" t="s">
        <v>44</v>
      </c>
    </row>
    <row r="663" spans="1:20">
      <c r="A663" s="11">
        <v>656</v>
      </c>
      <c r="B663" s="11" t="s">
        <v>952</v>
      </c>
      <c r="C663" s="11" t="s">
        <v>847</v>
      </c>
      <c r="D663" s="11" t="s">
        <v>655</v>
      </c>
      <c r="E663" s="11" t="s">
        <v>34</v>
      </c>
      <c r="F663" s="11" t="s">
        <v>35</v>
      </c>
      <c r="G663" s="9" t="s">
        <v>41</v>
      </c>
      <c r="H663" s="13">
        <v>1</v>
      </c>
      <c r="I663" s="13">
        <v>1</v>
      </c>
      <c r="J663" s="16">
        <v>8000.0</v>
      </c>
      <c r="K663" s="16"/>
      <c r="L663" s="18">
        <f>IF(J663&gt;0, K663/J663, 0)</f>
        <v>0</v>
      </c>
      <c r="M663" s="16">
        <v>8000.0</v>
      </c>
      <c r="N663" s="16"/>
      <c r="O663" s="16">
        <f>M663-N663</f>
        <v>8000</v>
      </c>
      <c r="P663" s="11" t="s">
        <v>42</v>
      </c>
      <c r="Q663" s="11" t="s">
        <v>43</v>
      </c>
      <c r="R663" s="11" t="s">
        <v>44</v>
      </c>
      <c r="S663" s="9" t="s">
        <v>2106</v>
      </c>
      <c r="T663" s="9" t="s">
        <v>44</v>
      </c>
    </row>
    <row r="664" spans="1:20">
      <c r="A664" s="10">
        <v>657</v>
      </c>
      <c r="B664" s="10" t="s">
        <v>953</v>
      </c>
      <c r="C664" s="10" t="s">
        <v>847</v>
      </c>
      <c r="D664" s="10" t="s">
        <v>655</v>
      </c>
      <c r="E664" s="10" t="s">
        <v>34</v>
      </c>
      <c r="F664" s="10" t="s">
        <v>35</v>
      </c>
      <c r="G664" s="8" t="s">
        <v>41</v>
      </c>
      <c r="H664" s="12">
        <v>1</v>
      </c>
      <c r="I664" s="12">
        <v>1</v>
      </c>
      <c r="J664" s="15">
        <v>8000.0</v>
      </c>
      <c r="K664" s="15"/>
      <c r="L664" s="17">
        <f>IF(J664&gt;0, K664/J664, 0)</f>
        <v>0</v>
      </c>
      <c r="M664" s="15">
        <v>8000.0</v>
      </c>
      <c r="N664" s="15"/>
      <c r="O664" s="15">
        <f>M664-N664</f>
        <v>8000</v>
      </c>
      <c r="P664" s="10" t="s">
        <v>42</v>
      </c>
      <c r="Q664" s="10" t="s">
        <v>43</v>
      </c>
      <c r="R664" s="10" t="s">
        <v>44</v>
      </c>
      <c r="S664" s="8" t="s">
        <v>2067</v>
      </c>
      <c r="T664" s="8" t="s">
        <v>44</v>
      </c>
    </row>
    <row r="665" spans="1:20">
      <c r="A665" s="11">
        <v>658</v>
      </c>
      <c r="B665" s="11" t="s">
        <v>954</v>
      </c>
      <c r="C665" s="11" t="s">
        <v>847</v>
      </c>
      <c r="D665" s="11" t="s">
        <v>655</v>
      </c>
      <c r="E665" s="11" t="s">
        <v>34</v>
      </c>
      <c r="F665" s="11" t="s">
        <v>35</v>
      </c>
      <c r="G665" s="9" t="s">
        <v>41</v>
      </c>
      <c r="H665" s="13">
        <v>1</v>
      </c>
      <c r="I665" s="13">
        <v>2</v>
      </c>
      <c r="J665" s="16">
        <v>14000.0</v>
      </c>
      <c r="K665" s="16"/>
      <c r="L665" s="18">
        <f>IF(J665&gt;0, K665/J665, 0)</f>
        <v>0</v>
      </c>
      <c r="M665" s="16">
        <v>14000.0</v>
      </c>
      <c r="N665" s="16"/>
      <c r="O665" s="16">
        <f>M665-N665</f>
        <v>14000</v>
      </c>
      <c r="P665" s="11" t="s">
        <v>42</v>
      </c>
      <c r="Q665" s="11" t="s">
        <v>43</v>
      </c>
      <c r="R665" s="11" t="s">
        <v>44</v>
      </c>
      <c r="S665" s="9" t="s">
        <v>2116</v>
      </c>
      <c r="T665" s="9" t="s">
        <v>44</v>
      </c>
    </row>
    <row r="666" spans="1:20">
      <c r="A666" s="10">
        <v>659</v>
      </c>
      <c r="B666" s="10" t="s">
        <v>955</v>
      </c>
      <c r="C666" s="10" t="s">
        <v>847</v>
      </c>
      <c r="D666" s="10" t="s">
        <v>655</v>
      </c>
      <c r="E666" s="10" t="s">
        <v>34</v>
      </c>
      <c r="F666" s="10" t="s">
        <v>35</v>
      </c>
      <c r="G666" s="8" t="s">
        <v>41</v>
      </c>
      <c r="H666" s="12">
        <v>1</v>
      </c>
      <c r="I666" s="12">
        <v>2</v>
      </c>
      <c r="J666" s="15">
        <v>14000.0</v>
      </c>
      <c r="K666" s="15"/>
      <c r="L666" s="17">
        <f>IF(J666&gt;0, K666/J666, 0)</f>
        <v>0</v>
      </c>
      <c r="M666" s="15">
        <v>14000.0</v>
      </c>
      <c r="N666" s="15"/>
      <c r="O666" s="15">
        <f>M666-N666</f>
        <v>14000</v>
      </c>
      <c r="P666" s="10" t="s">
        <v>42</v>
      </c>
      <c r="Q666" s="10" t="s">
        <v>43</v>
      </c>
      <c r="R666" s="10" t="s">
        <v>44</v>
      </c>
      <c r="S666" s="8" t="s">
        <v>2063</v>
      </c>
      <c r="T666" s="8" t="s">
        <v>44</v>
      </c>
    </row>
    <row r="667" spans="1:20">
      <c r="A667" s="11">
        <v>660</v>
      </c>
      <c r="B667" s="11" t="s">
        <v>956</v>
      </c>
      <c r="C667" s="11" t="s">
        <v>957</v>
      </c>
      <c r="D667" s="11" t="s">
        <v>655</v>
      </c>
      <c r="E667" s="11" t="s">
        <v>34</v>
      </c>
      <c r="F667" s="11" t="s">
        <v>35</v>
      </c>
      <c r="G667" s="9" t="s">
        <v>41</v>
      </c>
      <c r="H667" s="13">
        <v>1</v>
      </c>
      <c r="I667" s="13">
        <v>1</v>
      </c>
      <c r="J667" s="16">
        <v>8000.0</v>
      </c>
      <c r="K667" s="16"/>
      <c r="L667" s="18">
        <f>IF(J667&gt;0, K667/J667, 0)</f>
        <v>0</v>
      </c>
      <c r="M667" s="16">
        <v>8000.0</v>
      </c>
      <c r="N667" s="16"/>
      <c r="O667" s="16">
        <f>M667-N667</f>
        <v>8000</v>
      </c>
      <c r="P667" s="11" t="s">
        <v>42</v>
      </c>
      <c r="Q667" s="11" t="s">
        <v>43</v>
      </c>
      <c r="R667" s="11" t="s">
        <v>44</v>
      </c>
      <c r="S667" s="9" t="s">
        <v>2115</v>
      </c>
      <c r="T667" s="9" t="s">
        <v>44</v>
      </c>
    </row>
    <row r="668" spans="1:20">
      <c r="A668" s="10">
        <v>661</v>
      </c>
      <c r="B668" s="10" t="s">
        <v>958</v>
      </c>
      <c r="C668" s="10" t="s">
        <v>957</v>
      </c>
      <c r="D668" s="10" t="s">
        <v>655</v>
      </c>
      <c r="E668" s="10" t="s">
        <v>34</v>
      </c>
      <c r="F668" s="10" t="s">
        <v>35</v>
      </c>
      <c r="G668" s="8" t="s">
        <v>41</v>
      </c>
      <c r="H668" s="12">
        <v>1</v>
      </c>
      <c r="I668" s="12">
        <v>1</v>
      </c>
      <c r="J668" s="15">
        <v>8000.0</v>
      </c>
      <c r="K668" s="15"/>
      <c r="L668" s="17">
        <f>IF(J668&gt;0, K668/J668, 0)</f>
        <v>0</v>
      </c>
      <c r="M668" s="15">
        <v>8000.0</v>
      </c>
      <c r="N668" s="15"/>
      <c r="O668" s="15">
        <f>M668-N668</f>
        <v>8000</v>
      </c>
      <c r="P668" s="10" t="s">
        <v>42</v>
      </c>
      <c r="Q668" s="10" t="s">
        <v>43</v>
      </c>
      <c r="R668" s="10" t="s">
        <v>44</v>
      </c>
      <c r="S668" s="8" t="s">
        <v>2087</v>
      </c>
      <c r="T668" s="8" t="s">
        <v>44</v>
      </c>
    </row>
    <row r="669" spans="1:20">
      <c r="A669" s="11">
        <v>662</v>
      </c>
      <c r="B669" s="11" t="s">
        <v>959</v>
      </c>
      <c r="C669" s="11" t="s">
        <v>957</v>
      </c>
      <c r="D669" s="11" t="s">
        <v>655</v>
      </c>
      <c r="E669" s="11" t="s">
        <v>34</v>
      </c>
      <c r="F669" s="11" t="s">
        <v>35</v>
      </c>
      <c r="G669" s="9" t="s">
        <v>41</v>
      </c>
      <c r="H669" s="13">
        <v>1</v>
      </c>
      <c r="I669" s="13">
        <v>1</v>
      </c>
      <c r="J669" s="16">
        <v>7000.0</v>
      </c>
      <c r="K669" s="16"/>
      <c r="L669" s="18">
        <f>IF(J669&gt;0, K669/J669, 0)</f>
        <v>0</v>
      </c>
      <c r="M669" s="16">
        <v>7000.0</v>
      </c>
      <c r="N669" s="16"/>
      <c r="O669" s="16">
        <f>M669-N669</f>
        <v>7000</v>
      </c>
      <c r="P669" s="11" t="s">
        <v>42</v>
      </c>
      <c r="Q669" s="11" t="s">
        <v>43</v>
      </c>
      <c r="R669" s="11" t="s">
        <v>44</v>
      </c>
      <c r="S669" s="9" t="s">
        <v>2038</v>
      </c>
      <c r="T669" s="9" t="s">
        <v>44</v>
      </c>
    </row>
    <row r="670" spans="1:20">
      <c r="A670" s="10">
        <v>663</v>
      </c>
      <c r="B670" s="10" t="s">
        <v>960</v>
      </c>
      <c r="C670" s="10" t="s">
        <v>957</v>
      </c>
      <c r="D670" s="10" t="s">
        <v>655</v>
      </c>
      <c r="E670" s="10" t="s">
        <v>34</v>
      </c>
      <c r="F670" s="10" t="s">
        <v>35</v>
      </c>
      <c r="G670" s="8" t="s">
        <v>41</v>
      </c>
      <c r="H670" s="12">
        <v>1</v>
      </c>
      <c r="I670" s="12">
        <v>1</v>
      </c>
      <c r="J670" s="15">
        <v>7000.0</v>
      </c>
      <c r="K670" s="15"/>
      <c r="L670" s="17">
        <f>IF(J670&gt;0, K670/J670, 0)</f>
        <v>0</v>
      </c>
      <c r="M670" s="15">
        <v>7000.0</v>
      </c>
      <c r="N670" s="15"/>
      <c r="O670" s="15">
        <f>M670-N670</f>
        <v>7000</v>
      </c>
      <c r="P670" s="10" t="s">
        <v>42</v>
      </c>
      <c r="Q670" s="10" t="s">
        <v>43</v>
      </c>
      <c r="R670" s="10" t="s">
        <v>44</v>
      </c>
      <c r="S670" s="8" t="s">
        <v>2179</v>
      </c>
      <c r="T670" s="8" t="s">
        <v>44</v>
      </c>
    </row>
    <row r="671" spans="1:20">
      <c r="A671" s="11">
        <v>664</v>
      </c>
      <c r="B671" s="11" t="s">
        <v>962</v>
      </c>
      <c r="C671" s="11" t="s">
        <v>957</v>
      </c>
      <c r="D671" s="11" t="s">
        <v>655</v>
      </c>
      <c r="E671" s="11" t="s">
        <v>34</v>
      </c>
      <c r="F671" s="11" t="s">
        <v>35</v>
      </c>
      <c r="G671" s="9" t="s">
        <v>41</v>
      </c>
      <c r="H671" s="13">
        <v>1</v>
      </c>
      <c r="I671" s="13">
        <v>1</v>
      </c>
      <c r="J671" s="16">
        <v>8000.0</v>
      </c>
      <c r="K671" s="16"/>
      <c r="L671" s="18">
        <f>IF(J671&gt;0, K671/J671, 0)</f>
        <v>0</v>
      </c>
      <c r="M671" s="16">
        <v>8000.0</v>
      </c>
      <c r="N671" s="16"/>
      <c r="O671" s="16">
        <f>M671-N671</f>
        <v>8000</v>
      </c>
      <c r="P671" s="11" t="s">
        <v>42</v>
      </c>
      <c r="Q671" s="11" t="s">
        <v>43</v>
      </c>
      <c r="R671" s="11" t="s">
        <v>44</v>
      </c>
      <c r="S671" s="9" t="s">
        <v>2115</v>
      </c>
      <c r="T671" s="9" t="s">
        <v>44</v>
      </c>
    </row>
    <row r="672" spans="1:20">
      <c r="A672" s="10">
        <v>665</v>
      </c>
      <c r="B672" s="10" t="s">
        <v>963</v>
      </c>
      <c r="C672" s="10" t="s">
        <v>957</v>
      </c>
      <c r="D672" s="10" t="s">
        <v>655</v>
      </c>
      <c r="E672" s="10" t="s">
        <v>34</v>
      </c>
      <c r="F672" s="10" t="s">
        <v>35</v>
      </c>
      <c r="G672" s="8" t="s">
        <v>41</v>
      </c>
      <c r="H672" s="12">
        <v>1</v>
      </c>
      <c r="I672" s="12">
        <v>2</v>
      </c>
      <c r="J672" s="15">
        <v>16000.0</v>
      </c>
      <c r="K672" s="15"/>
      <c r="L672" s="17">
        <f>IF(J672&gt;0, K672/J672, 0)</f>
        <v>0</v>
      </c>
      <c r="M672" s="15">
        <v>16000.0</v>
      </c>
      <c r="N672" s="15"/>
      <c r="O672" s="15">
        <f>M672-N672</f>
        <v>16000</v>
      </c>
      <c r="P672" s="10" t="s">
        <v>42</v>
      </c>
      <c r="Q672" s="10" t="s">
        <v>43</v>
      </c>
      <c r="R672" s="10" t="s">
        <v>44</v>
      </c>
      <c r="S672" s="8" t="s">
        <v>2180</v>
      </c>
      <c r="T672" s="8" t="s">
        <v>44</v>
      </c>
    </row>
    <row r="673" spans="1:20">
      <c r="A673" s="11">
        <v>666</v>
      </c>
      <c r="B673" s="11" t="s">
        <v>964</v>
      </c>
      <c r="C673" s="11" t="s">
        <v>957</v>
      </c>
      <c r="D673" s="11" t="s">
        <v>655</v>
      </c>
      <c r="E673" s="11" t="s">
        <v>34</v>
      </c>
      <c r="F673" s="11" t="s">
        <v>35</v>
      </c>
      <c r="G673" s="9" t="s">
        <v>41</v>
      </c>
      <c r="H673" s="13">
        <v>1</v>
      </c>
      <c r="I673" s="13">
        <v>1</v>
      </c>
      <c r="J673" s="16">
        <v>18000.0</v>
      </c>
      <c r="K673" s="16"/>
      <c r="L673" s="18">
        <f>IF(J673&gt;0, K673/J673, 0)</f>
        <v>0</v>
      </c>
      <c r="M673" s="16">
        <v>18000.0</v>
      </c>
      <c r="N673" s="16"/>
      <c r="O673" s="16">
        <f>M673-N673</f>
        <v>18000</v>
      </c>
      <c r="P673" s="11" t="s">
        <v>42</v>
      </c>
      <c r="Q673" s="11" t="s">
        <v>43</v>
      </c>
      <c r="R673" s="11" t="s">
        <v>44</v>
      </c>
      <c r="S673" s="9" t="s">
        <v>2066</v>
      </c>
      <c r="T673" s="9" t="s">
        <v>44</v>
      </c>
    </row>
    <row r="674" spans="1:20">
      <c r="A674" s="10">
        <v>667</v>
      </c>
      <c r="B674" s="10" t="s">
        <v>965</v>
      </c>
      <c r="C674" s="10" t="s">
        <v>957</v>
      </c>
      <c r="D674" s="10" t="s">
        <v>655</v>
      </c>
      <c r="E674" s="10" t="s">
        <v>70</v>
      </c>
      <c r="F674" s="10" t="s">
        <v>35</v>
      </c>
      <c r="G674" s="8" t="s">
        <v>41</v>
      </c>
      <c r="H674" s="12">
        <v>1</v>
      </c>
      <c r="I674" s="12">
        <v>1</v>
      </c>
      <c r="J674" s="15">
        <v>10000.0</v>
      </c>
      <c r="K674" s="15"/>
      <c r="L674" s="17">
        <f>IF(J674&gt;0, K674/J674, 0)</f>
        <v>0</v>
      </c>
      <c r="M674" s="15">
        <v>10000.0</v>
      </c>
      <c r="N674" s="15"/>
      <c r="O674" s="15">
        <f>M674-N674</f>
        <v>10000</v>
      </c>
      <c r="P674" s="10" t="s">
        <v>42</v>
      </c>
      <c r="Q674" s="10" t="s">
        <v>73</v>
      </c>
      <c r="R674" s="10" t="s">
        <v>44</v>
      </c>
      <c r="S674" s="8" t="s">
        <v>2112</v>
      </c>
      <c r="T674" s="8" t="s">
        <v>44</v>
      </c>
    </row>
    <row r="675" spans="1:20">
      <c r="A675" s="11">
        <v>668</v>
      </c>
      <c r="B675" s="11" t="s">
        <v>966</v>
      </c>
      <c r="C675" s="11" t="s">
        <v>957</v>
      </c>
      <c r="D675" s="11" t="s">
        <v>655</v>
      </c>
      <c r="E675" s="11" t="s">
        <v>70</v>
      </c>
      <c r="F675" s="11" t="s">
        <v>35</v>
      </c>
      <c r="G675" s="9" t="s">
        <v>41</v>
      </c>
      <c r="H675" s="13">
        <v>1</v>
      </c>
      <c r="I675" s="13">
        <v>1</v>
      </c>
      <c r="J675" s="16">
        <v>9000.0</v>
      </c>
      <c r="K675" s="16"/>
      <c r="L675" s="18">
        <f>IF(J675&gt;0, K675/J675, 0)</f>
        <v>0</v>
      </c>
      <c r="M675" s="16">
        <v>9000.0</v>
      </c>
      <c r="N675" s="16"/>
      <c r="O675" s="16">
        <f>M675-N675</f>
        <v>9000</v>
      </c>
      <c r="P675" s="11" t="s">
        <v>42</v>
      </c>
      <c r="Q675" s="11" t="s">
        <v>73</v>
      </c>
      <c r="R675" s="11" t="s">
        <v>44</v>
      </c>
      <c r="S675" s="9" t="s">
        <v>2101</v>
      </c>
      <c r="T675" s="9" t="s">
        <v>44</v>
      </c>
    </row>
    <row r="676" spans="1:20">
      <c r="A676" s="10">
        <v>669</v>
      </c>
      <c r="B676" s="10" t="s">
        <v>967</v>
      </c>
      <c r="C676" s="10" t="s">
        <v>957</v>
      </c>
      <c r="D676" s="10" t="s">
        <v>655</v>
      </c>
      <c r="E676" s="10" t="s">
        <v>34</v>
      </c>
      <c r="F676" s="10" t="s">
        <v>35</v>
      </c>
      <c r="G676" s="8" t="s">
        <v>41</v>
      </c>
      <c r="H676" s="12">
        <v>1</v>
      </c>
      <c r="I676" s="12">
        <v>1</v>
      </c>
      <c r="J676" s="15">
        <v>9500.0</v>
      </c>
      <c r="K676" s="15"/>
      <c r="L676" s="17">
        <f>IF(J676&gt;0, K676/J676, 0)</f>
        <v>0</v>
      </c>
      <c r="M676" s="15">
        <v>9500.0</v>
      </c>
      <c r="N676" s="15"/>
      <c r="O676" s="15">
        <f>M676-N676</f>
        <v>9500</v>
      </c>
      <c r="P676" s="10" t="s">
        <v>42</v>
      </c>
      <c r="Q676" s="10" t="s">
        <v>43</v>
      </c>
      <c r="R676" s="10" t="s">
        <v>44</v>
      </c>
      <c r="S676" s="8" t="s">
        <v>2060</v>
      </c>
      <c r="T676" s="8" t="s">
        <v>44</v>
      </c>
    </row>
    <row r="677" spans="1:20">
      <c r="A677" s="11">
        <v>670</v>
      </c>
      <c r="B677" s="11" t="s">
        <v>968</v>
      </c>
      <c r="C677" s="11" t="s">
        <v>957</v>
      </c>
      <c r="D677" s="11" t="s">
        <v>655</v>
      </c>
      <c r="E677" s="11" t="s">
        <v>34</v>
      </c>
      <c r="F677" s="11" t="s">
        <v>35</v>
      </c>
      <c r="G677" s="9" t="s">
        <v>41</v>
      </c>
      <c r="H677" s="13">
        <v>1</v>
      </c>
      <c r="I677" s="13">
        <v>1</v>
      </c>
      <c r="J677" s="16">
        <v>16000.0</v>
      </c>
      <c r="K677" s="16"/>
      <c r="L677" s="18">
        <f>IF(J677&gt;0, K677/J677, 0)</f>
        <v>0</v>
      </c>
      <c r="M677" s="16">
        <v>16000.0</v>
      </c>
      <c r="N677" s="16"/>
      <c r="O677" s="16">
        <f>M677-N677</f>
        <v>16000</v>
      </c>
      <c r="P677" s="11" t="s">
        <v>42</v>
      </c>
      <c r="Q677" s="11" t="s">
        <v>43</v>
      </c>
      <c r="R677" s="11" t="s">
        <v>44</v>
      </c>
      <c r="S677" s="9" t="s">
        <v>2040</v>
      </c>
      <c r="T677" s="9" t="s">
        <v>44</v>
      </c>
    </row>
    <row r="678" spans="1:20">
      <c r="A678" s="10">
        <v>671</v>
      </c>
      <c r="B678" s="10" t="s">
        <v>969</v>
      </c>
      <c r="C678" s="10" t="s">
        <v>957</v>
      </c>
      <c r="D678" s="10" t="s">
        <v>655</v>
      </c>
      <c r="E678" s="10" t="s">
        <v>34</v>
      </c>
      <c r="F678" s="10" t="s">
        <v>35</v>
      </c>
      <c r="G678" s="8" t="s">
        <v>41</v>
      </c>
      <c r="H678" s="12">
        <v>1</v>
      </c>
      <c r="I678" s="12">
        <v>1</v>
      </c>
      <c r="J678" s="15">
        <v>7000.0</v>
      </c>
      <c r="K678" s="15"/>
      <c r="L678" s="17">
        <f>IF(J678&gt;0, K678/J678, 0)</f>
        <v>0</v>
      </c>
      <c r="M678" s="15">
        <v>7000.0</v>
      </c>
      <c r="N678" s="15"/>
      <c r="O678" s="15">
        <f>M678-N678</f>
        <v>7000</v>
      </c>
      <c r="P678" s="10" t="s">
        <v>42</v>
      </c>
      <c r="Q678" s="10" t="s">
        <v>43</v>
      </c>
      <c r="R678" s="10" t="s">
        <v>44</v>
      </c>
      <c r="S678" s="8" t="s">
        <v>2179</v>
      </c>
      <c r="T678" s="8" t="s">
        <v>44</v>
      </c>
    </row>
    <row r="679" spans="1:20">
      <c r="A679" s="11">
        <v>672</v>
      </c>
      <c r="B679" s="11" t="s">
        <v>970</v>
      </c>
      <c r="C679" s="11" t="s">
        <v>957</v>
      </c>
      <c r="D679" s="11" t="s">
        <v>655</v>
      </c>
      <c r="E679" s="11" t="s">
        <v>34</v>
      </c>
      <c r="F679" s="11" t="s">
        <v>35</v>
      </c>
      <c r="G679" s="9" t="s">
        <v>41</v>
      </c>
      <c r="H679" s="13">
        <v>1</v>
      </c>
      <c r="I679" s="13">
        <v>1</v>
      </c>
      <c r="J679" s="16">
        <v>8000.0</v>
      </c>
      <c r="K679" s="16"/>
      <c r="L679" s="18">
        <f>IF(J679&gt;0, K679/J679, 0)</f>
        <v>0</v>
      </c>
      <c r="M679" s="16">
        <v>8000.0</v>
      </c>
      <c r="N679" s="16"/>
      <c r="O679" s="16">
        <f>M679-N679</f>
        <v>8000</v>
      </c>
      <c r="P679" s="11" t="s">
        <v>42</v>
      </c>
      <c r="Q679" s="11" t="s">
        <v>43</v>
      </c>
      <c r="R679" s="11" t="s">
        <v>44</v>
      </c>
      <c r="S679" s="9" t="s">
        <v>2037</v>
      </c>
      <c r="T679" s="9" t="s">
        <v>44</v>
      </c>
    </row>
    <row r="680" spans="1:20">
      <c r="A680" s="10">
        <v>673</v>
      </c>
      <c r="B680" s="10" t="s">
        <v>971</v>
      </c>
      <c r="C680" s="10" t="s">
        <v>957</v>
      </c>
      <c r="D680" s="10" t="s">
        <v>655</v>
      </c>
      <c r="E680" s="10" t="s">
        <v>34</v>
      </c>
      <c r="F680" s="10" t="s">
        <v>35</v>
      </c>
      <c r="G680" s="8" t="s">
        <v>41</v>
      </c>
      <c r="H680" s="12">
        <v>1</v>
      </c>
      <c r="I680" s="12">
        <v>1</v>
      </c>
      <c r="J680" s="15">
        <v>8000.0</v>
      </c>
      <c r="K680" s="15"/>
      <c r="L680" s="17">
        <f>IF(J680&gt;0, K680/J680, 0)</f>
        <v>0</v>
      </c>
      <c r="M680" s="15">
        <v>8000.0</v>
      </c>
      <c r="N680" s="15"/>
      <c r="O680" s="15">
        <f>M680-N680</f>
        <v>8000</v>
      </c>
      <c r="P680" s="10" t="s">
        <v>42</v>
      </c>
      <c r="Q680" s="10" t="s">
        <v>43</v>
      </c>
      <c r="R680" s="10" t="s">
        <v>44</v>
      </c>
      <c r="S680" s="8" t="s">
        <v>2030</v>
      </c>
      <c r="T680" s="8" t="s">
        <v>44</v>
      </c>
    </row>
    <row r="681" spans="1:20">
      <c r="A681" s="11">
        <v>674</v>
      </c>
      <c r="B681" s="11" t="s">
        <v>972</v>
      </c>
      <c r="C681" s="11" t="s">
        <v>957</v>
      </c>
      <c r="D681" s="11" t="s">
        <v>655</v>
      </c>
      <c r="E681" s="11" t="s">
        <v>34</v>
      </c>
      <c r="F681" s="11" t="s">
        <v>35</v>
      </c>
      <c r="G681" s="9" t="s">
        <v>41</v>
      </c>
      <c r="H681" s="13">
        <v>1</v>
      </c>
      <c r="I681" s="13">
        <v>1</v>
      </c>
      <c r="J681" s="16">
        <v>7000.0</v>
      </c>
      <c r="K681" s="16"/>
      <c r="L681" s="18">
        <f>IF(J681&gt;0, K681/J681, 0)</f>
        <v>0</v>
      </c>
      <c r="M681" s="16">
        <v>7000.0</v>
      </c>
      <c r="N681" s="16"/>
      <c r="O681" s="16">
        <f>M681-N681</f>
        <v>7000</v>
      </c>
      <c r="P681" s="11" t="s">
        <v>42</v>
      </c>
      <c r="Q681" s="11" t="s">
        <v>43</v>
      </c>
      <c r="R681" s="11" t="s">
        <v>44</v>
      </c>
      <c r="S681" s="9" t="s">
        <v>2101</v>
      </c>
      <c r="T681" s="9" t="s">
        <v>44</v>
      </c>
    </row>
    <row r="682" spans="1:20">
      <c r="A682" s="10">
        <v>675</v>
      </c>
      <c r="B682" s="10" t="s">
        <v>973</v>
      </c>
      <c r="C682" s="10" t="s">
        <v>957</v>
      </c>
      <c r="D682" s="10" t="s">
        <v>655</v>
      </c>
      <c r="E682" s="10" t="s">
        <v>34</v>
      </c>
      <c r="F682" s="10" t="s">
        <v>35</v>
      </c>
      <c r="G682" s="8" t="s">
        <v>41</v>
      </c>
      <c r="H682" s="12">
        <v>1</v>
      </c>
      <c r="I682" s="12">
        <v>1</v>
      </c>
      <c r="J682" s="15">
        <v>16000.0</v>
      </c>
      <c r="K682" s="15"/>
      <c r="L682" s="17">
        <f>IF(J682&gt;0, K682/J682, 0)</f>
        <v>0</v>
      </c>
      <c r="M682" s="15">
        <v>16000.0</v>
      </c>
      <c r="N682" s="15"/>
      <c r="O682" s="15">
        <f>M682-N682</f>
        <v>16000</v>
      </c>
      <c r="P682" s="10" t="s">
        <v>42</v>
      </c>
      <c r="Q682" s="10" t="s">
        <v>43</v>
      </c>
      <c r="R682" s="10" t="s">
        <v>44</v>
      </c>
      <c r="S682" s="8" t="s">
        <v>2032</v>
      </c>
      <c r="T682" s="8" t="s">
        <v>44</v>
      </c>
    </row>
    <row r="683" spans="1:20">
      <c r="A683" s="11">
        <v>676</v>
      </c>
      <c r="B683" s="11" t="s">
        <v>974</v>
      </c>
      <c r="C683" s="11" t="s">
        <v>957</v>
      </c>
      <c r="D683" s="11" t="s">
        <v>655</v>
      </c>
      <c r="E683" s="11" t="s">
        <v>34</v>
      </c>
      <c r="F683" s="11" t="s">
        <v>35</v>
      </c>
      <c r="G683" s="9" t="s">
        <v>41</v>
      </c>
      <c r="H683" s="13">
        <v>1</v>
      </c>
      <c r="I683" s="13">
        <v>2</v>
      </c>
      <c r="J683" s="16">
        <v>32000.0</v>
      </c>
      <c r="K683" s="16"/>
      <c r="L683" s="18">
        <f>IF(J683&gt;0, K683/J683, 0)</f>
        <v>0</v>
      </c>
      <c r="M683" s="16">
        <v>32000.0</v>
      </c>
      <c r="N683" s="16"/>
      <c r="O683" s="16">
        <f>M683-N683</f>
        <v>32000</v>
      </c>
      <c r="P683" s="11" t="s">
        <v>42</v>
      </c>
      <c r="Q683" s="11" t="s">
        <v>43</v>
      </c>
      <c r="R683" s="11" t="s">
        <v>44</v>
      </c>
      <c r="S683" s="9" t="s">
        <v>2181</v>
      </c>
      <c r="T683" s="9" t="s">
        <v>44</v>
      </c>
    </row>
    <row r="684" spans="1:20">
      <c r="A684" s="10">
        <v>677</v>
      </c>
      <c r="B684" s="10" t="s">
        <v>975</v>
      </c>
      <c r="C684" s="10" t="s">
        <v>957</v>
      </c>
      <c r="D684" s="10" t="s">
        <v>655</v>
      </c>
      <c r="E684" s="10" t="s">
        <v>34</v>
      </c>
      <c r="F684" s="10" t="s">
        <v>35</v>
      </c>
      <c r="G684" s="8" t="s">
        <v>41</v>
      </c>
      <c r="H684" s="12">
        <v>1</v>
      </c>
      <c r="I684" s="12">
        <v>1</v>
      </c>
      <c r="J684" s="15">
        <v>8000.0</v>
      </c>
      <c r="K684" s="15"/>
      <c r="L684" s="17">
        <f>IF(J684&gt;0, K684/J684, 0)</f>
        <v>0</v>
      </c>
      <c r="M684" s="15">
        <v>8000.0</v>
      </c>
      <c r="N684" s="15"/>
      <c r="O684" s="15">
        <f>M684-N684</f>
        <v>8000</v>
      </c>
      <c r="P684" s="10" t="s">
        <v>42</v>
      </c>
      <c r="Q684" s="10" t="s">
        <v>43</v>
      </c>
      <c r="R684" s="10" t="s">
        <v>44</v>
      </c>
      <c r="S684" s="8" t="s">
        <v>2098</v>
      </c>
      <c r="T684" s="8" t="s">
        <v>44</v>
      </c>
    </row>
    <row r="685" spans="1:20">
      <c r="A685" s="11">
        <v>678</v>
      </c>
      <c r="B685" s="11" t="s">
        <v>976</v>
      </c>
      <c r="C685" s="11" t="s">
        <v>957</v>
      </c>
      <c r="D685" s="11" t="s">
        <v>655</v>
      </c>
      <c r="E685" s="11" t="s">
        <v>34</v>
      </c>
      <c r="F685" s="11" t="s">
        <v>35</v>
      </c>
      <c r="G685" s="9" t="s">
        <v>41</v>
      </c>
      <c r="H685" s="13">
        <v>1</v>
      </c>
      <c r="I685" s="13">
        <v>1</v>
      </c>
      <c r="J685" s="16">
        <v>7000.0</v>
      </c>
      <c r="K685" s="16"/>
      <c r="L685" s="18">
        <f>IF(J685&gt;0, K685/J685, 0)</f>
        <v>0</v>
      </c>
      <c r="M685" s="16">
        <v>7000.0</v>
      </c>
      <c r="N685" s="16"/>
      <c r="O685" s="16">
        <f>M685-N685</f>
        <v>7000</v>
      </c>
      <c r="P685" s="11" t="s">
        <v>42</v>
      </c>
      <c r="Q685" s="11" t="s">
        <v>43</v>
      </c>
      <c r="R685" s="11" t="s">
        <v>44</v>
      </c>
      <c r="S685" s="9" t="s">
        <v>2053</v>
      </c>
      <c r="T685" s="9" t="s">
        <v>44</v>
      </c>
    </row>
    <row r="686" spans="1:20">
      <c r="A686" s="10">
        <v>679</v>
      </c>
      <c r="B686" s="10" t="s">
        <v>977</v>
      </c>
      <c r="C686" s="10" t="s">
        <v>957</v>
      </c>
      <c r="D686" s="10" t="s">
        <v>655</v>
      </c>
      <c r="E686" s="10" t="s">
        <v>70</v>
      </c>
      <c r="F686" s="10" t="s">
        <v>35</v>
      </c>
      <c r="G686" s="8" t="s">
        <v>41</v>
      </c>
      <c r="H686" s="12">
        <v>1</v>
      </c>
      <c r="I686" s="12">
        <v>2</v>
      </c>
      <c r="J686" s="15">
        <v>20000.0</v>
      </c>
      <c r="K686" s="15"/>
      <c r="L686" s="17">
        <f>IF(J686&gt;0, K686/J686, 0)</f>
        <v>0</v>
      </c>
      <c r="M686" s="15">
        <v>20000.0</v>
      </c>
      <c r="N686" s="15"/>
      <c r="O686" s="15">
        <f>M686-N686</f>
        <v>20000</v>
      </c>
      <c r="P686" s="10" t="s">
        <v>42</v>
      </c>
      <c r="Q686" s="10" t="s">
        <v>73</v>
      </c>
      <c r="R686" s="10" t="s">
        <v>44</v>
      </c>
      <c r="S686" s="8" t="s">
        <v>2116</v>
      </c>
      <c r="T686" s="8" t="s">
        <v>44</v>
      </c>
    </row>
    <row r="687" spans="1:20">
      <c r="A687" s="11">
        <v>680</v>
      </c>
      <c r="B687" s="11" t="s">
        <v>978</v>
      </c>
      <c r="C687" s="11" t="s">
        <v>957</v>
      </c>
      <c r="D687" s="11" t="s">
        <v>655</v>
      </c>
      <c r="E687" s="11" t="s">
        <v>34</v>
      </c>
      <c r="F687" s="11" t="s">
        <v>35</v>
      </c>
      <c r="G687" s="9" t="s">
        <v>41</v>
      </c>
      <c r="H687" s="13">
        <v>1</v>
      </c>
      <c r="I687" s="13">
        <v>1</v>
      </c>
      <c r="J687" s="16">
        <v>18000.0</v>
      </c>
      <c r="K687" s="16"/>
      <c r="L687" s="18">
        <f>IF(J687&gt;0, K687/J687, 0)</f>
        <v>0</v>
      </c>
      <c r="M687" s="16">
        <v>18000.0</v>
      </c>
      <c r="N687" s="16"/>
      <c r="O687" s="16">
        <f>M687-N687</f>
        <v>18000</v>
      </c>
      <c r="P687" s="11" t="s">
        <v>42</v>
      </c>
      <c r="Q687" s="11" t="s">
        <v>43</v>
      </c>
      <c r="R687" s="11" t="s">
        <v>44</v>
      </c>
      <c r="S687" s="9" t="s">
        <v>2021</v>
      </c>
      <c r="T687" s="9" t="s">
        <v>44</v>
      </c>
    </row>
    <row r="688" spans="1:20">
      <c r="A688" s="10">
        <v>681</v>
      </c>
      <c r="B688" s="10" t="s">
        <v>979</v>
      </c>
      <c r="C688" s="10" t="s">
        <v>957</v>
      </c>
      <c r="D688" s="10" t="s">
        <v>655</v>
      </c>
      <c r="E688" s="10" t="s">
        <v>34</v>
      </c>
      <c r="F688" s="10" t="s">
        <v>35</v>
      </c>
      <c r="G688" s="8" t="s">
        <v>41</v>
      </c>
      <c r="H688" s="12">
        <v>1</v>
      </c>
      <c r="I688" s="12">
        <v>1</v>
      </c>
      <c r="J688" s="15">
        <v>8000.0</v>
      </c>
      <c r="K688" s="15"/>
      <c r="L688" s="17">
        <f>IF(J688&gt;0, K688/J688, 0)</f>
        <v>0</v>
      </c>
      <c r="M688" s="15">
        <v>8000.0</v>
      </c>
      <c r="N688" s="15"/>
      <c r="O688" s="15">
        <f>M688-N688</f>
        <v>8000</v>
      </c>
      <c r="P688" s="10" t="s">
        <v>42</v>
      </c>
      <c r="Q688" s="10" t="s">
        <v>43</v>
      </c>
      <c r="R688" s="10" t="s">
        <v>44</v>
      </c>
      <c r="S688" s="8" t="s">
        <v>2068</v>
      </c>
      <c r="T688" s="8" t="s">
        <v>44</v>
      </c>
    </row>
    <row r="689" spans="1:20">
      <c r="A689" s="11">
        <v>682</v>
      </c>
      <c r="B689" s="11" t="s">
        <v>980</v>
      </c>
      <c r="C689" s="11" t="s">
        <v>957</v>
      </c>
      <c r="D689" s="11" t="s">
        <v>655</v>
      </c>
      <c r="E689" s="11" t="s">
        <v>70</v>
      </c>
      <c r="F689" s="11" t="s">
        <v>35</v>
      </c>
      <c r="G689" s="9" t="s">
        <v>41</v>
      </c>
      <c r="H689" s="13">
        <v>1</v>
      </c>
      <c r="I689" s="13">
        <v>1</v>
      </c>
      <c r="J689" s="16">
        <v>10000.0</v>
      </c>
      <c r="K689" s="16"/>
      <c r="L689" s="18">
        <f>IF(J689&gt;0, K689/J689, 0)</f>
        <v>0</v>
      </c>
      <c r="M689" s="16">
        <v>10000.0</v>
      </c>
      <c r="N689" s="16"/>
      <c r="O689" s="16">
        <f>M689-N689</f>
        <v>10000</v>
      </c>
      <c r="P689" s="11" t="s">
        <v>42</v>
      </c>
      <c r="Q689" s="11" t="s">
        <v>73</v>
      </c>
      <c r="R689" s="11" t="s">
        <v>44</v>
      </c>
      <c r="S689" s="9" t="s">
        <v>2076</v>
      </c>
      <c r="T689" s="9" t="s">
        <v>44</v>
      </c>
    </row>
    <row r="690" spans="1:20">
      <c r="A690" s="10">
        <v>683</v>
      </c>
      <c r="B690" s="10" t="s">
        <v>981</v>
      </c>
      <c r="C690" s="10" t="s">
        <v>957</v>
      </c>
      <c r="D690" s="10" t="s">
        <v>655</v>
      </c>
      <c r="E690" s="10" t="s">
        <v>70</v>
      </c>
      <c r="F690" s="10" t="s">
        <v>35</v>
      </c>
      <c r="G690" s="8" t="s">
        <v>41</v>
      </c>
      <c r="H690" s="12">
        <v>1</v>
      </c>
      <c r="I690" s="12">
        <v>1</v>
      </c>
      <c r="J690" s="15">
        <v>8000.0</v>
      </c>
      <c r="K690" s="15"/>
      <c r="L690" s="17">
        <f>IF(J690&gt;0, K690/J690, 0)</f>
        <v>0</v>
      </c>
      <c r="M690" s="15">
        <v>8000.0</v>
      </c>
      <c r="N690" s="15"/>
      <c r="O690" s="15">
        <f>M690-N690</f>
        <v>8000</v>
      </c>
      <c r="P690" s="10" t="s">
        <v>42</v>
      </c>
      <c r="Q690" s="10" t="s">
        <v>73</v>
      </c>
      <c r="R690" s="10" t="s">
        <v>44</v>
      </c>
      <c r="S690" s="8" t="s">
        <v>2142</v>
      </c>
      <c r="T690" s="8" t="s">
        <v>44</v>
      </c>
    </row>
    <row r="691" spans="1:20">
      <c r="A691" s="11">
        <v>684</v>
      </c>
      <c r="B691" s="11" t="s">
        <v>982</v>
      </c>
      <c r="C691" s="11" t="s">
        <v>957</v>
      </c>
      <c r="D691" s="11" t="s">
        <v>655</v>
      </c>
      <c r="E691" s="11" t="s">
        <v>34</v>
      </c>
      <c r="F691" s="11" t="s">
        <v>35</v>
      </c>
      <c r="G691" s="9" t="s">
        <v>41</v>
      </c>
      <c r="H691" s="13">
        <v>1</v>
      </c>
      <c r="I691" s="13">
        <v>1</v>
      </c>
      <c r="J691" s="16">
        <v>8000.0</v>
      </c>
      <c r="K691" s="16"/>
      <c r="L691" s="18">
        <f>IF(J691&gt;0, K691/J691, 0)</f>
        <v>0</v>
      </c>
      <c r="M691" s="16">
        <v>8000.0</v>
      </c>
      <c r="N691" s="16"/>
      <c r="O691" s="16">
        <f>M691-N691</f>
        <v>8000</v>
      </c>
      <c r="P691" s="11" t="s">
        <v>42</v>
      </c>
      <c r="Q691" s="11" t="s">
        <v>43</v>
      </c>
      <c r="R691" s="11" t="s">
        <v>44</v>
      </c>
      <c r="S691" s="9" t="s">
        <v>2087</v>
      </c>
      <c r="T691" s="9" t="s">
        <v>44</v>
      </c>
    </row>
    <row r="692" spans="1:20">
      <c r="A692" s="10">
        <v>685</v>
      </c>
      <c r="B692" s="10" t="s">
        <v>983</v>
      </c>
      <c r="C692" s="10" t="s">
        <v>957</v>
      </c>
      <c r="D692" s="10" t="s">
        <v>655</v>
      </c>
      <c r="E692" s="10" t="s">
        <v>34</v>
      </c>
      <c r="F692" s="10" t="s">
        <v>35</v>
      </c>
      <c r="G692" s="8" t="s">
        <v>41</v>
      </c>
      <c r="H692" s="12">
        <v>1</v>
      </c>
      <c r="I692" s="12">
        <v>2</v>
      </c>
      <c r="J692" s="15">
        <v>14000.0</v>
      </c>
      <c r="K692" s="15"/>
      <c r="L692" s="17">
        <f>IF(J692&gt;0, K692/J692, 0)</f>
        <v>0</v>
      </c>
      <c r="M692" s="15">
        <v>14000.0</v>
      </c>
      <c r="N692" s="15"/>
      <c r="O692" s="15">
        <f>M692-N692</f>
        <v>14000</v>
      </c>
      <c r="P692" s="10" t="s">
        <v>42</v>
      </c>
      <c r="Q692" s="10" t="s">
        <v>43</v>
      </c>
      <c r="R692" s="10" t="s">
        <v>44</v>
      </c>
      <c r="S692" s="8" t="s">
        <v>2146</v>
      </c>
      <c r="T692" s="8" t="s">
        <v>44</v>
      </c>
    </row>
    <row r="693" spans="1:20">
      <c r="A693" s="11">
        <v>686</v>
      </c>
      <c r="B693" s="11" t="s">
        <v>984</v>
      </c>
      <c r="C693" s="11" t="s">
        <v>957</v>
      </c>
      <c r="D693" s="11" t="s">
        <v>655</v>
      </c>
      <c r="E693" s="11" t="s">
        <v>34</v>
      </c>
      <c r="F693" s="11" t="s">
        <v>35</v>
      </c>
      <c r="G693" s="9" t="s">
        <v>41</v>
      </c>
      <c r="H693" s="13">
        <v>1</v>
      </c>
      <c r="I693" s="13">
        <v>1</v>
      </c>
      <c r="J693" s="16">
        <v>16000.0</v>
      </c>
      <c r="K693" s="16"/>
      <c r="L693" s="18">
        <f>IF(J693&gt;0, K693/J693, 0)</f>
        <v>0</v>
      </c>
      <c r="M693" s="16">
        <v>16000.0</v>
      </c>
      <c r="N693" s="16"/>
      <c r="O693" s="16">
        <f>M693-N693</f>
        <v>16000</v>
      </c>
      <c r="P693" s="11" t="s">
        <v>42</v>
      </c>
      <c r="Q693" s="11" t="s">
        <v>43</v>
      </c>
      <c r="R693" s="11" t="s">
        <v>44</v>
      </c>
      <c r="S693" s="9" t="s">
        <v>2078</v>
      </c>
      <c r="T693" s="9" t="s">
        <v>44</v>
      </c>
    </row>
    <row r="694" spans="1:20">
      <c r="A694" s="10">
        <v>687</v>
      </c>
      <c r="B694" s="10" t="s">
        <v>985</v>
      </c>
      <c r="C694" s="10" t="s">
        <v>957</v>
      </c>
      <c r="D694" s="10" t="s">
        <v>655</v>
      </c>
      <c r="E694" s="10" t="s">
        <v>34</v>
      </c>
      <c r="F694" s="10" t="s">
        <v>35</v>
      </c>
      <c r="G694" s="8" t="s">
        <v>41</v>
      </c>
      <c r="H694" s="12">
        <v>1</v>
      </c>
      <c r="I694" s="12">
        <v>1</v>
      </c>
      <c r="J694" s="15">
        <v>18000.0</v>
      </c>
      <c r="K694" s="15"/>
      <c r="L694" s="17">
        <f>IF(J694&gt;0, K694/J694, 0)</f>
        <v>0</v>
      </c>
      <c r="M694" s="15">
        <v>18000.0</v>
      </c>
      <c r="N694" s="15"/>
      <c r="O694" s="15">
        <f>M694-N694</f>
        <v>18000</v>
      </c>
      <c r="P694" s="10" t="s">
        <v>42</v>
      </c>
      <c r="Q694" s="10" t="s">
        <v>43</v>
      </c>
      <c r="R694" s="10" t="s">
        <v>44</v>
      </c>
      <c r="S694" s="8" t="s">
        <v>2049</v>
      </c>
      <c r="T694" s="8" t="s">
        <v>44</v>
      </c>
    </row>
    <row r="695" spans="1:20">
      <c r="A695" s="11">
        <v>688</v>
      </c>
      <c r="B695" s="11" t="s">
        <v>986</v>
      </c>
      <c r="C695" s="11" t="s">
        <v>957</v>
      </c>
      <c r="D695" s="11" t="s">
        <v>655</v>
      </c>
      <c r="E695" s="11" t="s">
        <v>34</v>
      </c>
      <c r="F695" s="11" t="s">
        <v>35</v>
      </c>
      <c r="G695" s="9" t="s">
        <v>41</v>
      </c>
      <c r="H695" s="13">
        <v>1</v>
      </c>
      <c r="I695" s="13">
        <v>2</v>
      </c>
      <c r="J695" s="16">
        <v>14000.0</v>
      </c>
      <c r="K695" s="16"/>
      <c r="L695" s="18">
        <f>IF(J695&gt;0, K695/J695, 0)</f>
        <v>0</v>
      </c>
      <c r="M695" s="16">
        <v>14000.0</v>
      </c>
      <c r="N695" s="16"/>
      <c r="O695" s="16">
        <f>M695-N695</f>
        <v>14000</v>
      </c>
      <c r="P695" s="11" t="s">
        <v>42</v>
      </c>
      <c r="Q695" s="11" t="s">
        <v>43</v>
      </c>
      <c r="R695" s="11" t="s">
        <v>44</v>
      </c>
      <c r="S695" s="9" t="s">
        <v>2182</v>
      </c>
      <c r="T695" s="9" t="s">
        <v>44</v>
      </c>
    </row>
    <row r="696" spans="1:20">
      <c r="A696" s="10">
        <v>689</v>
      </c>
      <c r="B696" s="10" t="s">
        <v>987</v>
      </c>
      <c r="C696" s="10" t="s">
        <v>957</v>
      </c>
      <c r="D696" s="10" t="s">
        <v>655</v>
      </c>
      <c r="E696" s="10" t="s">
        <v>34</v>
      </c>
      <c r="F696" s="10" t="s">
        <v>35</v>
      </c>
      <c r="G696" s="8" t="s">
        <v>41</v>
      </c>
      <c r="H696" s="12">
        <v>1</v>
      </c>
      <c r="I696" s="12">
        <v>1</v>
      </c>
      <c r="J696" s="15">
        <v>7000.0</v>
      </c>
      <c r="K696" s="15"/>
      <c r="L696" s="17">
        <f>IF(J696&gt;0, K696/J696, 0)</f>
        <v>0</v>
      </c>
      <c r="M696" s="15">
        <v>7000.0</v>
      </c>
      <c r="N696" s="15"/>
      <c r="O696" s="15">
        <f>M696-N696</f>
        <v>7000</v>
      </c>
      <c r="P696" s="10" t="s">
        <v>42</v>
      </c>
      <c r="Q696" s="10" t="s">
        <v>43</v>
      </c>
      <c r="R696" s="10" t="s">
        <v>44</v>
      </c>
      <c r="S696" s="8" t="s">
        <v>2088</v>
      </c>
      <c r="T696" s="8" t="s">
        <v>44</v>
      </c>
    </row>
    <row r="697" spans="1:20">
      <c r="A697" s="11">
        <v>690</v>
      </c>
      <c r="B697" s="11" t="s">
        <v>988</v>
      </c>
      <c r="C697" s="11" t="s">
        <v>957</v>
      </c>
      <c r="D697" s="11" t="s">
        <v>655</v>
      </c>
      <c r="E697" s="11" t="s">
        <v>34</v>
      </c>
      <c r="F697" s="11" t="s">
        <v>35</v>
      </c>
      <c r="G697" s="9" t="s">
        <v>41</v>
      </c>
      <c r="H697" s="13">
        <v>1</v>
      </c>
      <c r="I697" s="13">
        <v>2</v>
      </c>
      <c r="J697" s="16">
        <v>14000.0</v>
      </c>
      <c r="K697" s="16"/>
      <c r="L697" s="18">
        <f>IF(J697&gt;0, K697/J697, 0)</f>
        <v>0</v>
      </c>
      <c r="M697" s="16">
        <v>14000.0</v>
      </c>
      <c r="N697" s="16"/>
      <c r="O697" s="16">
        <f>M697-N697</f>
        <v>14000</v>
      </c>
      <c r="P697" s="11" t="s">
        <v>42</v>
      </c>
      <c r="Q697" s="11" t="s">
        <v>43</v>
      </c>
      <c r="R697" s="11" t="s">
        <v>44</v>
      </c>
      <c r="S697" s="9" t="s">
        <v>2048</v>
      </c>
      <c r="T697" s="9" t="s">
        <v>44</v>
      </c>
    </row>
    <row r="698" spans="1:20">
      <c r="A698" s="10">
        <v>691</v>
      </c>
      <c r="B698" s="10" t="s">
        <v>989</v>
      </c>
      <c r="C698" s="10" t="s">
        <v>957</v>
      </c>
      <c r="D698" s="10" t="s">
        <v>655</v>
      </c>
      <c r="E698" s="10" t="s">
        <v>70</v>
      </c>
      <c r="F698" s="10" t="s">
        <v>35</v>
      </c>
      <c r="G698" s="8" t="s">
        <v>41</v>
      </c>
      <c r="H698" s="12">
        <v>1</v>
      </c>
      <c r="I698" s="12">
        <v>2</v>
      </c>
      <c r="J698" s="15">
        <v>20000.0</v>
      </c>
      <c r="K698" s="15"/>
      <c r="L698" s="17">
        <f>IF(J698&gt;0, K698/J698, 0)</f>
        <v>0</v>
      </c>
      <c r="M698" s="15">
        <v>20000.0</v>
      </c>
      <c r="N698" s="15"/>
      <c r="O698" s="15">
        <f>M698-N698</f>
        <v>20000</v>
      </c>
      <c r="P698" s="10" t="s">
        <v>42</v>
      </c>
      <c r="Q698" s="10" t="s">
        <v>73</v>
      </c>
      <c r="R698" s="10" t="s">
        <v>44</v>
      </c>
      <c r="S698" s="8" t="s">
        <v>2044</v>
      </c>
      <c r="T698" s="8" t="s">
        <v>44</v>
      </c>
    </row>
    <row r="699" spans="1:20">
      <c r="A699" s="11">
        <v>692</v>
      </c>
      <c r="B699" s="11" t="s">
        <v>990</v>
      </c>
      <c r="C699" s="11" t="s">
        <v>957</v>
      </c>
      <c r="D699" s="11" t="s">
        <v>655</v>
      </c>
      <c r="E699" s="11" t="s">
        <v>34</v>
      </c>
      <c r="F699" s="11" t="s">
        <v>35</v>
      </c>
      <c r="G699" s="9" t="s">
        <v>41</v>
      </c>
      <c r="H699" s="13">
        <v>1</v>
      </c>
      <c r="I699" s="13">
        <v>1</v>
      </c>
      <c r="J699" s="16">
        <v>18000.0</v>
      </c>
      <c r="K699" s="16"/>
      <c r="L699" s="18">
        <f>IF(J699&gt;0, K699/J699, 0)</f>
        <v>0</v>
      </c>
      <c r="M699" s="16">
        <v>18000.0</v>
      </c>
      <c r="N699" s="16"/>
      <c r="O699" s="16">
        <f>M699-N699</f>
        <v>18000</v>
      </c>
      <c r="P699" s="11" t="s">
        <v>42</v>
      </c>
      <c r="Q699" s="11" t="s">
        <v>43</v>
      </c>
      <c r="R699" s="11" t="s">
        <v>44</v>
      </c>
      <c r="S699" s="9" t="s">
        <v>2021</v>
      </c>
      <c r="T699" s="9" t="s">
        <v>44</v>
      </c>
    </row>
    <row r="700" spans="1:20">
      <c r="A700" s="10">
        <v>693</v>
      </c>
      <c r="B700" s="10" t="s">
        <v>991</v>
      </c>
      <c r="C700" s="10" t="s">
        <v>957</v>
      </c>
      <c r="D700" s="10" t="s">
        <v>655</v>
      </c>
      <c r="E700" s="10" t="s">
        <v>34</v>
      </c>
      <c r="F700" s="10" t="s">
        <v>35</v>
      </c>
      <c r="G700" s="8" t="s">
        <v>41</v>
      </c>
      <c r="H700" s="12">
        <v>1</v>
      </c>
      <c r="I700" s="12">
        <v>1</v>
      </c>
      <c r="J700" s="15">
        <v>7000.0</v>
      </c>
      <c r="K700" s="15"/>
      <c r="L700" s="17">
        <f>IF(J700&gt;0, K700/J700, 0)</f>
        <v>0</v>
      </c>
      <c r="M700" s="15">
        <v>7000.0</v>
      </c>
      <c r="N700" s="15"/>
      <c r="O700" s="15">
        <f>M700-N700</f>
        <v>7000</v>
      </c>
      <c r="P700" s="10" t="s">
        <v>42</v>
      </c>
      <c r="Q700" s="10" t="s">
        <v>43</v>
      </c>
      <c r="R700" s="10" t="s">
        <v>44</v>
      </c>
      <c r="S700" s="8" t="s">
        <v>2179</v>
      </c>
      <c r="T700" s="8" t="s">
        <v>44</v>
      </c>
    </row>
    <row r="701" spans="1:20">
      <c r="A701" s="11">
        <v>694</v>
      </c>
      <c r="B701" s="11" t="s">
        <v>992</v>
      </c>
      <c r="C701" s="11" t="s">
        <v>957</v>
      </c>
      <c r="D701" s="11" t="s">
        <v>655</v>
      </c>
      <c r="E701" s="11" t="s">
        <v>34</v>
      </c>
      <c r="F701" s="11" t="s">
        <v>35</v>
      </c>
      <c r="G701" s="9" t="s">
        <v>41</v>
      </c>
      <c r="H701" s="13">
        <v>1</v>
      </c>
      <c r="I701" s="13">
        <v>1</v>
      </c>
      <c r="J701" s="16">
        <v>8000.0</v>
      </c>
      <c r="K701" s="16"/>
      <c r="L701" s="18">
        <f>IF(J701&gt;0, K701/J701, 0)</f>
        <v>0</v>
      </c>
      <c r="M701" s="16">
        <v>8000.0</v>
      </c>
      <c r="N701" s="16"/>
      <c r="O701" s="16">
        <f>M701-N701</f>
        <v>8000</v>
      </c>
      <c r="P701" s="11" t="s">
        <v>42</v>
      </c>
      <c r="Q701" s="11" t="s">
        <v>43</v>
      </c>
      <c r="R701" s="11" t="s">
        <v>44</v>
      </c>
      <c r="S701" s="9" t="s">
        <v>2080</v>
      </c>
      <c r="T701" s="9" t="s">
        <v>44</v>
      </c>
    </row>
    <row r="702" spans="1:20">
      <c r="A702" s="10">
        <v>695</v>
      </c>
      <c r="B702" s="10" t="s">
        <v>993</v>
      </c>
      <c r="C702" s="10" t="s">
        <v>957</v>
      </c>
      <c r="D702" s="10" t="s">
        <v>655</v>
      </c>
      <c r="E702" s="10" t="s">
        <v>34</v>
      </c>
      <c r="F702" s="10" t="s">
        <v>35</v>
      </c>
      <c r="G702" s="8" t="s">
        <v>41</v>
      </c>
      <c r="H702" s="12">
        <v>1</v>
      </c>
      <c r="I702" s="12">
        <v>1</v>
      </c>
      <c r="J702" s="15">
        <v>7000.0</v>
      </c>
      <c r="K702" s="15"/>
      <c r="L702" s="17">
        <f>IF(J702&gt;0, K702/J702, 0)</f>
        <v>0</v>
      </c>
      <c r="M702" s="15">
        <v>7000.0</v>
      </c>
      <c r="N702" s="15"/>
      <c r="O702" s="15">
        <f>M702-N702</f>
        <v>7000</v>
      </c>
      <c r="P702" s="10" t="s">
        <v>42</v>
      </c>
      <c r="Q702" s="10" t="s">
        <v>43</v>
      </c>
      <c r="R702" s="10" t="s">
        <v>44</v>
      </c>
      <c r="S702" s="8" t="s">
        <v>2034</v>
      </c>
      <c r="T702" s="8" t="s">
        <v>44</v>
      </c>
    </row>
    <row r="703" spans="1:20">
      <c r="A703" s="11">
        <v>696</v>
      </c>
      <c r="B703" s="11" t="s">
        <v>994</v>
      </c>
      <c r="C703" s="11" t="s">
        <v>957</v>
      </c>
      <c r="D703" s="11" t="s">
        <v>655</v>
      </c>
      <c r="E703" s="11" t="s">
        <v>34</v>
      </c>
      <c r="F703" s="11" t="s">
        <v>35</v>
      </c>
      <c r="G703" s="9" t="s">
        <v>41</v>
      </c>
      <c r="H703" s="13">
        <v>1</v>
      </c>
      <c r="I703" s="13">
        <v>1</v>
      </c>
      <c r="J703" s="16">
        <v>8500.0</v>
      </c>
      <c r="K703" s="16"/>
      <c r="L703" s="18">
        <f>IF(J703&gt;0, K703/J703, 0)</f>
        <v>0</v>
      </c>
      <c r="M703" s="16">
        <v>8500.0</v>
      </c>
      <c r="N703" s="16"/>
      <c r="O703" s="16">
        <f>M703-N703</f>
        <v>8500</v>
      </c>
      <c r="P703" s="11" t="s">
        <v>42</v>
      </c>
      <c r="Q703" s="11" t="s">
        <v>43</v>
      </c>
      <c r="R703" s="11" t="s">
        <v>44</v>
      </c>
      <c r="S703" s="9" t="s">
        <v>2045</v>
      </c>
      <c r="T703" s="9" t="s">
        <v>44</v>
      </c>
    </row>
    <row r="704" spans="1:20">
      <c r="A704" s="10">
        <v>697</v>
      </c>
      <c r="B704" s="10" t="s">
        <v>995</v>
      </c>
      <c r="C704" s="10" t="s">
        <v>957</v>
      </c>
      <c r="D704" s="10" t="s">
        <v>655</v>
      </c>
      <c r="E704" s="10" t="s">
        <v>34</v>
      </c>
      <c r="F704" s="10" t="s">
        <v>35</v>
      </c>
      <c r="G704" s="8" t="s">
        <v>41</v>
      </c>
      <c r="H704" s="12">
        <v>1</v>
      </c>
      <c r="I704" s="12">
        <v>1</v>
      </c>
      <c r="J704" s="15">
        <v>16500.0</v>
      </c>
      <c r="K704" s="15"/>
      <c r="L704" s="17">
        <f>IF(J704&gt;0, K704/J704, 0)</f>
        <v>0</v>
      </c>
      <c r="M704" s="15">
        <v>16500.0</v>
      </c>
      <c r="N704" s="15"/>
      <c r="O704" s="15">
        <f>M704-N704</f>
        <v>16500</v>
      </c>
      <c r="P704" s="10" t="s">
        <v>42</v>
      </c>
      <c r="Q704" s="10" t="s">
        <v>43</v>
      </c>
      <c r="R704" s="10" t="s">
        <v>44</v>
      </c>
      <c r="S704" s="8" t="s">
        <v>2072</v>
      </c>
      <c r="T704" s="8" t="s">
        <v>44</v>
      </c>
    </row>
    <row r="705" spans="1:20">
      <c r="A705" s="11">
        <v>698</v>
      </c>
      <c r="B705" s="11" t="s">
        <v>996</v>
      </c>
      <c r="C705" s="11" t="s">
        <v>957</v>
      </c>
      <c r="D705" s="11" t="s">
        <v>655</v>
      </c>
      <c r="E705" s="11" t="s">
        <v>70</v>
      </c>
      <c r="F705" s="11" t="s">
        <v>35</v>
      </c>
      <c r="G705" s="9" t="s">
        <v>41</v>
      </c>
      <c r="H705" s="13">
        <v>1</v>
      </c>
      <c r="I705" s="13">
        <v>1</v>
      </c>
      <c r="J705" s="16">
        <v>17000.0</v>
      </c>
      <c r="K705" s="16"/>
      <c r="L705" s="18">
        <f>IF(J705&gt;0, K705/J705, 0)</f>
        <v>0</v>
      </c>
      <c r="M705" s="16">
        <v>17000.0</v>
      </c>
      <c r="N705" s="16"/>
      <c r="O705" s="16">
        <f>M705-N705</f>
        <v>17000</v>
      </c>
      <c r="P705" s="11" t="s">
        <v>42</v>
      </c>
      <c r="Q705" s="11" t="s">
        <v>73</v>
      </c>
      <c r="R705" s="11" t="s">
        <v>44</v>
      </c>
      <c r="S705" s="9" t="s">
        <v>2036</v>
      </c>
      <c r="T705" s="9" t="s">
        <v>44</v>
      </c>
    </row>
    <row r="706" spans="1:20">
      <c r="A706" s="10">
        <v>699</v>
      </c>
      <c r="B706" s="10" t="s">
        <v>997</v>
      </c>
      <c r="C706" s="10" t="s">
        <v>957</v>
      </c>
      <c r="D706" s="10" t="s">
        <v>655</v>
      </c>
      <c r="E706" s="10" t="s">
        <v>34</v>
      </c>
      <c r="F706" s="10" t="s">
        <v>35</v>
      </c>
      <c r="G706" s="8" t="s">
        <v>41</v>
      </c>
      <c r="H706" s="12">
        <v>1</v>
      </c>
      <c r="I706" s="12">
        <v>1</v>
      </c>
      <c r="J706" s="15">
        <v>16000.0</v>
      </c>
      <c r="K706" s="15"/>
      <c r="L706" s="17">
        <f>IF(J706&gt;0, K706/J706, 0)</f>
        <v>0</v>
      </c>
      <c r="M706" s="15">
        <v>16000.0</v>
      </c>
      <c r="N706" s="15"/>
      <c r="O706" s="15">
        <f>M706-N706</f>
        <v>16000</v>
      </c>
      <c r="P706" s="10" t="s">
        <v>42</v>
      </c>
      <c r="Q706" s="10" t="s">
        <v>43</v>
      </c>
      <c r="R706" s="10" t="s">
        <v>44</v>
      </c>
      <c r="S706" s="8" t="s">
        <v>2040</v>
      </c>
      <c r="T706" s="8" t="s">
        <v>44</v>
      </c>
    </row>
    <row r="707" spans="1:20">
      <c r="A707" s="11">
        <v>700</v>
      </c>
      <c r="B707" s="11" t="s">
        <v>998</v>
      </c>
      <c r="C707" s="11" t="s">
        <v>957</v>
      </c>
      <c r="D707" s="11" t="s">
        <v>655</v>
      </c>
      <c r="E707" s="11" t="s">
        <v>34</v>
      </c>
      <c r="F707" s="11" t="s">
        <v>35</v>
      </c>
      <c r="G707" s="9" t="s">
        <v>41</v>
      </c>
      <c r="H707" s="13">
        <v>1</v>
      </c>
      <c r="I707" s="13">
        <v>1</v>
      </c>
      <c r="J707" s="16">
        <v>8000.0</v>
      </c>
      <c r="K707" s="16"/>
      <c r="L707" s="18">
        <f>IF(J707&gt;0, K707/J707, 0)</f>
        <v>0</v>
      </c>
      <c r="M707" s="16">
        <v>8000.0</v>
      </c>
      <c r="N707" s="16"/>
      <c r="O707" s="16">
        <f>M707-N707</f>
        <v>8000</v>
      </c>
      <c r="P707" s="11" t="s">
        <v>42</v>
      </c>
      <c r="Q707" s="11" t="s">
        <v>43</v>
      </c>
      <c r="R707" s="11" t="s">
        <v>44</v>
      </c>
      <c r="S707" s="9" t="s">
        <v>2115</v>
      </c>
      <c r="T707" s="9" t="s">
        <v>44</v>
      </c>
    </row>
    <row r="708" spans="1:20">
      <c r="A708" s="10">
        <v>701</v>
      </c>
      <c r="B708" s="10" t="s">
        <v>999</v>
      </c>
      <c r="C708" s="10" t="s">
        <v>957</v>
      </c>
      <c r="D708" s="10" t="s">
        <v>655</v>
      </c>
      <c r="E708" s="10" t="s">
        <v>34</v>
      </c>
      <c r="F708" s="10" t="s">
        <v>35</v>
      </c>
      <c r="G708" s="8" t="s">
        <v>41</v>
      </c>
      <c r="H708" s="12">
        <v>1</v>
      </c>
      <c r="I708" s="12">
        <v>1</v>
      </c>
      <c r="J708" s="15">
        <v>8000.0</v>
      </c>
      <c r="K708" s="15"/>
      <c r="L708" s="17">
        <f>IF(J708&gt;0, K708/J708, 0)</f>
        <v>0</v>
      </c>
      <c r="M708" s="15">
        <v>8000.0</v>
      </c>
      <c r="N708" s="15"/>
      <c r="O708" s="15">
        <f>M708-N708</f>
        <v>8000</v>
      </c>
      <c r="P708" s="10" t="s">
        <v>42</v>
      </c>
      <c r="Q708" s="10" t="s">
        <v>43</v>
      </c>
      <c r="R708" s="10" t="s">
        <v>44</v>
      </c>
      <c r="S708" s="8" t="s">
        <v>2030</v>
      </c>
      <c r="T708" s="8" t="s">
        <v>44</v>
      </c>
    </row>
    <row r="709" spans="1:20">
      <c r="A709" s="11">
        <v>702</v>
      </c>
      <c r="B709" s="11" t="s">
        <v>1000</v>
      </c>
      <c r="C709" s="11" t="s">
        <v>957</v>
      </c>
      <c r="D709" s="11" t="s">
        <v>655</v>
      </c>
      <c r="E709" s="11" t="s">
        <v>34</v>
      </c>
      <c r="F709" s="11" t="s">
        <v>35</v>
      </c>
      <c r="G709" s="9" t="s">
        <v>41</v>
      </c>
      <c r="H709" s="13">
        <v>1</v>
      </c>
      <c r="I709" s="13">
        <v>1</v>
      </c>
      <c r="J709" s="16">
        <v>7000.0</v>
      </c>
      <c r="K709" s="16"/>
      <c r="L709" s="18">
        <f>IF(J709&gt;0, K709/J709, 0)</f>
        <v>0</v>
      </c>
      <c r="M709" s="16">
        <v>7000.0</v>
      </c>
      <c r="N709" s="16"/>
      <c r="O709" s="16">
        <f>M709-N709</f>
        <v>7000</v>
      </c>
      <c r="P709" s="11" t="s">
        <v>42</v>
      </c>
      <c r="Q709" s="11" t="s">
        <v>43</v>
      </c>
      <c r="R709" s="11" t="s">
        <v>44</v>
      </c>
      <c r="S709" s="9" t="s">
        <v>2038</v>
      </c>
      <c r="T709" s="9" t="s">
        <v>44</v>
      </c>
    </row>
    <row r="710" spans="1:20">
      <c r="A710" s="10">
        <v>703</v>
      </c>
      <c r="B710" s="10" t="s">
        <v>1001</v>
      </c>
      <c r="C710" s="10" t="s">
        <v>957</v>
      </c>
      <c r="D710" s="10" t="s">
        <v>655</v>
      </c>
      <c r="E710" s="10" t="s">
        <v>34</v>
      </c>
      <c r="F710" s="10" t="s">
        <v>35</v>
      </c>
      <c r="G710" s="8" t="s">
        <v>41</v>
      </c>
      <c r="H710" s="12">
        <v>1</v>
      </c>
      <c r="I710" s="12">
        <v>1</v>
      </c>
      <c r="J710" s="15">
        <v>7000.0</v>
      </c>
      <c r="K710" s="15"/>
      <c r="L710" s="17">
        <f>IF(J710&gt;0, K710/J710, 0)</f>
        <v>0</v>
      </c>
      <c r="M710" s="15">
        <v>7000.0</v>
      </c>
      <c r="N710" s="15"/>
      <c r="O710" s="15">
        <f>M710-N710</f>
        <v>7000</v>
      </c>
      <c r="P710" s="10" t="s">
        <v>42</v>
      </c>
      <c r="Q710" s="10" t="s">
        <v>43</v>
      </c>
      <c r="R710" s="10" t="s">
        <v>44</v>
      </c>
      <c r="S710" s="8" t="s">
        <v>2055</v>
      </c>
      <c r="T710" s="8" t="s">
        <v>44</v>
      </c>
    </row>
    <row r="711" spans="1:20">
      <c r="A711" s="11">
        <v>704</v>
      </c>
      <c r="B711" s="11" t="s">
        <v>1002</v>
      </c>
      <c r="C711" s="11" t="s">
        <v>957</v>
      </c>
      <c r="D711" s="11" t="s">
        <v>655</v>
      </c>
      <c r="E711" s="11" t="s">
        <v>34</v>
      </c>
      <c r="F711" s="11" t="s">
        <v>35</v>
      </c>
      <c r="G711" s="9" t="s">
        <v>41</v>
      </c>
      <c r="H711" s="13">
        <v>1</v>
      </c>
      <c r="I711" s="13">
        <v>1</v>
      </c>
      <c r="J711" s="16">
        <v>7500.0</v>
      </c>
      <c r="K711" s="16"/>
      <c r="L711" s="18">
        <f>IF(J711&gt;0, K711/J711, 0)</f>
        <v>0</v>
      </c>
      <c r="M711" s="16">
        <v>7500.0</v>
      </c>
      <c r="N711" s="16"/>
      <c r="O711" s="16">
        <f>M711-N711</f>
        <v>7500</v>
      </c>
      <c r="P711" s="11" t="s">
        <v>42</v>
      </c>
      <c r="Q711" s="11" t="s">
        <v>43</v>
      </c>
      <c r="R711" s="11" t="s">
        <v>44</v>
      </c>
      <c r="S711" s="9" t="s">
        <v>2023</v>
      </c>
      <c r="T711" s="9" t="s">
        <v>44</v>
      </c>
    </row>
    <row r="712" spans="1:20">
      <c r="A712" s="10">
        <v>705</v>
      </c>
      <c r="B712" s="10" t="s">
        <v>1003</v>
      </c>
      <c r="C712" s="10" t="s">
        <v>957</v>
      </c>
      <c r="D712" s="10" t="s">
        <v>655</v>
      </c>
      <c r="E712" s="10" t="s">
        <v>34</v>
      </c>
      <c r="F712" s="10" t="s">
        <v>35</v>
      </c>
      <c r="G712" s="8" t="s">
        <v>41</v>
      </c>
      <c r="H712" s="12">
        <v>1</v>
      </c>
      <c r="I712" s="12">
        <v>2</v>
      </c>
      <c r="J712" s="15">
        <v>16000.0</v>
      </c>
      <c r="K712" s="15"/>
      <c r="L712" s="17">
        <f>IF(J712&gt;0, K712/J712, 0)</f>
        <v>0</v>
      </c>
      <c r="M712" s="15">
        <v>16000.0</v>
      </c>
      <c r="N712" s="15"/>
      <c r="O712" s="15">
        <f>M712-N712</f>
        <v>16000</v>
      </c>
      <c r="P712" s="10" t="s">
        <v>42</v>
      </c>
      <c r="Q712" s="10" t="s">
        <v>43</v>
      </c>
      <c r="R712" s="10" t="s">
        <v>44</v>
      </c>
      <c r="S712" s="8" t="s">
        <v>2132</v>
      </c>
      <c r="T712" s="8" t="s">
        <v>44</v>
      </c>
    </row>
    <row r="713" spans="1:20">
      <c r="A713" s="11">
        <v>706</v>
      </c>
      <c r="B713" s="11" t="s">
        <v>1004</v>
      </c>
      <c r="C713" s="11" t="s">
        <v>957</v>
      </c>
      <c r="D713" s="11" t="s">
        <v>655</v>
      </c>
      <c r="E713" s="11" t="s">
        <v>34</v>
      </c>
      <c r="F713" s="11" t="s">
        <v>35</v>
      </c>
      <c r="G713" s="9" t="s">
        <v>41</v>
      </c>
      <c r="H713" s="13">
        <v>1</v>
      </c>
      <c r="I713" s="13">
        <v>2</v>
      </c>
      <c r="J713" s="16">
        <v>16000.0</v>
      </c>
      <c r="K713" s="16"/>
      <c r="L713" s="18">
        <f>IF(J713&gt;0, K713/J713, 0)</f>
        <v>0</v>
      </c>
      <c r="M713" s="16">
        <v>16000.0</v>
      </c>
      <c r="N713" s="16"/>
      <c r="O713" s="16">
        <f>M713-N713</f>
        <v>16000</v>
      </c>
      <c r="P713" s="11" t="s">
        <v>42</v>
      </c>
      <c r="Q713" s="11" t="s">
        <v>43</v>
      </c>
      <c r="R713" s="11" t="s">
        <v>44</v>
      </c>
      <c r="S713" s="9" t="s">
        <v>2050</v>
      </c>
      <c r="T713" s="9" t="s">
        <v>44</v>
      </c>
    </row>
    <row r="714" spans="1:20">
      <c r="A714" s="10">
        <v>707</v>
      </c>
      <c r="B714" s="10" t="s">
        <v>1005</v>
      </c>
      <c r="C714" s="10" t="s">
        <v>957</v>
      </c>
      <c r="D714" s="10" t="s">
        <v>655</v>
      </c>
      <c r="E714" s="10" t="s">
        <v>70</v>
      </c>
      <c r="F714" s="10" t="s">
        <v>35</v>
      </c>
      <c r="G714" s="8" t="s">
        <v>41</v>
      </c>
      <c r="H714" s="12">
        <v>1</v>
      </c>
      <c r="I714" s="12">
        <v>1</v>
      </c>
      <c r="J714" s="15">
        <v>18000.0</v>
      </c>
      <c r="K714" s="15"/>
      <c r="L714" s="17">
        <f>IF(J714&gt;0, K714/J714, 0)</f>
        <v>0</v>
      </c>
      <c r="M714" s="15">
        <v>18000.0</v>
      </c>
      <c r="N714" s="15"/>
      <c r="O714" s="15">
        <f>M714-N714</f>
        <v>18000</v>
      </c>
      <c r="P714" s="10" t="s">
        <v>42</v>
      </c>
      <c r="Q714" s="10" t="s">
        <v>73</v>
      </c>
      <c r="R714" s="10" t="s">
        <v>44</v>
      </c>
      <c r="S714" s="8" t="s">
        <v>2064</v>
      </c>
      <c r="T714" s="8" t="s">
        <v>44</v>
      </c>
    </row>
    <row r="715" spans="1:20">
      <c r="A715" s="11">
        <v>708</v>
      </c>
      <c r="B715" s="11" t="s">
        <v>1007</v>
      </c>
      <c r="C715" s="11" t="s">
        <v>957</v>
      </c>
      <c r="D715" s="11" t="s">
        <v>655</v>
      </c>
      <c r="E715" s="11" t="s">
        <v>34</v>
      </c>
      <c r="F715" s="11" t="s">
        <v>35</v>
      </c>
      <c r="G715" s="9" t="s">
        <v>41</v>
      </c>
      <c r="H715" s="13">
        <v>1</v>
      </c>
      <c r="I715" s="13">
        <v>2</v>
      </c>
      <c r="J715" s="16">
        <v>16000.0</v>
      </c>
      <c r="K715" s="16"/>
      <c r="L715" s="18">
        <f>IF(J715&gt;0, K715/J715, 0)</f>
        <v>0</v>
      </c>
      <c r="M715" s="16">
        <v>16000.0</v>
      </c>
      <c r="N715" s="16"/>
      <c r="O715" s="16">
        <f>M715-N715</f>
        <v>16000</v>
      </c>
      <c r="P715" s="11" t="s">
        <v>42</v>
      </c>
      <c r="Q715" s="11" t="s">
        <v>43</v>
      </c>
      <c r="R715" s="11" t="s">
        <v>44</v>
      </c>
      <c r="S715" s="9" t="s">
        <v>2050</v>
      </c>
      <c r="T715" s="9" t="s">
        <v>44</v>
      </c>
    </row>
    <row r="716" spans="1:20">
      <c r="A716" s="10">
        <v>709</v>
      </c>
      <c r="B716" s="10" t="s">
        <v>1008</v>
      </c>
      <c r="C716" s="10" t="s">
        <v>957</v>
      </c>
      <c r="D716" s="10" t="s">
        <v>655</v>
      </c>
      <c r="E716" s="10" t="s">
        <v>34</v>
      </c>
      <c r="F716" s="10" t="s">
        <v>35</v>
      </c>
      <c r="G716" s="8" t="s">
        <v>41</v>
      </c>
      <c r="H716" s="12">
        <v>1</v>
      </c>
      <c r="I716" s="12">
        <v>1</v>
      </c>
      <c r="J716" s="15">
        <v>8000.0</v>
      </c>
      <c r="K716" s="15"/>
      <c r="L716" s="17">
        <f>IF(J716&gt;0, K716/J716, 0)</f>
        <v>0</v>
      </c>
      <c r="M716" s="15">
        <v>8000.0</v>
      </c>
      <c r="N716" s="15"/>
      <c r="O716" s="15">
        <f>M716-N716</f>
        <v>8000</v>
      </c>
      <c r="P716" s="10" t="s">
        <v>42</v>
      </c>
      <c r="Q716" s="10" t="s">
        <v>43</v>
      </c>
      <c r="R716" s="10" t="s">
        <v>44</v>
      </c>
      <c r="S716" s="8" t="s">
        <v>2068</v>
      </c>
      <c r="T716" s="8" t="s">
        <v>44</v>
      </c>
    </row>
    <row r="717" spans="1:20">
      <c r="A717" s="11">
        <v>710</v>
      </c>
      <c r="B717" s="11" t="s">
        <v>1009</v>
      </c>
      <c r="C717" s="11" t="s">
        <v>957</v>
      </c>
      <c r="D717" s="11" t="s">
        <v>655</v>
      </c>
      <c r="E717" s="11" t="s">
        <v>34</v>
      </c>
      <c r="F717" s="11" t="s">
        <v>35</v>
      </c>
      <c r="G717" s="9" t="s">
        <v>41</v>
      </c>
      <c r="H717" s="13">
        <v>1</v>
      </c>
      <c r="I717" s="13">
        <v>1</v>
      </c>
      <c r="J717" s="16">
        <v>18000.0</v>
      </c>
      <c r="K717" s="16"/>
      <c r="L717" s="18">
        <f>IF(J717&gt;0, K717/J717, 0)</f>
        <v>0</v>
      </c>
      <c r="M717" s="16">
        <v>18000.0</v>
      </c>
      <c r="N717" s="16"/>
      <c r="O717" s="16">
        <f>M717-N717</f>
        <v>18000</v>
      </c>
      <c r="P717" s="11" t="s">
        <v>42</v>
      </c>
      <c r="Q717" s="11" t="s">
        <v>43</v>
      </c>
      <c r="R717" s="11" t="s">
        <v>44</v>
      </c>
      <c r="S717" s="9" t="s">
        <v>2049</v>
      </c>
      <c r="T717" s="9" t="s">
        <v>44</v>
      </c>
    </row>
    <row r="718" spans="1:20">
      <c r="A718" s="10">
        <v>711</v>
      </c>
      <c r="B718" s="10" t="s">
        <v>1010</v>
      </c>
      <c r="C718" s="10" t="s">
        <v>957</v>
      </c>
      <c r="D718" s="10" t="s">
        <v>655</v>
      </c>
      <c r="E718" s="10" t="s">
        <v>34</v>
      </c>
      <c r="F718" s="10" t="s">
        <v>35</v>
      </c>
      <c r="G718" s="8" t="s">
        <v>41</v>
      </c>
      <c r="H718" s="12">
        <v>1</v>
      </c>
      <c r="I718" s="12">
        <v>4</v>
      </c>
      <c r="J718" s="15">
        <v>28000.0</v>
      </c>
      <c r="K718" s="15"/>
      <c r="L718" s="17">
        <f>IF(J718&gt;0, K718/J718, 0)</f>
        <v>0</v>
      </c>
      <c r="M718" s="15">
        <v>28000.0</v>
      </c>
      <c r="N718" s="15"/>
      <c r="O718" s="15">
        <f>M718-N718</f>
        <v>28000</v>
      </c>
      <c r="P718" s="10" t="s">
        <v>42</v>
      </c>
      <c r="Q718" s="10" t="s">
        <v>43</v>
      </c>
      <c r="R718" s="10" t="s">
        <v>44</v>
      </c>
      <c r="S718" s="8" t="s">
        <v>2160</v>
      </c>
      <c r="T718" s="8" t="s">
        <v>44</v>
      </c>
    </row>
    <row r="719" spans="1:20">
      <c r="A719" s="11">
        <v>712</v>
      </c>
      <c r="B719" s="11" t="s">
        <v>1011</v>
      </c>
      <c r="C719" s="11" t="s">
        <v>957</v>
      </c>
      <c r="D719" s="11" t="s">
        <v>655</v>
      </c>
      <c r="E719" s="11" t="s">
        <v>34</v>
      </c>
      <c r="F719" s="11" t="s">
        <v>35</v>
      </c>
      <c r="G719" s="9" t="s">
        <v>41</v>
      </c>
      <c r="H719" s="13">
        <v>1</v>
      </c>
      <c r="I719" s="13">
        <v>1</v>
      </c>
      <c r="J719" s="16">
        <v>8000.0</v>
      </c>
      <c r="K719" s="16"/>
      <c r="L719" s="18">
        <f>IF(J719&gt;0, K719/J719, 0)</f>
        <v>0</v>
      </c>
      <c r="M719" s="16">
        <v>8000.0</v>
      </c>
      <c r="N719" s="16"/>
      <c r="O719" s="16">
        <f>M719-N719</f>
        <v>8000</v>
      </c>
      <c r="P719" s="11" t="s">
        <v>42</v>
      </c>
      <c r="Q719" s="11" t="s">
        <v>43</v>
      </c>
      <c r="R719" s="11" t="s">
        <v>44</v>
      </c>
      <c r="S719" s="9" t="s">
        <v>2115</v>
      </c>
      <c r="T719" s="9" t="s">
        <v>44</v>
      </c>
    </row>
    <row r="720" spans="1:20">
      <c r="A720" s="10">
        <v>713</v>
      </c>
      <c r="B720" s="10" t="s">
        <v>1012</v>
      </c>
      <c r="C720" s="10" t="s">
        <v>957</v>
      </c>
      <c r="D720" s="10" t="s">
        <v>655</v>
      </c>
      <c r="E720" s="10" t="s">
        <v>34</v>
      </c>
      <c r="F720" s="10" t="s">
        <v>35</v>
      </c>
      <c r="G720" s="8" t="s">
        <v>41</v>
      </c>
      <c r="H720" s="12">
        <v>1</v>
      </c>
      <c r="I720" s="12">
        <v>1</v>
      </c>
      <c r="J720" s="15">
        <v>18000.0</v>
      </c>
      <c r="K720" s="15"/>
      <c r="L720" s="17">
        <f>IF(J720&gt;0, K720/J720, 0)</f>
        <v>0</v>
      </c>
      <c r="M720" s="15">
        <v>18000.0</v>
      </c>
      <c r="N720" s="15"/>
      <c r="O720" s="15">
        <f>M720-N720</f>
        <v>18000</v>
      </c>
      <c r="P720" s="10" t="s">
        <v>42</v>
      </c>
      <c r="Q720" s="10" t="s">
        <v>43</v>
      </c>
      <c r="R720" s="10" t="s">
        <v>44</v>
      </c>
      <c r="S720" s="8" t="s">
        <v>2118</v>
      </c>
      <c r="T720" s="8" t="s">
        <v>44</v>
      </c>
    </row>
    <row r="721" spans="1:20">
      <c r="A721" s="11">
        <v>714</v>
      </c>
      <c r="B721" s="11" t="s">
        <v>1013</v>
      </c>
      <c r="C721" s="11" t="s">
        <v>957</v>
      </c>
      <c r="D721" s="11" t="s">
        <v>655</v>
      </c>
      <c r="E721" s="11" t="s">
        <v>34</v>
      </c>
      <c r="F721" s="11" t="s">
        <v>35</v>
      </c>
      <c r="G721" s="9" t="s">
        <v>41</v>
      </c>
      <c r="H721" s="13">
        <v>1</v>
      </c>
      <c r="I721" s="13">
        <v>3</v>
      </c>
      <c r="J721" s="16">
        <v>21000.0</v>
      </c>
      <c r="K721" s="16"/>
      <c r="L721" s="18">
        <f>IF(J721&gt;0, K721/J721, 0)</f>
        <v>0</v>
      </c>
      <c r="M721" s="16">
        <v>21000.0</v>
      </c>
      <c r="N721" s="16"/>
      <c r="O721" s="16">
        <f>M721-N721</f>
        <v>21000</v>
      </c>
      <c r="P721" s="11" t="s">
        <v>42</v>
      </c>
      <c r="Q721" s="11" t="s">
        <v>43</v>
      </c>
      <c r="R721" s="11" t="s">
        <v>44</v>
      </c>
      <c r="S721" s="9" t="s">
        <v>2183</v>
      </c>
      <c r="T721" s="9" t="s">
        <v>44</v>
      </c>
    </row>
    <row r="722" spans="1:20">
      <c r="A722" s="10">
        <v>715</v>
      </c>
      <c r="B722" s="10" t="s">
        <v>1014</v>
      </c>
      <c r="C722" s="10" t="s">
        <v>957</v>
      </c>
      <c r="D722" s="10" t="s">
        <v>655</v>
      </c>
      <c r="E722" s="10" t="s">
        <v>34</v>
      </c>
      <c r="F722" s="10" t="s">
        <v>35</v>
      </c>
      <c r="G722" s="8" t="s">
        <v>41</v>
      </c>
      <c r="H722" s="12">
        <v>1</v>
      </c>
      <c r="I722" s="12">
        <v>2</v>
      </c>
      <c r="J722" s="15">
        <v>16000.0</v>
      </c>
      <c r="K722" s="15"/>
      <c r="L722" s="17">
        <f>IF(J722&gt;0, K722/J722, 0)</f>
        <v>0</v>
      </c>
      <c r="M722" s="15">
        <v>16000.0</v>
      </c>
      <c r="N722" s="15"/>
      <c r="O722" s="15">
        <f>M722-N722</f>
        <v>16000</v>
      </c>
      <c r="P722" s="10" t="s">
        <v>42</v>
      </c>
      <c r="Q722" s="10" t="s">
        <v>43</v>
      </c>
      <c r="R722" s="10" t="s">
        <v>44</v>
      </c>
      <c r="S722" s="8" t="s">
        <v>2184</v>
      </c>
      <c r="T722" s="8" t="s">
        <v>44</v>
      </c>
    </row>
    <row r="723" spans="1:20">
      <c r="A723" s="11">
        <v>716</v>
      </c>
      <c r="B723" s="11" t="s">
        <v>1015</v>
      </c>
      <c r="C723" s="11" t="s">
        <v>957</v>
      </c>
      <c r="D723" s="11" t="s">
        <v>655</v>
      </c>
      <c r="E723" s="11" t="s">
        <v>34</v>
      </c>
      <c r="F723" s="11" t="s">
        <v>35</v>
      </c>
      <c r="G723" s="9" t="s">
        <v>41</v>
      </c>
      <c r="H723" s="13">
        <v>1</v>
      </c>
      <c r="I723" s="13">
        <v>1</v>
      </c>
      <c r="J723" s="16">
        <v>16000.0</v>
      </c>
      <c r="K723" s="16"/>
      <c r="L723" s="18">
        <f>IF(J723&gt;0, K723/J723, 0)</f>
        <v>0</v>
      </c>
      <c r="M723" s="16">
        <v>16000.0</v>
      </c>
      <c r="N723" s="16"/>
      <c r="O723" s="16">
        <f>M723-N723</f>
        <v>16000</v>
      </c>
      <c r="P723" s="11" t="s">
        <v>42</v>
      </c>
      <c r="Q723" s="11" t="s">
        <v>43</v>
      </c>
      <c r="R723" s="11" t="s">
        <v>44</v>
      </c>
      <c r="S723" s="9" t="s">
        <v>2078</v>
      </c>
      <c r="T723" s="9" t="s">
        <v>44</v>
      </c>
    </row>
    <row r="724" spans="1:20">
      <c r="A724" s="10">
        <v>717</v>
      </c>
      <c r="B724" s="10" t="s">
        <v>1016</v>
      </c>
      <c r="C724" s="10" t="s">
        <v>957</v>
      </c>
      <c r="D724" s="10" t="s">
        <v>655</v>
      </c>
      <c r="E724" s="10" t="s">
        <v>34</v>
      </c>
      <c r="F724" s="10" t="s">
        <v>35</v>
      </c>
      <c r="G724" s="8" t="s">
        <v>41</v>
      </c>
      <c r="H724" s="12">
        <v>1</v>
      </c>
      <c r="I724" s="12">
        <v>1</v>
      </c>
      <c r="J724" s="15">
        <v>8000.0</v>
      </c>
      <c r="K724" s="15"/>
      <c r="L724" s="17">
        <f>IF(J724&gt;0, K724/J724, 0)</f>
        <v>0</v>
      </c>
      <c r="M724" s="15">
        <v>8000.0</v>
      </c>
      <c r="N724" s="15"/>
      <c r="O724" s="15">
        <f>M724-N724</f>
        <v>8000</v>
      </c>
      <c r="P724" s="10" t="s">
        <v>42</v>
      </c>
      <c r="Q724" s="10" t="s">
        <v>43</v>
      </c>
      <c r="R724" s="10" t="s">
        <v>44</v>
      </c>
      <c r="S724" s="8" t="s">
        <v>2068</v>
      </c>
      <c r="T724" s="8" t="s">
        <v>44</v>
      </c>
    </row>
    <row r="725" spans="1:20">
      <c r="A725" s="11">
        <v>718</v>
      </c>
      <c r="B725" s="11" t="s">
        <v>1017</v>
      </c>
      <c r="C725" s="11" t="s">
        <v>957</v>
      </c>
      <c r="D725" s="11" t="s">
        <v>655</v>
      </c>
      <c r="E725" s="11" t="s">
        <v>34</v>
      </c>
      <c r="F725" s="11" t="s">
        <v>35</v>
      </c>
      <c r="G725" s="9" t="s">
        <v>41</v>
      </c>
      <c r="H725" s="13">
        <v>1</v>
      </c>
      <c r="I725" s="13">
        <v>1</v>
      </c>
      <c r="J725" s="16">
        <v>8500.0</v>
      </c>
      <c r="K725" s="16"/>
      <c r="L725" s="18">
        <f>IF(J725&gt;0, K725/J725, 0)</f>
        <v>0</v>
      </c>
      <c r="M725" s="16">
        <v>8500.0</v>
      </c>
      <c r="N725" s="16"/>
      <c r="O725" s="16">
        <f>M725-N725</f>
        <v>8500</v>
      </c>
      <c r="P725" s="11" t="s">
        <v>42</v>
      </c>
      <c r="Q725" s="11" t="s">
        <v>43</v>
      </c>
      <c r="R725" s="11" t="s">
        <v>44</v>
      </c>
      <c r="S725" s="9" t="s">
        <v>2024</v>
      </c>
      <c r="T725" s="9" t="s">
        <v>44</v>
      </c>
    </row>
    <row r="726" spans="1:20">
      <c r="A726" s="10">
        <v>719</v>
      </c>
      <c r="B726" s="10" t="s">
        <v>1018</v>
      </c>
      <c r="C726" s="10" t="s">
        <v>957</v>
      </c>
      <c r="D726" s="10" t="s">
        <v>655</v>
      </c>
      <c r="E726" s="10" t="s">
        <v>34</v>
      </c>
      <c r="F726" s="10" t="s">
        <v>35</v>
      </c>
      <c r="G726" s="8" t="s">
        <v>41</v>
      </c>
      <c r="H726" s="12">
        <v>1</v>
      </c>
      <c r="I726" s="12">
        <v>1</v>
      </c>
      <c r="J726" s="15">
        <v>9500.0</v>
      </c>
      <c r="K726" s="15"/>
      <c r="L726" s="17">
        <f>IF(J726&gt;0, K726/J726, 0)</f>
        <v>0</v>
      </c>
      <c r="M726" s="15">
        <v>9500.0</v>
      </c>
      <c r="N726" s="15"/>
      <c r="O726" s="15">
        <f>M726-N726</f>
        <v>9500</v>
      </c>
      <c r="P726" s="10" t="s">
        <v>42</v>
      </c>
      <c r="Q726" s="10" t="s">
        <v>43</v>
      </c>
      <c r="R726" s="10" t="s">
        <v>44</v>
      </c>
      <c r="S726" s="8" t="s">
        <v>2074</v>
      </c>
      <c r="T726" s="8" t="s">
        <v>44</v>
      </c>
    </row>
    <row r="727" spans="1:20">
      <c r="A727" s="11">
        <v>720</v>
      </c>
      <c r="B727" s="11" t="s">
        <v>1019</v>
      </c>
      <c r="C727" s="11" t="s">
        <v>957</v>
      </c>
      <c r="D727" s="11" t="s">
        <v>655</v>
      </c>
      <c r="E727" s="11" t="s">
        <v>34</v>
      </c>
      <c r="F727" s="11" t="s">
        <v>35</v>
      </c>
      <c r="G727" s="9" t="s">
        <v>41</v>
      </c>
      <c r="H727" s="13">
        <v>1</v>
      </c>
      <c r="I727" s="13">
        <v>1</v>
      </c>
      <c r="J727" s="16">
        <v>7000.0</v>
      </c>
      <c r="K727" s="16"/>
      <c r="L727" s="18">
        <f>IF(J727&gt;0, K727/J727, 0)</f>
        <v>0</v>
      </c>
      <c r="M727" s="16">
        <v>7000.0</v>
      </c>
      <c r="N727" s="16"/>
      <c r="O727" s="16">
        <f>M727-N727</f>
        <v>7000</v>
      </c>
      <c r="P727" s="11" t="s">
        <v>42</v>
      </c>
      <c r="Q727" s="11" t="s">
        <v>43</v>
      </c>
      <c r="R727" s="11" t="s">
        <v>44</v>
      </c>
      <c r="S727" s="9" t="s">
        <v>2053</v>
      </c>
      <c r="T727" s="9" t="s">
        <v>44</v>
      </c>
    </row>
    <row r="728" spans="1:20">
      <c r="A728" s="10">
        <v>721</v>
      </c>
      <c r="B728" s="10" t="s">
        <v>1020</v>
      </c>
      <c r="C728" s="10" t="s">
        <v>957</v>
      </c>
      <c r="D728" s="10" t="s">
        <v>655</v>
      </c>
      <c r="E728" s="10" t="s">
        <v>70</v>
      </c>
      <c r="F728" s="10" t="s">
        <v>35</v>
      </c>
      <c r="G728" s="8" t="s">
        <v>41</v>
      </c>
      <c r="H728" s="12">
        <v>1</v>
      </c>
      <c r="I728" s="12">
        <v>2</v>
      </c>
      <c r="J728" s="15">
        <v>20000.0</v>
      </c>
      <c r="K728" s="15"/>
      <c r="L728" s="17">
        <f>IF(J728&gt;0, K728/J728, 0)</f>
        <v>0</v>
      </c>
      <c r="M728" s="15">
        <v>20000.0</v>
      </c>
      <c r="N728" s="15"/>
      <c r="O728" s="15">
        <f>M728-N728</f>
        <v>20000</v>
      </c>
      <c r="P728" s="10" t="s">
        <v>42</v>
      </c>
      <c r="Q728" s="10" t="s">
        <v>73</v>
      </c>
      <c r="R728" s="10" t="s">
        <v>44</v>
      </c>
      <c r="S728" s="8" t="s">
        <v>2044</v>
      </c>
      <c r="T728" s="8" t="s">
        <v>44</v>
      </c>
    </row>
    <row r="729" spans="1:20">
      <c r="A729" s="11">
        <v>722</v>
      </c>
      <c r="B729" s="11" t="s">
        <v>1021</v>
      </c>
      <c r="C729" s="11" t="s">
        <v>957</v>
      </c>
      <c r="D729" s="11" t="s">
        <v>655</v>
      </c>
      <c r="E729" s="11" t="s">
        <v>34</v>
      </c>
      <c r="F729" s="11" t="s">
        <v>35</v>
      </c>
      <c r="G729" s="9" t="s">
        <v>41</v>
      </c>
      <c r="H729" s="13">
        <v>1</v>
      </c>
      <c r="I729" s="13">
        <v>1</v>
      </c>
      <c r="J729" s="16">
        <v>8000.0</v>
      </c>
      <c r="K729" s="16"/>
      <c r="L729" s="18">
        <f>IF(J729&gt;0, K729/J729, 0)</f>
        <v>0</v>
      </c>
      <c r="M729" s="16">
        <v>8000.0</v>
      </c>
      <c r="N729" s="16"/>
      <c r="O729" s="16">
        <f>M729-N729</f>
        <v>8000</v>
      </c>
      <c r="P729" s="11" t="s">
        <v>42</v>
      </c>
      <c r="Q729" s="11" t="s">
        <v>43</v>
      </c>
      <c r="R729" s="11" t="s">
        <v>44</v>
      </c>
      <c r="S729" s="9" t="s">
        <v>2067</v>
      </c>
      <c r="T729" s="9" t="s">
        <v>44</v>
      </c>
    </row>
    <row r="730" spans="1:20">
      <c r="A730" s="10">
        <v>723</v>
      </c>
      <c r="B730" s="10" t="s">
        <v>1022</v>
      </c>
      <c r="C730" s="10" t="s">
        <v>957</v>
      </c>
      <c r="D730" s="10" t="s">
        <v>655</v>
      </c>
      <c r="E730" s="10" t="s">
        <v>34</v>
      </c>
      <c r="F730" s="10" t="s">
        <v>35</v>
      </c>
      <c r="G730" s="8" t="s">
        <v>41</v>
      </c>
      <c r="H730" s="12">
        <v>1</v>
      </c>
      <c r="I730" s="12">
        <v>2</v>
      </c>
      <c r="J730" s="15">
        <v>14000.0</v>
      </c>
      <c r="K730" s="15"/>
      <c r="L730" s="17">
        <f>IF(J730&gt;0, K730/J730, 0)</f>
        <v>0</v>
      </c>
      <c r="M730" s="15">
        <v>14000.0</v>
      </c>
      <c r="N730" s="15"/>
      <c r="O730" s="15">
        <f>M730-N730</f>
        <v>14000</v>
      </c>
      <c r="P730" s="10" t="s">
        <v>42</v>
      </c>
      <c r="Q730" s="10" t="s">
        <v>43</v>
      </c>
      <c r="R730" s="10" t="s">
        <v>44</v>
      </c>
      <c r="S730" s="8" t="s">
        <v>2182</v>
      </c>
      <c r="T730" s="8" t="s">
        <v>44</v>
      </c>
    </row>
    <row r="731" spans="1:20">
      <c r="A731" s="11">
        <v>724</v>
      </c>
      <c r="B731" s="11" t="s">
        <v>1023</v>
      </c>
      <c r="C731" s="11" t="s">
        <v>957</v>
      </c>
      <c r="D731" s="11" t="s">
        <v>655</v>
      </c>
      <c r="E731" s="11" t="s">
        <v>34</v>
      </c>
      <c r="F731" s="11" t="s">
        <v>1024</v>
      </c>
      <c r="G731" s="9" t="s">
        <v>41</v>
      </c>
      <c r="H731" s="13">
        <v>1</v>
      </c>
      <c r="I731" s="13">
        <v>1</v>
      </c>
      <c r="J731" s="16">
        <v>16000.0</v>
      </c>
      <c r="K731" s="16">
        <v>2400.0</v>
      </c>
      <c r="L731" s="18">
        <f>IF(J731&gt;0, K731/J731, 0)</f>
        <v>0.15</v>
      </c>
      <c r="M731" s="16">
        <v>13600.0</v>
      </c>
      <c r="N731" s="16"/>
      <c r="O731" s="16">
        <f>M731-N731</f>
        <v>13600</v>
      </c>
      <c r="P731" s="11" t="s">
        <v>42</v>
      </c>
      <c r="Q731" s="11" t="s">
        <v>43</v>
      </c>
      <c r="R731" s="11" t="s">
        <v>44</v>
      </c>
      <c r="S731" s="9" t="s">
        <v>2064</v>
      </c>
      <c r="T731" s="9" t="s">
        <v>1025</v>
      </c>
    </row>
    <row r="732" spans="1:20">
      <c r="A732" s="10">
        <v>725</v>
      </c>
      <c r="B732" s="10" t="s">
        <v>1026</v>
      </c>
      <c r="C732" s="10" t="s">
        <v>957</v>
      </c>
      <c r="D732" s="10" t="s">
        <v>655</v>
      </c>
      <c r="E732" s="10" t="s">
        <v>34</v>
      </c>
      <c r="F732" s="10" t="s">
        <v>1024</v>
      </c>
      <c r="G732" s="8" t="s">
        <v>41</v>
      </c>
      <c r="H732" s="12">
        <v>1</v>
      </c>
      <c r="I732" s="12">
        <v>1</v>
      </c>
      <c r="J732" s="15">
        <v>16000.0</v>
      </c>
      <c r="K732" s="15">
        <v>2400.0</v>
      </c>
      <c r="L732" s="17">
        <f>IF(J732&gt;0, K732/J732, 0)</f>
        <v>0.15</v>
      </c>
      <c r="M732" s="15">
        <v>13600.0</v>
      </c>
      <c r="N732" s="15"/>
      <c r="O732" s="15">
        <f>M732-N732</f>
        <v>13600</v>
      </c>
      <c r="P732" s="10" t="s">
        <v>42</v>
      </c>
      <c r="Q732" s="10" t="s">
        <v>43</v>
      </c>
      <c r="R732" s="10" t="s">
        <v>44</v>
      </c>
      <c r="S732" s="8" t="s">
        <v>2021</v>
      </c>
      <c r="T732" s="8" t="s">
        <v>1025</v>
      </c>
    </row>
    <row r="733" spans="1:20">
      <c r="A733" s="11">
        <v>726</v>
      </c>
      <c r="B733" s="11" t="s">
        <v>1027</v>
      </c>
      <c r="C733" s="11" t="s">
        <v>957</v>
      </c>
      <c r="D733" s="11" t="s">
        <v>655</v>
      </c>
      <c r="E733" s="11" t="s">
        <v>70</v>
      </c>
      <c r="F733" s="11" t="s">
        <v>1024</v>
      </c>
      <c r="G733" s="9" t="s">
        <v>41</v>
      </c>
      <c r="H733" s="13">
        <v>1</v>
      </c>
      <c r="I733" s="13">
        <v>2</v>
      </c>
      <c r="J733" s="16">
        <v>18000.0</v>
      </c>
      <c r="K733" s="16">
        <v>2700.0</v>
      </c>
      <c r="L733" s="18">
        <f>IF(J733&gt;0, K733/J733, 0)</f>
        <v>0.15</v>
      </c>
      <c r="M733" s="16">
        <v>15300.0</v>
      </c>
      <c r="N733" s="16"/>
      <c r="O733" s="16">
        <f>M733-N733</f>
        <v>15300</v>
      </c>
      <c r="P733" s="11" t="s">
        <v>42</v>
      </c>
      <c r="Q733" s="11" t="s">
        <v>73</v>
      </c>
      <c r="R733" s="11" t="s">
        <v>44</v>
      </c>
      <c r="S733" s="9" t="s">
        <v>2185</v>
      </c>
      <c r="T733" s="9" t="s">
        <v>1025</v>
      </c>
    </row>
    <row r="734" spans="1:20">
      <c r="A734" s="10">
        <v>727</v>
      </c>
      <c r="B734" s="10" t="s">
        <v>1029</v>
      </c>
      <c r="C734" s="10" t="s">
        <v>957</v>
      </c>
      <c r="D734" s="10" t="s">
        <v>655</v>
      </c>
      <c r="E734" s="10" t="s">
        <v>34</v>
      </c>
      <c r="F734" s="10" t="s">
        <v>1024</v>
      </c>
      <c r="G734" s="8" t="s">
        <v>41</v>
      </c>
      <c r="H734" s="12">
        <v>1</v>
      </c>
      <c r="I734" s="12">
        <v>2</v>
      </c>
      <c r="J734" s="15">
        <v>16000.0</v>
      </c>
      <c r="K734" s="15">
        <v>2400.0</v>
      </c>
      <c r="L734" s="17">
        <f>IF(J734&gt;0, K734/J734, 0)</f>
        <v>0.15</v>
      </c>
      <c r="M734" s="15">
        <v>13600.0</v>
      </c>
      <c r="N734" s="15"/>
      <c r="O734" s="15">
        <f>M734-N734</f>
        <v>13600</v>
      </c>
      <c r="P734" s="10" t="s">
        <v>42</v>
      </c>
      <c r="Q734" s="10" t="s">
        <v>43</v>
      </c>
      <c r="R734" s="10" t="s">
        <v>44</v>
      </c>
      <c r="S734" s="8" t="s">
        <v>2186</v>
      </c>
      <c r="T734" s="8" t="s">
        <v>1025</v>
      </c>
    </row>
    <row r="735" spans="1:20">
      <c r="A735" s="11">
        <v>728</v>
      </c>
      <c r="B735" s="11" t="s">
        <v>1030</v>
      </c>
      <c r="C735" s="11" t="s">
        <v>957</v>
      </c>
      <c r="D735" s="11" t="s">
        <v>655</v>
      </c>
      <c r="E735" s="11" t="s">
        <v>34</v>
      </c>
      <c r="F735" s="11" t="s">
        <v>35</v>
      </c>
      <c r="G735" s="9" t="s">
        <v>41</v>
      </c>
      <c r="H735" s="13">
        <v>1</v>
      </c>
      <c r="I735" s="13">
        <v>2</v>
      </c>
      <c r="J735" s="16">
        <v>14000.0</v>
      </c>
      <c r="K735" s="16">
        <v>2100.0</v>
      </c>
      <c r="L735" s="18">
        <f>IF(J735&gt;0, K735/J735, 0)</f>
        <v>0.15</v>
      </c>
      <c r="M735" s="16">
        <v>11900.0</v>
      </c>
      <c r="N735" s="16"/>
      <c r="O735" s="16">
        <f>M735-N735</f>
        <v>11900</v>
      </c>
      <c r="P735" s="11" t="s">
        <v>42</v>
      </c>
      <c r="Q735" s="11" t="s">
        <v>43</v>
      </c>
      <c r="R735" s="11" t="s">
        <v>44</v>
      </c>
      <c r="S735" s="9" t="s">
        <v>2132</v>
      </c>
      <c r="T735" s="9" t="s">
        <v>44</v>
      </c>
    </row>
    <row r="736" spans="1:20">
      <c r="A736" s="10">
        <v>729</v>
      </c>
      <c r="B736" s="10" t="s">
        <v>1031</v>
      </c>
      <c r="C736" s="10" t="s">
        <v>957</v>
      </c>
      <c r="D736" s="10" t="s">
        <v>655</v>
      </c>
      <c r="E736" s="10" t="s">
        <v>34</v>
      </c>
      <c r="F736" s="10" t="s">
        <v>35</v>
      </c>
      <c r="G736" s="8" t="s">
        <v>41</v>
      </c>
      <c r="H736" s="12">
        <v>1</v>
      </c>
      <c r="I736" s="12">
        <v>2</v>
      </c>
      <c r="J736" s="15">
        <v>14000.0</v>
      </c>
      <c r="K736" s="15">
        <v>2100.0</v>
      </c>
      <c r="L736" s="17">
        <f>IF(J736&gt;0, K736/J736, 0)</f>
        <v>0.15</v>
      </c>
      <c r="M736" s="15">
        <v>11900.0</v>
      </c>
      <c r="N736" s="15"/>
      <c r="O736" s="15">
        <f>M736-N736</f>
        <v>11900</v>
      </c>
      <c r="P736" s="10" t="s">
        <v>42</v>
      </c>
      <c r="Q736" s="10" t="s">
        <v>43</v>
      </c>
      <c r="R736" s="10" t="s">
        <v>44</v>
      </c>
      <c r="S736" s="8" t="s">
        <v>2044</v>
      </c>
      <c r="T736" s="8" t="s">
        <v>44</v>
      </c>
    </row>
    <row r="737" spans="1:20">
      <c r="A737" s="11">
        <v>730</v>
      </c>
      <c r="B737" s="11" t="s">
        <v>1032</v>
      </c>
      <c r="C737" s="11" t="s">
        <v>957</v>
      </c>
      <c r="D737" s="11" t="s">
        <v>655</v>
      </c>
      <c r="E737" s="11" t="s">
        <v>70</v>
      </c>
      <c r="F737" s="11" t="s">
        <v>35</v>
      </c>
      <c r="G737" s="9" t="s">
        <v>41</v>
      </c>
      <c r="H737" s="13">
        <v>1</v>
      </c>
      <c r="I737" s="13">
        <v>1</v>
      </c>
      <c r="J737" s="16">
        <v>18000.0</v>
      </c>
      <c r="K737" s="16"/>
      <c r="L737" s="18">
        <f>IF(J737&gt;0, K737/J737, 0)</f>
        <v>0</v>
      </c>
      <c r="M737" s="16">
        <v>18000.0</v>
      </c>
      <c r="N737" s="16"/>
      <c r="O737" s="16">
        <f>M737-N737</f>
        <v>18000</v>
      </c>
      <c r="P737" s="11" t="s">
        <v>42</v>
      </c>
      <c r="Q737" s="11" t="s">
        <v>73</v>
      </c>
      <c r="R737" s="11" t="s">
        <v>44</v>
      </c>
      <c r="S737" s="9" t="s">
        <v>2187</v>
      </c>
      <c r="T737" s="9" t="s">
        <v>44</v>
      </c>
    </row>
    <row r="738" spans="1:20">
      <c r="A738" s="10">
        <v>731</v>
      </c>
      <c r="B738" s="10" t="s">
        <v>1034</v>
      </c>
      <c r="C738" s="10" t="s">
        <v>957</v>
      </c>
      <c r="D738" s="10" t="s">
        <v>655</v>
      </c>
      <c r="E738" s="10" t="s">
        <v>34</v>
      </c>
      <c r="F738" s="10" t="s">
        <v>35</v>
      </c>
      <c r="G738" s="8" t="s">
        <v>41</v>
      </c>
      <c r="H738" s="12">
        <v>1</v>
      </c>
      <c r="I738" s="12">
        <v>1</v>
      </c>
      <c r="J738" s="15">
        <v>8000.0</v>
      </c>
      <c r="K738" s="15"/>
      <c r="L738" s="17">
        <f>IF(J738&gt;0, K738/J738, 0)</f>
        <v>0</v>
      </c>
      <c r="M738" s="15">
        <v>8000.0</v>
      </c>
      <c r="N738" s="15"/>
      <c r="O738" s="15">
        <f>M738-N738</f>
        <v>8000</v>
      </c>
      <c r="P738" s="10" t="s">
        <v>42</v>
      </c>
      <c r="Q738" s="10" t="s">
        <v>43</v>
      </c>
      <c r="R738" s="10" t="s">
        <v>44</v>
      </c>
      <c r="S738" s="8" t="s">
        <v>2105</v>
      </c>
      <c r="T738" s="8" t="s">
        <v>44</v>
      </c>
    </row>
    <row r="739" spans="1:20">
      <c r="A739" s="11">
        <v>732</v>
      </c>
      <c r="B739" s="11" t="s">
        <v>1035</v>
      </c>
      <c r="C739" s="11" t="s">
        <v>957</v>
      </c>
      <c r="D739" s="11" t="s">
        <v>655</v>
      </c>
      <c r="E739" s="11" t="s">
        <v>34</v>
      </c>
      <c r="F739" s="11" t="s">
        <v>35</v>
      </c>
      <c r="G739" s="9" t="s">
        <v>41</v>
      </c>
      <c r="H739" s="13">
        <v>1</v>
      </c>
      <c r="I739" s="13">
        <v>1</v>
      </c>
      <c r="J739" s="16">
        <v>16500.0</v>
      </c>
      <c r="K739" s="16"/>
      <c r="L739" s="18">
        <f>IF(J739&gt;0, K739/J739, 0)</f>
        <v>0</v>
      </c>
      <c r="M739" s="16">
        <v>16500.0</v>
      </c>
      <c r="N739" s="16"/>
      <c r="O739" s="16">
        <f>M739-N739</f>
        <v>16500</v>
      </c>
      <c r="P739" s="11" t="s">
        <v>42</v>
      </c>
      <c r="Q739" s="11" t="s">
        <v>43</v>
      </c>
      <c r="R739" s="11" t="s">
        <v>44</v>
      </c>
      <c r="S739" s="9" t="s">
        <v>2188</v>
      </c>
      <c r="T739" s="9" t="s">
        <v>44</v>
      </c>
    </row>
    <row r="740" spans="1:20">
      <c r="A740" s="10">
        <v>733</v>
      </c>
      <c r="B740" s="10" t="s">
        <v>1037</v>
      </c>
      <c r="C740" s="10" t="s">
        <v>957</v>
      </c>
      <c r="D740" s="10" t="s">
        <v>655</v>
      </c>
      <c r="E740" s="10" t="s">
        <v>34</v>
      </c>
      <c r="F740" s="10" t="s">
        <v>35</v>
      </c>
      <c r="G740" s="8" t="s">
        <v>41</v>
      </c>
      <c r="H740" s="12">
        <v>1</v>
      </c>
      <c r="I740" s="12">
        <v>1</v>
      </c>
      <c r="J740" s="15">
        <v>16500.0</v>
      </c>
      <c r="K740" s="15"/>
      <c r="L740" s="17">
        <f>IF(J740&gt;0, K740/J740, 0)</f>
        <v>0</v>
      </c>
      <c r="M740" s="15">
        <v>16500.0</v>
      </c>
      <c r="N740" s="15"/>
      <c r="O740" s="15">
        <f>M740-N740</f>
        <v>16500</v>
      </c>
      <c r="P740" s="10" t="s">
        <v>42</v>
      </c>
      <c r="Q740" s="10" t="s">
        <v>43</v>
      </c>
      <c r="R740" s="10" t="s">
        <v>44</v>
      </c>
      <c r="S740" s="8" t="s">
        <v>2121</v>
      </c>
      <c r="T740" s="8" t="s">
        <v>44</v>
      </c>
    </row>
    <row r="741" spans="1:20">
      <c r="A741" s="11">
        <v>734</v>
      </c>
      <c r="B741" s="11" t="s">
        <v>1038</v>
      </c>
      <c r="C741" s="11" t="s">
        <v>957</v>
      </c>
      <c r="D741" s="11" t="s">
        <v>655</v>
      </c>
      <c r="E741" s="11" t="s">
        <v>34</v>
      </c>
      <c r="F741" s="11" t="s">
        <v>35</v>
      </c>
      <c r="G741" s="9" t="s">
        <v>41</v>
      </c>
      <c r="H741" s="13">
        <v>1</v>
      </c>
      <c r="I741" s="13">
        <v>2</v>
      </c>
      <c r="J741" s="16">
        <v>16000.0</v>
      </c>
      <c r="K741" s="16"/>
      <c r="L741" s="18">
        <f>IF(J741&gt;0, K741/J741, 0)</f>
        <v>0</v>
      </c>
      <c r="M741" s="16">
        <v>16000.0</v>
      </c>
      <c r="N741" s="16"/>
      <c r="O741" s="16">
        <f>M741-N741</f>
        <v>16000</v>
      </c>
      <c r="P741" s="11" t="s">
        <v>42</v>
      </c>
      <c r="Q741" s="11" t="s">
        <v>43</v>
      </c>
      <c r="R741" s="11" t="s">
        <v>44</v>
      </c>
      <c r="S741" s="9" t="s">
        <v>2091</v>
      </c>
      <c r="T741" s="9" t="s">
        <v>44</v>
      </c>
    </row>
    <row r="742" spans="1:20">
      <c r="A742" s="10">
        <v>735</v>
      </c>
      <c r="B742" s="10" t="s">
        <v>1039</v>
      </c>
      <c r="C742" s="10" t="s">
        <v>957</v>
      </c>
      <c r="D742" s="10" t="s">
        <v>655</v>
      </c>
      <c r="E742" s="10" t="s">
        <v>34</v>
      </c>
      <c r="F742" s="10" t="s">
        <v>35</v>
      </c>
      <c r="G742" s="8" t="s">
        <v>41</v>
      </c>
      <c r="H742" s="12">
        <v>1</v>
      </c>
      <c r="I742" s="12">
        <v>1</v>
      </c>
      <c r="J742" s="15">
        <v>16000.0</v>
      </c>
      <c r="K742" s="15"/>
      <c r="L742" s="17">
        <f>IF(J742&gt;0, K742/J742, 0)</f>
        <v>0</v>
      </c>
      <c r="M742" s="15">
        <v>16000.0</v>
      </c>
      <c r="N742" s="15"/>
      <c r="O742" s="15">
        <f>M742-N742</f>
        <v>16000</v>
      </c>
      <c r="P742" s="10" t="s">
        <v>42</v>
      </c>
      <c r="Q742" s="10" t="s">
        <v>43</v>
      </c>
      <c r="R742" s="10" t="s">
        <v>44</v>
      </c>
      <c r="S742" s="8" t="s">
        <v>2090</v>
      </c>
      <c r="T742" s="8" t="s">
        <v>44</v>
      </c>
    </row>
    <row r="743" spans="1:20">
      <c r="A743" s="11">
        <v>736</v>
      </c>
      <c r="B743" s="11" t="s">
        <v>1040</v>
      </c>
      <c r="C743" s="11" t="s">
        <v>957</v>
      </c>
      <c r="D743" s="11" t="s">
        <v>655</v>
      </c>
      <c r="E743" s="11" t="s">
        <v>34</v>
      </c>
      <c r="F743" s="11" t="s">
        <v>35</v>
      </c>
      <c r="G743" s="9" t="s">
        <v>41</v>
      </c>
      <c r="H743" s="13">
        <v>1</v>
      </c>
      <c r="I743" s="13">
        <v>1</v>
      </c>
      <c r="J743" s="16">
        <v>16000.0</v>
      </c>
      <c r="K743" s="16"/>
      <c r="L743" s="18">
        <f>IF(J743&gt;0, K743/J743, 0)</f>
        <v>0</v>
      </c>
      <c r="M743" s="16">
        <v>16000.0</v>
      </c>
      <c r="N743" s="16"/>
      <c r="O743" s="16">
        <f>M743-N743</f>
        <v>16000</v>
      </c>
      <c r="P743" s="11" t="s">
        <v>42</v>
      </c>
      <c r="Q743" s="11" t="s">
        <v>43</v>
      </c>
      <c r="R743" s="11" t="s">
        <v>44</v>
      </c>
      <c r="S743" s="9" t="s">
        <v>2078</v>
      </c>
      <c r="T743" s="9" t="s">
        <v>44</v>
      </c>
    </row>
    <row r="744" spans="1:20">
      <c r="A744" s="10">
        <v>737</v>
      </c>
      <c r="B744" s="10" t="s">
        <v>1041</v>
      </c>
      <c r="C744" s="10" t="s">
        <v>957</v>
      </c>
      <c r="D744" s="10" t="s">
        <v>655</v>
      </c>
      <c r="E744" s="10" t="s">
        <v>70</v>
      </c>
      <c r="F744" s="10" t="s">
        <v>35</v>
      </c>
      <c r="G744" s="8" t="s">
        <v>41</v>
      </c>
      <c r="H744" s="12">
        <v>1</v>
      </c>
      <c r="I744" s="12">
        <v>1</v>
      </c>
      <c r="J744" s="15">
        <v>8000.0</v>
      </c>
      <c r="K744" s="15"/>
      <c r="L744" s="17">
        <f>IF(J744&gt;0, K744/J744, 0)</f>
        <v>0</v>
      </c>
      <c r="M744" s="15">
        <v>8000.0</v>
      </c>
      <c r="N744" s="15"/>
      <c r="O744" s="15">
        <f>M744-N744</f>
        <v>8000</v>
      </c>
      <c r="P744" s="10" t="s">
        <v>42</v>
      </c>
      <c r="Q744" s="10" t="s">
        <v>73</v>
      </c>
      <c r="R744" s="10" t="s">
        <v>44</v>
      </c>
      <c r="S744" s="8" t="s">
        <v>2138</v>
      </c>
      <c r="T744" s="8" t="s">
        <v>44</v>
      </c>
    </row>
    <row r="745" spans="1:20">
      <c r="A745" s="11">
        <v>738</v>
      </c>
      <c r="B745" s="11" t="s">
        <v>1042</v>
      </c>
      <c r="C745" s="11" t="s">
        <v>957</v>
      </c>
      <c r="D745" s="11" t="s">
        <v>655</v>
      </c>
      <c r="E745" s="11" t="s">
        <v>34</v>
      </c>
      <c r="F745" s="11" t="s">
        <v>35</v>
      </c>
      <c r="G745" s="9" t="s">
        <v>41</v>
      </c>
      <c r="H745" s="13">
        <v>1</v>
      </c>
      <c r="I745" s="13">
        <v>1</v>
      </c>
      <c r="J745" s="16">
        <v>7000.0</v>
      </c>
      <c r="K745" s="16"/>
      <c r="L745" s="18">
        <f>IF(J745&gt;0, K745/J745, 0)</f>
        <v>0</v>
      </c>
      <c r="M745" s="16">
        <v>7000.0</v>
      </c>
      <c r="N745" s="16"/>
      <c r="O745" s="16">
        <f>M745-N745</f>
        <v>7000</v>
      </c>
      <c r="P745" s="11" t="s">
        <v>42</v>
      </c>
      <c r="Q745" s="11" t="s">
        <v>43</v>
      </c>
      <c r="R745" s="11" t="s">
        <v>44</v>
      </c>
      <c r="S745" s="9" t="s">
        <v>2101</v>
      </c>
      <c r="T745" s="9" t="s">
        <v>44</v>
      </c>
    </row>
    <row r="746" spans="1:20">
      <c r="A746" s="10">
        <v>739</v>
      </c>
      <c r="B746" s="10" t="s">
        <v>1043</v>
      </c>
      <c r="C746" s="10" t="s">
        <v>957</v>
      </c>
      <c r="D746" s="10" t="s">
        <v>655</v>
      </c>
      <c r="E746" s="10" t="s">
        <v>70</v>
      </c>
      <c r="F746" s="10" t="s">
        <v>35</v>
      </c>
      <c r="G746" s="8" t="s">
        <v>41</v>
      </c>
      <c r="H746" s="12">
        <v>1</v>
      </c>
      <c r="I746" s="12">
        <v>1</v>
      </c>
      <c r="J746" s="15">
        <v>18000.0</v>
      </c>
      <c r="K746" s="15"/>
      <c r="L746" s="17">
        <f>IF(J746&gt;0, K746/J746, 0)</f>
        <v>0</v>
      </c>
      <c r="M746" s="15">
        <v>18000.0</v>
      </c>
      <c r="N746" s="15"/>
      <c r="O746" s="15">
        <f>M746-N746</f>
        <v>18000</v>
      </c>
      <c r="P746" s="10" t="s">
        <v>42</v>
      </c>
      <c r="Q746" s="10" t="s">
        <v>73</v>
      </c>
      <c r="R746" s="10" t="s">
        <v>44</v>
      </c>
      <c r="S746" s="8" t="s">
        <v>2070</v>
      </c>
      <c r="T746" s="8" t="s">
        <v>44</v>
      </c>
    </row>
    <row r="747" spans="1:20">
      <c r="A747" s="11">
        <v>740</v>
      </c>
      <c r="B747" s="11" t="s">
        <v>1044</v>
      </c>
      <c r="C747" s="11" t="s">
        <v>957</v>
      </c>
      <c r="D747" s="11" t="s">
        <v>655</v>
      </c>
      <c r="E747" s="11" t="s">
        <v>34</v>
      </c>
      <c r="F747" s="11" t="s">
        <v>35</v>
      </c>
      <c r="G747" s="9" t="s">
        <v>41</v>
      </c>
      <c r="H747" s="13">
        <v>1</v>
      </c>
      <c r="I747" s="13">
        <v>1</v>
      </c>
      <c r="J747" s="16">
        <v>9500.0</v>
      </c>
      <c r="K747" s="16"/>
      <c r="L747" s="18">
        <f>IF(J747&gt;0, K747/J747, 0)</f>
        <v>0</v>
      </c>
      <c r="M747" s="16">
        <v>9500.0</v>
      </c>
      <c r="N747" s="16"/>
      <c r="O747" s="16">
        <f>M747-N747</f>
        <v>9500</v>
      </c>
      <c r="P747" s="11" t="s">
        <v>42</v>
      </c>
      <c r="Q747" s="11" t="s">
        <v>43</v>
      </c>
      <c r="R747" s="11" t="s">
        <v>44</v>
      </c>
      <c r="S747" s="9" t="s">
        <v>2081</v>
      </c>
      <c r="T747" s="9" t="s">
        <v>44</v>
      </c>
    </row>
    <row r="748" spans="1:20">
      <c r="A748" s="10">
        <v>741</v>
      </c>
      <c r="B748" s="10" t="s">
        <v>1045</v>
      </c>
      <c r="C748" s="10" t="s">
        <v>957</v>
      </c>
      <c r="D748" s="10" t="s">
        <v>655</v>
      </c>
      <c r="E748" s="10" t="s">
        <v>34</v>
      </c>
      <c r="F748" s="10" t="s">
        <v>35</v>
      </c>
      <c r="G748" s="8" t="s">
        <v>41</v>
      </c>
      <c r="H748" s="12">
        <v>1</v>
      </c>
      <c r="I748" s="12">
        <v>1</v>
      </c>
      <c r="J748" s="15">
        <v>8500.0</v>
      </c>
      <c r="K748" s="15"/>
      <c r="L748" s="17">
        <f>IF(J748&gt;0, K748/J748, 0)</f>
        <v>0</v>
      </c>
      <c r="M748" s="15">
        <v>8500.0</v>
      </c>
      <c r="N748" s="15"/>
      <c r="O748" s="15">
        <f>M748-N748</f>
        <v>8500</v>
      </c>
      <c r="P748" s="10" t="s">
        <v>42</v>
      </c>
      <c r="Q748" s="10" t="s">
        <v>43</v>
      </c>
      <c r="R748" s="10" t="s">
        <v>44</v>
      </c>
      <c r="S748" s="8" t="s">
        <v>2119</v>
      </c>
      <c r="T748" s="8" t="s">
        <v>44</v>
      </c>
    </row>
    <row r="749" spans="1:20">
      <c r="A749" s="11">
        <v>742</v>
      </c>
      <c r="B749" s="11" t="s">
        <v>1046</v>
      </c>
      <c r="C749" s="11" t="s">
        <v>957</v>
      </c>
      <c r="D749" s="11" t="s">
        <v>655</v>
      </c>
      <c r="E749" s="11" t="s">
        <v>34</v>
      </c>
      <c r="F749" s="11" t="s">
        <v>35</v>
      </c>
      <c r="G749" s="9" t="s">
        <v>41</v>
      </c>
      <c r="H749" s="13">
        <v>1</v>
      </c>
      <c r="I749" s="13">
        <v>1</v>
      </c>
      <c r="J749" s="16">
        <v>18000.0</v>
      </c>
      <c r="K749" s="16"/>
      <c r="L749" s="18">
        <f>IF(J749&gt;0, K749/J749, 0)</f>
        <v>0</v>
      </c>
      <c r="M749" s="16">
        <v>18000.0</v>
      </c>
      <c r="N749" s="16"/>
      <c r="O749" s="16">
        <f>M749-N749</f>
        <v>18000</v>
      </c>
      <c r="P749" s="11" t="s">
        <v>42</v>
      </c>
      <c r="Q749" s="11" t="s">
        <v>43</v>
      </c>
      <c r="R749" s="11" t="s">
        <v>44</v>
      </c>
      <c r="S749" s="9" t="s">
        <v>2122</v>
      </c>
      <c r="T749" s="9" t="s">
        <v>44</v>
      </c>
    </row>
    <row r="750" spans="1:20">
      <c r="A750" s="10">
        <v>743</v>
      </c>
      <c r="B750" s="10" t="s">
        <v>1047</v>
      </c>
      <c r="C750" s="10" t="s">
        <v>957</v>
      </c>
      <c r="D750" s="10" t="s">
        <v>655</v>
      </c>
      <c r="E750" s="10" t="s">
        <v>34</v>
      </c>
      <c r="F750" s="10" t="s">
        <v>35</v>
      </c>
      <c r="G750" s="8" t="s">
        <v>41</v>
      </c>
      <c r="H750" s="12">
        <v>1</v>
      </c>
      <c r="I750" s="12">
        <v>1</v>
      </c>
      <c r="J750" s="15">
        <v>9000.0</v>
      </c>
      <c r="K750" s="15"/>
      <c r="L750" s="17">
        <f>IF(J750&gt;0, K750/J750, 0)</f>
        <v>0</v>
      </c>
      <c r="M750" s="15">
        <v>9000.0</v>
      </c>
      <c r="N750" s="15"/>
      <c r="O750" s="15">
        <f>M750-N750</f>
        <v>9000</v>
      </c>
      <c r="P750" s="10" t="s">
        <v>42</v>
      </c>
      <c r="Q750" s="10" t="s">
        <v>43</v>
      </c>
      <c r="R750" s="10" t="s">
        <v>44</v>
      </c>
      <c r="S750" s="8" t="s">
        <v>2120</v>
      </c>
      <c r="T750" s="8" t="s">
        <v>44</v>
      </c>
    </row>
    <row r="751" spans="1:20">
      <c r="A751" s="11">
        <v>744</v>
      </c>
      <c r="B751" s="11" t="s">
        <v>1048</v>
      </c>
      <c r="C751" s="11" t="s">
        <v>957</v>
      </c>
      <c r="D751" s="11" t="s">
        <v>655</v>
      </c>
      <c r="E751" s="11" t="s">
        <v>70</v>
      </c>
      <c r="F751" s="11" t="s">
        <v>35</v>
      </c>
      <c r="G751" s="9" t="s">
        <v>41</v>
      </c>
      <c r="H751" s="13">
        <v>1</v>
      </c>
      <c r="I751" s="13">
        <v>2</v>
      </c>
      <c r="J751" s="16">
        <v>20000.0</v>
      </c>
      <c r="K751" s="16"/>
      <c r="L751" s="18">
        <f>IF(J751&gt;0, K751/J751, 0)</f>
        <v>0</v>
      </c>
      <c r="M751" s="16">
        <v>20000.0</v>
      </c>
      <c r="N751" s="16"/>
      <c r="O751" s="16">
        <f>M751-N751</f>
        <v>20000</v>
      </c>
      <c r="P751" s="11" t="s">
        <v>42</v>
      </c>
      <c r="Q751" s="11" t="s">
        <v>73</v>
      </c>
      <c r="R751" s="11" t="s">
        <v>44</v>
      </c>
      <c r="S751" s="9" t="s">
        <v>2189</v>
      </c>
      <c r="T751" s="9" t="s">
        <v>44</v>
      </c>
    </row>
    <row r="752" spans="1:20">
      <c r="A752" s="10">
        <v>745</v>
      </c>
      <c r="B752" s="10" t="s">
        <v>1049</v>
      </c>
      <c r="C752" s="10" t="s">
        <v>957</v>
      </c>
      <c r="D752" s="10" t="s">
        <v>655</v>
      </c>
      <c r="E752" s="10" t="s">
        <v>70</v>
      </c>
      <c r="F752" s="10" t="s">
        <v>35</v>
      </c>
      <c r="G752" s="8" t="s">
        <v>41</v>
      </c>
      <c r="H752" s="12">
        <v>1</v>
      </c>
      <c r="I752" s="12">
        <v>2</v>
      </c>
      <c r="J752" s="15">
        <v>20000.0</v>
      </c>
      <c r="K752" s="15"/>
      <c r="L752" s="17">
        <f>IF(J752&gt;0, K752/J752, 0)</f>
        <v>0</v>
      </c>
      <c r="M752" s="15">
        <v>20000.0</v>
      </c>
      <c r="N752" s="15"/>
      <c r="O752" s="15">
        <f>M752-N752</f>
        <v>20000</v>
      </c>
      <c r="P752" s="10" t="s">
        <v>42</v>
      </c>
      <c r="Q752" s="10" t="s">
        <v>73</v>
      </c>
      <c r="R752" s="10" t="s">
        <v>44</v>
      </c>
      <c r="S752" s="8" t="s">
        <v>2069</v>
      </c>
      <c r="T752" s="8" t="s">
        <v>44</v>
      </c>
    </row>
    <row r="753" spans="1:20">
      <c r="A753" s="11">
        <v>746</v>
      </c>
      <c r="B753" s="11" t="s">
        <v>1050</v>
      </c>
      <c r="C753" s="11" t="s">
        <v>957</v>
      </c>
      <c r="D753" s="11" t="s">
        <v>655</v>
      </c>
      <c r="E753" s="11" t="s">
        <v>34</v>
      </c>
      <c r="F753" s="11" t="s">
        <v>35</v>
      </c>
      <c r="G753" s="9" t="s">
        <v>41</v>
      </c>
      <c r="H753" s="13">
        <v>1</v>
      </c>
      <c r="I753" s="13">
        <v>1</v>
      </c>
      <c r="J753" s="16">
        <v>18000.0</v>
      </c>
      <c r="K753" s="16"/>
      <c r="L753" s="18">
        <f>IF(J753&gt;0, K753/J753, 0)</f>
        <v>0</v>
      </c>
      <c r="M753" s="16">
        <v>18000.0</v>
      </c>
      <c r="N753" s="16"/>
      <c r="O753" s="16">
        <f>M753-N753</f>
        <v>18000</v>
      </c>
      <c r="P753" s="11" t="s">
        <v>42</v>
      </c>
      <c r="Q753" s="11" t="s">
        <v>43</v>
      </c>
      <c r="R753" s="11" t="s">
        <v>44</v>
      </c>
      <c r="S753" s="9" t="s">
        <v>2118</v>
      </c>
      <c r="T753" s="9" t="s">
        <v>44</v>
      </c>
    </row>
    <row r="754" spans="1:20">
      <c r="A754" s="10">
        <v>747</v>
      </c>
      <c r="B754" s="10" t="s">
        <v>1051</v>
      </c>
      <c r="C754" s="10" t="s">
        <v>957</v>
      </c>
      <c r="D754" s="10" t="s">
        <v>655</v>
      </c>
      <c r="E754" s="10" t="s">
        <v>34</v>
      </c>
      <c r="F754" s="10" t="s">
        <v>35</v>
      </c>
      <c r="G754" s="8" t="s">
        <v>41</v>
      </c>
      <c r="H754" s="12">
        <v>1</v>
      </c>
      <c r="I754" s="12">
        <v>1</v>
      </c>
      <c r="J754" s="15">
        <v>16000.0</v>
      </c>
      <c r="K754" s="15"/>
      <c r="L754" s="17">
        <f>IF(J754&gt;0, K754/J754, 0)</f>
        <v>0</v>
      </c>
      <c r="M754" s="15">
        <v>16000.0</v>
      </c>
      <c r="N754" s="15"/>
      <c r="O754" s="15">
        <f>M754-N754</f>
        <v>16000</v>
      </c>
      <c r="P754" s="10" t="s">
        <v>42</v>
      </c>
      <c r="Q754" s="10" t="s">
        <v>43</v>
      </c>
      <c r="R754" s="10" t="s">
        <v>44</v>
      </c>
      <c r="S754" s="8" t="s">
        <v>2073</v>
      </c>
      <c r="T754" s="8" t="s">
        <v>44</v>
      </c>
    </row>
    <row r="755" spans="1:20">
      <c r="A755" s="11">
        <v>748</v>
      </c>
      <c r="B755" s="11" t="s">
        <v>1052</v>
      </c>
      <c r="C755" s="11" t="s">
        <v>957</v>
      </c>
      <c r="D755" s="11" t="s">
        <v>655</v>
      </c>
      <c r="E755" s="11" t="s">
        <v>34</v>
      </c>
      <c r="F755" s="11" t="s">
        <v>35</v>
      </c>
      <c r="G755" s="9" t="s">
        <v>41</v>
      </c>
      <c r="H755" s="13">
        <v>1</v>
      </c>
      <c r="I755" s="13">
        <v>3</v>
      </c>
      <c r="J755" s="16">
        <v>27000.0</v>
      </c>
      <c r="K755" s="16"/>
      <c r="L755" s="18">
        <f>IF(J755&gt;0, K755/J755, 0)</f>
        <v>0</v>
      </c>
      <c r="M755" s="16">
        <v>27000.0</v>
      </c>
      <c r="N755" s="16"/>
      <c r="O755" s="16">
        <f>M755-N755</f>
        <v>27000</v>
      </c>
      <c r="P755" s="11" t="s">
        <v>42</v>
      </c>
      <c r="Q755" s="11" t="s">
        <v>43</v>
      </c>
      <c r="R755" s="11" t="s">
        <v>44</v>
      </c>
      <c r="S755" s="9" t="s">
        <v>2190</v>
      </c>
      <c r="T755" s="9" t="s">
        <v>44</v>
      </c>
    </row>
    <row r="756" spans="1:20">
      <c r="A756" s="10">
        <v>749</v>
      </c>
      <c r="B756" s="10" t="s">
        <v>1053</v>
      </c>
      <c r="C756" s="10" t="s">
        <v>957</v>
      </c>
      <c r="D756" s="10" t="s">
        <v>655</v>
      </c>
      <c r="E756" s="10" t="s">
        <v>34</v>
      </c>
      <c r="F756" s="10" t="s">
        <v>35</v>
      </c>
      <c r="G756" s="8" t="s">
        <v>41</v>
      </c>
      <c r="H756" s="12">
        <v>1</v>
      </c>
      <c r="I756" s="12">
        <v>5</v>
      </c>
      <c r="J756" s="15">
        <v>35000.0</v>
      </c>
      <c r="K756" s="15"/>
      <c r="L756" s="17">
        <f>IF(J756&gt;0, K756/J756, 0)</f>
        <v>0</v>
      </c>
      <c r="M756" s="15">
        <v>35000.0</v>
      </c>
      <c r="N756" s="15"/>
      <c r="O756" s="15">
        <f>M756-N756</f>
        <v>35000</v>
      </c>
      <c r="P756" s="10" t="s">
        <v>42</v>
      </c>
      <c r="Q756" s="10" t="s">
        <v>43</v>
      </c>
      <c r="R756" s="10" t="s">
        <v>44</v>
      </c>
      <c r="S756" s="8" t="s">
        <v>2191</v>
      </c>
      <c r="T756" s="8" t="s">
        <v>44</v>
      </c>
    </row>
    <row r="757" spans="1:20">
      <c r="A757" s="11">
        <v>750</v>
      </c>
      <c r="B757" s="11" t="s">
        <v>1054</v>
      </c>
      <c r="C757" s="11" t="s">
        <v>957</v>
      </c>
      <c r="D757" s="11" t="s">
        <v>655</v>
      </c>
      <c r="E757" s="11" t="s">
        <v>34</v>
      </c>
      <c r="F757" s="11" t="s">
        <v>35</v>
      </c>
      <c r="G757" s="9" t="s">
        <v>41</v>
      </c>
      <c r="H757" s="13">
        <v>1</v>
      </c>
      <c r="I757" s="13">
        <v>2</v>
      </c>
      <c r="J757" s="16">
        <v>16000.0</v>
      </c>
      <c r="K757" s="16"/>
      <c r="L757" s="18">
        <f>IF(J757&gt;0, K757/J757, 0)</f>
        <v>0</v>
      </c>
      <c r="M757" s="16">
        <v>16000.0</v>
      </c>
      <c r="N757" s="16"/>
      <c r="O757" s="16">
        <f>M757-N757</f>
        <v>16000</v>
      </c>
      <c r="P757" s="11" t="s">
        <v>42</v>
      </c>
      <c r="Q757" s="11" t="s">
        <v>43</v>
      </c>
      <c r="R757" s="11" t="s">
        <v>44</v>
      </c>
      <c r="S757" s="9" t="s">
        <v>2184</v>
      </c>
      <c r="T757" s="9" t="s">
        <v>44</v>
      </c>
    </row>
    <row r="758" spans="1:20">
      <c r="A758" s="10">
        <v>751</v>
      </c>
      <c r="B758" s="10" t="s">
        <v>1055</v>
      </c>
      <c r="C758" s="10" t="s">
        <v>957</v>
      </c>
      <c r="D758" s="10" t="s">
        <v>655</v>
      </c>
      <c r="E758" s="10" t="s">
        <v>34</v>
      </c>
      <c r="F758" s="10" t="s">
        <v>35</v>
      </c>
      <c r="G758" s="8" t="s">
        <v>41</v>
      </c>
      <c r="H758" s="12">
        <v>1</v>
      </c>
      <c r="I758" s="12">
        <v>2</v>
      </c>
      <c r="J758" s="15">
        <v>16000.0</v>
      </c>
      <c r="K758" s="15"/>
      <c r="L758" s="17">
        <f>IF(J758&gt;0, K758/J758, 0)</f>
        <v>0</v>
      </c>
      <c r="M758" s="15">
        <v>16000.0</v>
      </c>
      <c r="N758" s="15"/>
      <c r="O758" s="15">
        <f>M758-N758</f>
        <v>16000</v>
      </c>
      <c r="P758" s="10" t="s">
        <v>42</v>
      </c>
      <c r="Q758" s="10" t="s">
        <v>43</v>
      </c>
      <c r="R758" s="10" t="s">
        <v>44</v>
      </c>
      <c r="S758" s="8" t="s">
        <v>2169</v>
      </c>
      <c r="T758" s="8" t="s">
        <v>44</v>
      </c>
    </row>
    <row r="759" spans="1:20">
      <c r="A759" s="11">
        <v>752</v>
      </c>
      <c r="B759" s="11" t="s">
        <v>1056</v>
      </c>
      <c r="C759" s="11" t="s">
        <v>957</v>
      </c>
      <c r="D759" s="11" t="s">
        <v>655</v>
      </c>
      <c r="E759" s="11" t="s">
        <v>34</v>
      </c>
      <c r="F759" s="11" t="s">
        <v>35</v>
      </c>
      <c r="G759" s="9" t="s">
        <v>41</v>
      </c>
      <c r="H759" s="13">
        <v>1</v>
      </c>
      <c r="I759" s="13">
        <v>1</v>
      </c>
      <c r="J759" s="16">
        <v>18000.0</v>
      </c>
      <c r="K759" s="16"/>
      <c r="L759" s="18">
        <f>IF(J759&gt;0, K759/J759, 0)</f>
        <v>0</v>
      </c>
      <c r="M759" s="16">
        <v>18000.0</v>
      </c>
      <c r="N759" s="16"/>
      <c r="O759" s="16">
        <f>M759-N759</f>
        <v>18000</v>
      </c>
      <c r="P759" s="11" t="s">
        <v>42</v>
      </c>
      <c r="Q759" s="11" t="s">
        <v>43</v>
      </c>
      <c r="R759" s="11" t="s">
        <v>44</v>
      </c>
      <c r="S759" s="9" t="s">
        <v>2021</v>
      </c>
      <c r="T759" s="9" t="s">
        <v>44</v>
      </c>
    </row>
    <row r="760" spans="1:20">
      <c r="A760" s="10">
        <v>753</v>
      </c>
      <c r="B760" s="10" t="s">
        <v>1057</v>
      </c>
      <c r="C760" s="10" t="s">
        <v>957</v>
      </c>
      <c r="D760" s="10" t="s">
        <v>655</v>
      </c>
      <c r="E760" s="10" t="s">
        <v>34</v>
      </c>
      <c r="F760" s="10" t="s">
        <v>35</v>
      </c>
      <c r="G760" s="8" t="s">
        <v>41</v>
      </c>
      <c r="H760" s="12">
        <v>1</v>
      </c>
      <c r="I760" s="12">
        <v>1</v>
      </c>
      <c r="J760" s="15">
        <v>16000.0</v>
      </c>
      <c r="K760" s="15"/>
      <c r="L760" s="17">
        <f>IF(J760&gt;0, K760/J760, 0)</f>
        <v>0</v>
      </c>
      <c r="M760" s="15">
        <v>16000.0</v>
      </c>
      <c r="N760" s="15"/>
      <c r="O760" s="15">
        <f>M760-N760</f>
        <v>16000</v>
      </c>
      <c r="P760" s="10" t="s">
        <v>42</v>
      </c>
      <c r="Q760" s="10" t="s">
        <v>43</v>
      </c>
      <c r="R760" s="10" t="s">
        <v>44</v>
      </c>
      <c r="S760" s="8" t="s">
        <v>2072</v>
      </c>
      <c r="T760" s="8" t="s">
        <v>44</v>
      </c>
    </row>
    <row r="761" spans="1:20">
      <c r="A761" s="11">
        <v>754</v>
      </c>
      <c r="B761" s="11" t="s">
        <v>1058</v>
      </c>
      <c r="C761" s="11" t="s">
        <v>957</v>
      </c>
      <c r="D761" s="11" t="s">
        <v>655</v>
      </c>
      <c r="E761" s="11" t="s">
        <v>34</v>
      </c>
      <c r="F761" s="11" t="s">
        <v>35</v>
      </c>
      <c r="G761" s="9" t="s">
        <v>41</v>
      </c>
      <c r="H761" s="13">
        <v>1</v>
      </c>
      <c r="I761" s="13">
        <v>4</v>
      </c>
      <c r="J761" s="16">
        <v>28000.0</v>
      </c>
      <c r="K761" s="16"/>
      <c r="L761" s="18">
        <f>IF(J761&gt;0, K761/J761, 0)</f>
        <v>0</v>
      </c>
      <c r="M761" s="16">
        <v>28000.0</v>
      </c>
      <c r="N761" s="16"/>
      <c r="O761" s="16">
        <f>M761-N761</f>
        <v>28000</v>
      </c>
      <c r="P761" s="11" t="s">
        <v>42</v>
      </c>
      <c r="Q761" s="11" t="s">
        <v>43</v>
      </c>
      <c r="R761" s="11" t="s">
        <v>44</v>
      </c>
      <c r="S761" s="9" t="s">
        <v>2178</v>
      </c>
      <c r="T761" s="9" t="s">
        <v>44</v>
      </c>
    </row>
    <row r="762" spans="1:20">
      <c r="A762" s="10">
        <v>755</v>
      </c>
      <c r="B762" s="10" t="s">
        <v>1059</v>
      </c>
      <c r="C762" s="10" t="s">
        <v>957</v>
      </c>
      <c r="D762" s="10" t="s">
        <v>655</v>
      </c>
      <c r="E762" s="10" t="s">
        <v>34</v>
      </c>
      <c r="F762" s="10" t="s">
        <v>35</v>
      </c>
      <c r="G762" s="8" t="s">
        <v>41</v>
      </c>
      <c r="H762" s="12">
        <v>1</v>
      </c>
      <c r="I762" s="12">
        <v>2</v>
      </c>
      <c r="J762" s="15">
        <v>16000.0</v>
      </c>
      <c r="K762" s="15"/>
      <c r="L762" s="17">
        <f>IF(J762&gt;0, K762/J762, 0)</f>
        <v>0</v>
      </c>
      <c r="M762" s="15">
        <v>16000.0</v>
      </c>
      <c r="N762" s="15"/>
      <c r="O762" s="15">
        <f>M762-N762</f>
        <v>16000</v>
      </c>
      <c r="P762" s="10" t="s">
        <v>42</v>
      </c>
      <c r="Q762" s="10" t="s">
        <v>43</v>
      </c>
      <c r="R762" s="10" t="s">
        <v>44</v>
      </c>
      <c r="S762" s="8" t="s">
        <v>2155</v>
      </c>
      <c r="T762" s="8" t="s">
        <v>44</v>
      </c>
    </row>
    <row r="763" spans="1:20">
      <c r="A763" s="11">
        <v>756</v>
      </c>
      <c r="B763" s="11" t="s">
        <v>1060</v>
      </c>
      <c r="C763" s="11" t="s">
        <v>957</v>
      </c>
      <c r="D763" s="11" t="s">
        <v>655</v>
      </c>
      <c r="E763" s="11" t="s">
        <v>34</v>
      </c>
      <c r="F763" s="11" t="s">
        <v>35</v>
      </c>
      <c r="G763" s="9" t="s">
        <v>41</v>
      </c>
      <c r="H763" s="13">
        <v>1</v>
      </c>
      <c r="I763" s="13">
        <v>2</v>
      </c>
      <c r="J763" s="16">
        <v>14000.0</v>
      </c>
      <c r="K763" s="16"/>
      <c r="L763" s="18">
        <f>IF(J763&gt;0, K763/J763, 0)</f>
        <v>0</v>
      </c>
      <c r="M763" s="16">
        <v>14000.0</v>
      </c>
      <c r="N763" s="16"/>
      <c r="O763" s="16">
        <f>M763-N763</f>
        <v>14000</v>
      </c>
      <c r="P763" s="11" t="s">
        <v>42</v>
      </c>
      <c r="Q763" s="11" t="s">
        <v>43</v>
      </c>
      <c r="R763" s="11" t="s">
        <v>44</v>
      </c>
      <c r="S763" s="9" t="s">
        <v>2192</v>
      </c>
      <c r="T763" s="9" t="s">
        <v>44</v>
      </c>
    </row>
    <row r="764" spans="1:20">
      <c r="A764" s="10">
        <v>757</v>
      </c>
      <c r="B764" s="10" t="s">
        <v>1061</v>
      </c>
      <c r="C764" s="10" t="s">
        <v>957</v>
      </c>
      <c r="D764" s="10" t="s">
        <v>655</v>
      </c>
      <c r="E764" s="10" t="s">
        <v>34</v>
      </c>
      <c r="F764" s="10" t="s">
        <v>35</v>
      </c>
      <c r="G764" s="8" t="s">
        <v>41</v>
      </c>
      <c r="H764" s="12">
        <v>1</v>
      </c>
      <c r="I764" s="12">
        <v>1</v>
      </c>
      <c r="J764" s="15">
        <v>18000.0</v>
      </c>
      <c r="K764" s="15"/>
      <c r="L764" s="17">
        <f>IF(J764&gt;0, K764/J764, 0)</f>
        <v>0</v>
      </c>
      <c r="M764" s="15">
        <v>18000.0</v>
      </c>
      <c r="N764" s="15"/>
      <c r="O764" s="15">
        <f>M764-N764</f>
        <v>18000</v>
      </c>
      <c r="P764" s="10" t="s">
        <v>42</v>
      </c>
      <c r="Q764" s="10" t="s">
        <v>43</v>
      </c>
      <c r="R764" s="10" t="s">
        <v>44</v>
      </c>
      <c r="S764" s="8" t="s">
        <v>2114</v>
      </c>
      <c r="T764" s="8" t="s">
        <v>44</v>
      </c>
    </row>
    <row r="765" spans="1:20">
      <c r="A765" s="11">
        <v>758</v>
      </c>
      <c r="B765" s="11" t="s">
        <v>1062</v>
      </c>
      <c r="C765" s="11" t="s">
        <v>957</v>
      </c>
      <c r="D765" s="11" t="s">
        <v>655</v>
      </c>
      <c r="E765" s="11" t="s">
        <v>34</v>
      </c>
      <c r="F765" s="11" t="s">
        <v>35</v>
      </c>
      <c r="G765" s="9" t="s">
        <v>41</v>
      </c>
      <c r="H765" s="13">
        <v>1</v>
      </c>
      <c r="I765" s="13">
        <v>1</v>
      </c>
      <c r="J765" s="16">
        <v>17000.0</v>
      </c>
      <c r="K765" s="16"/>
      <c r="L765" s="18">
        <f>IF(J765&gt;0, K765/J765, 0)</f>
        <v>0</v>
      </c>
      <c r="M765" s="16">
        <v>17000.0</v>
      </c>
      <c r="N765" s="16"/>
      <c r="O765" s="16">
        <f>M765-N765</f>
        <v>17000</v>
      </c>
      <c r="P765" s="11" t="s">
        <v>42</v>
      </c>
      <c r="Q765" s="11" t="s">
        <v>43</v>
      </c>
      <c r="R765" s="11" t="s">
        <v>44</v>
      </c>
      <c r="S765" s="9" t="s">
        <v>2036</v>
      </c>
      <c r="T765" s="9" t="s">
        <v>44</v>
      </c>
    </row>
    <row r="766" spans="1:20">
      <c r="A766" s="10">
        <v>759</v>
      </c>
      <c r="B766" s="10" t="s">
        <v>1063</v>
      </c>
      <c r="C766" s="10" t="s">
        <v>957</v>
      </c>
      <c r="D766" s="10" t="s">
        <v>655</v>
      </c>
      <c r="E766" s="10" t="s">
        <v>70</v>
      </c>
      <c r="F766" s="10" t="s">
        <v>35</v>
      </c>
      <c r="G766" s="8" t="s">
        <v>41</v>
      </c>
      <c r="H766" s="12">
        <v>1</v>
      </c>
      <c r="I766" s="12">
        <v>1</v>
      </c>
      <c r="J766" s="15">
        <v>11000.0</v>
      </c>
      <c r="K766" s="15"/>
      <c r="L766" s="17">
        <f>IF(J766&gt;0, K766/J766, 0)</f>
        <v>0</v>
      </c>
      <c r="M766" s="15">
        <v>11000.0</v>
      </c>
      <c r="N766" s="15"/>
      <c r="O766" s="15">
        <f>M766-N766</f>
        <v>11000</v>
      </c>
      <c r="P766" s="10" t="s">
        <v>42</v>
      </c>
      <c r="Q766" s="10" t="s">
        <v>73</v>
      </c>
      <c r="R766" s="10" t="s">
        <v>44</v>
      </c>
      <c r="S766" s="8" t="s">
        <v>2144</v>
      </c>
      <c r="T766" s="8" t="s">
        <v>44</v>
      </c>
    </row>
    <row r="767" spans="1:20">
      <c r="A767" s="11">
        <v>760</v>
      </c>
      <c r="B767" s="11" t="s">
        <v>1064</v>
      </c>
      <c r="C767" s="11" t="s">
        <v>957</v>
      </c>
      <c r="D767" s="11" t="s">
        <v>655</v>
      </c>
      <c r="E767" s="11" t="s">
        <v>70</v>
      </c>
      <c r="F767" s="11" t="s">
        <v>35</v>
      </c>
      <c r="G767" s="9" t="s">
        <v>41</v>
      </c>
      <c r="H767" s="13">
        <v>1</v>
      </c>
      <c r="I767" s="13">
        <v>1</v>
      </c>
      <c r="J767" s="16">
        <v>10000.0</v>
      </c>
      <c r="K767" s="16"/>
      <c r="L767" s="18">
        <f>IF(J767&gt;0, K767/J767, 0)</f>
        <v>0</v>
      </c>
      <c r="M767" s="16">
        <v>10000.0</v>
      </c>
      <c r="N767" s="16"/>
      <c r="O767" s="16">
        <f>M767-N767</f>
        <v>10000</v>
      </c>
      <c r="P767" s="11" t="s">
        <v>42</v>
      </c>
      <c r="Q767" s="11" t="s">
        <v>73</v>
      </c>
      <c r="R767" s="11" t="s">
        <v>44</v>
      </c>
      <c r="S767" s="9" t="s">
        <v>2053</v>
      </c>
      <c r="T767" s="9" t="s">
        <v>44</v>
      </c>
    </row>
    <row r="768" spans="1:20">
      <c r="A768" s="10">
        <v>761</v>
      </c>
      <c r="B768" s="10" t="s">
        <v>1065</v>
      </c>
      <c r="C768" s="10" t="s">
        <v>957</v>
      </c>
      <c r="D768" s="10" t="s">
        <v>655</v>
      </c>
      <c r="E768" s="10" t="s">
        <v>70</v>
      </c>
      <c r="F768" s="10" t="s">
        <v>35</v>
      </c>
      <c r="G768" s="8" t="s">
        <v>41</v>
      </c>
      <c r="H768" s="12">
        <v>1</v>
      </c>
      <c r="I768" s="12">
        <v>1</v>
      </c>
      <c r="J768" s="15">
        <v>9000.0</v>
      </c>
      <c r="K768" s="15"/>
      <c r="L768" s="17">
        <f>IF(J768&gt;0, K768/J768, 0)</f>
        <v>0</v>
      </c>
      <c r="M768" s="15">
        <v>9000.0</v>
      </c>
      <c r="N768" s="15"/>
      <c r="O768" s="15">
        <f>M768-N768</f>
        <v>9000</v>
      </c>
      <c r="P768" s="10" t="s">
        <v>42</v>
      </c>
      <c r="Q768" s="10" t="s">
        <v>73</v>
      </c>
      <c r="R768" s="10" t="s">
        <v>44</v>
      </c>
      <c r="S768" s="8" t="s">
        <v>2142</v>
      </c>
      <c r="T768" s="8" t="s">
        <v>44</v>
      </c>
    </row>
    <row r="769" spans="1:20">
      <c r="A769" s="11">
        <v>762</v>
      </c>
      <c r="B769" s="11" t="s">
        <v>1066</v>
      </c>
      <c r="C769" s="11" t="s">
        <v>957</v>
      </c>
      <c r="D769" s="11" t="s">
        <v>655</v>
      </c>
      <c r="E769" s="11" t="s">
        <v>70</v>
      </c>
      <c r="F769" s="11" t="s">
        <v>35</v>
      </c>
      <c r="G769" s="9" t="s">
        <v>41</v>
      </c>
      <c r="H769" s="13">
        <v>1</v>
      </c>
      <c r="I769" s="13">
        <v>1</v>
      </c>
      <c r="J769" s="16">
        <v>10000.0</v>
      </c>
      <c r="K769" s="16"/>
      <c r="L769" s="18">
        <f>IF(J769&gt;0, K769/J769, 0)</f>
        <v>0</v>
      </c>
      <c r="M769" s="16">
        <v>10000.0</v>
      </c>
      <c r="N769" s="16"/>
      <c r="O769" s="16">
        <f>M769-N769</f>
        <v>10000</v>
      </c>
      <c r="P769" s="11" t="s">
        <v>42</v>
      </c>
      <c r="Q769" s="11" t="s">
        <v>73</v>
      </c>
      <c r="R769" s="11" t="s">
        <v>44</v>
      </c>
      <c r="S769" s="9" t="s">
        <v>2098</v>
      </c>
      <c r="T769" s="9" t="s">
        <v>44</v>
      </c>
    </row>
    <row r="770" spans="1:20">
      <c r="A770" s="10">
        <v>763</v>
      </c>
      <c r="B770" s="10" t="s">
        <v>1067</v>
      </c>
      <c r="C770" s="10" t="s">
        <v>957</v>
      </c>
      <c r="D770" s="10" t="s">
        <v>655</v>
      </c>
      <c r="E770" s="10" t="s">
        <v>34</v>
      </c>
      <c r="F770" s="10" t="s">
        <v>35</v>
      </c>
      <c r="G770" s="8" t="s">
        <v>41</v>
      </c>
      <c r="H770" s="12">
        <v>1</v>
      </c>
      <c r="I770" s="12">
        <v>1</v>
      </c>
      <c r="J770" s="15">
        <v>18000.0</v>
      </c>
      <c r="K770" s="15"/>
      <c r="L770" s="17">
        <f>IF(J770&gt;0, K770/J770, 0)</f>
        <v>0</v>
      </c>
      <c r="M770" s="15">
        <v>18000.0</v>
      </c>
      <c r="N770" s="15"/>
      <c r="O770" s="15">
        <f>M770-N770</f>
        <v>18000</v>
      </c>
      <c r="P770" s="10" t="s">
        <v>42</v>
      </c>
      <c r="Q770" s="10" t="s">
        <v>43</v>
      </c>
      <c r="R770" s="10" t="s">
        <v>44</v>
      </c>
      <c r="S770" s="8" t="s">
        <v>2107</v>
      </c>
      <c r="T770" s="8" t="s">
        <v>44</v>
      </c>
    </row>
    <row r="771" spans="1:20">
      <c r="A771" s="11">
        <v>764</v>
      </c>
      <c r="B771" s="11" t="s">
        <v>1068</v>
      </c>
      <c r="C771" s="11" t="s">
        <v>957</v>
      </c>
      <c r="D771" s="11" t="s">
        <v>655</v>
      </c>
      <c r="E771" s="11" t="s">
        <v>34</v>
      </c>
      <c r="F771" s="11" t="s">
        <v>35</v>
      </c>
      <c r="G771" s="9" t="s">
        <v>41</v>
      </c>
      <c r="H771" s="13">
        <v>1</v>
      </c>
      <c r="I771" s="13">
        <v>1</v>
      </c>
      <c r="J771" s="16">
        <v>8000.0</v>
      </c>
      <c r="K771" s="16"/>
      <c r="L771" s="18">
        <f>IF(J771&gt;0, K771/J771, 0)</f>
        <v>0</v>
      </c>
      <c r="M771" s="16">
        <v>8000.0</v>
      </c>
      <c r="N771" s="16"/>
      <c r="O771" s="16">
        <f>M771-N771</f>
        <v>8000</v>
      </c>
      <c r="P771" s="11" t="s">
        <v>42</v>
      </c>
      <c r="Q771" s="11" t="s">
        <v>43</v>
      </c>
      <c r="R771" s="11" t="s">
        <v>44</v>
      </c>
      <c r="S771" s="9" t="s">
        <v>2108</v>
      </c>
      <c r="T771" s="9" t="s">
        <v>44</v>
      </c>
    </row>
    <row r="772" spans="1:20">
      <c r="A772" s="10">
        <v>765</v>
      </c>
      <c r="B772" s="10" t="s">
        <v>1069</v>
      </c>
      <c r="C772" s="10" t="s">
        <v>957</v>
      </c>
      <c r="D772" s="10" t="s">
        <v>655</v>
      </c>
      <c r="E772" s="10" t="s">
        <v>34</v>
      </c>
      <c r="F772" s="10" t="s">
        <v>35</v>
      </c>
      <c r="G772" s="8" t="s">
        <v>41</v>
      </c>
      <c r="H772" s="12">
        <v>1</v>
      </c>
      <c r="I772" s="12">
        <v>1</v>
      </c>
      <c r="J772" s="15">
        <v>16500.0</v>
      </c>
      <c r="K772" s="15"/>
      <c r="L772" s="17">
        <f>IF(J772&gt;0, K772/J772, 0)</f>
        <v>0</v>
      </c>
      <c r="M772" s="15">
        <v>16500.0</v>
      </c>
      <c r="N772" s="15"/>
      <c r="O772" s="15">
        <f>M772-N772</f>
        <v>16500</v>
      </c>
      <c r="P772" s="10" t="s">
        <v>42</v>
      </c>
      <c r="Q772" s="10" t="s">
        <v>43</v>
      </c>
      <c r="R772" s="10" t="s">
        <v>44</v>
      </c>
      <c r="S772" s="8" t="s">
        <v>2070</v>
      </c>
      <c r="T772" s="8" t="s">
        <v>44</v>
      </c>
    </row>
    <row r="773" spans="1:20">
      <c r="A773" s="11">
        <v>766</v>
      </c>
      <c r="B773" s="11" t="s">
        <v>1070</v>
      </c>
      <c r="C773" s="11" t="s">
        <v>957</v>
      </c>
      <c r="D773" s="11" t="s">
        <v>655</v>
      </c>
      <c r="E773" s="11" t="s">
        <v>34</v>
      </c>
      <c r="F773" s="11" t="s">
        <v>35</v>
      </c>
      <c r="G773" s="9" t="s">
        <v>41</v>
      </c>
      <c r="H773" s="13">
        <v>1</v>
      </c>
      <c r="I773" s="13">
        <v>1</v>
      </c>
      <c r="J773" s="16">
        <v>9000.0</v>
      </c>
      <c r="K773" s="16"/>
      <c r="L773" s="18">
        <f>IF(J773&gt;0, K773/J773, 0)</f>
        <v>0</v>
      </c>
      <c r="M773" s="16">
        <v>9000.0</v>
      </c>
      <c r="N773" s="16"/>
      <c r="O773" s="16">
        <f>M773-N773</f>
        <v>9000</v>
      </c>
      <c r="P773" s="11" t="s">
        <v>42</v>
      </c>
      <c r="Q773" s="11" t="s">
        <v>43</v>
      </c>
      <c r="R773" s="11" t="s">
        <v>44</v>
      </c>
      <c r="S773" s="9" t="s">
        <v>2148</v>
      </c>
      <c r="T773" s="9" t="s">
        <v>44</v>
      </c>
    </row>
    <row r="774" spans="1:20">
      <c r="A774" s="10">
        <v>767</v>
      </c>
      <c r="B774" s="10" t="s">
        <v>1071</v>
      </c>
      <c r="C774" s="10" t="s">
        <v>957</v>
      </c>
      <c r="D774" s="10" t="s">
        <v>655</v>
      </c>
      <c r="E774" s="10" t="s">
        <v>34</v>
      </c>
      <c r="F774" s="10" t="s">
        <v>35</v>
      </c>
      <c r="G774" s="8" t="s">
        <v>41</v>
      </c>
      <c r="H774" s="12">
        <v>1</v>
      </c>
      <c r="I774" s="12">
        <v>1</v>
      </c>
      <c r="J774" s="15">
        <v>8000.0</v>
      </c>
      <c r="K774" s="15"/>
      <c r="L774" s="17">
        <f>IF(J774&gt;0, K774/J774, 0)</f>
        <v>0</v>
      </c>
      <c r="M774" s="15">
        <v>8000.0</v>
      </c>
      <c r="N774" s="15"/>
      <c r="O774" s="15">
        <f>M774-N774</f>
        <v>8000</v>
      </c>
      <c r="P774" s="10" t="s">
        <v>42</v>
      </c>
      <c r="Q774" s="10" t="s">
        <v>43</v>
      </c>
      <c r="R774" s="10" t="s">
        <v>44</v>
      </c>
      <c r="S774" s="8" t="s">
        <v>2028</v>
      </c>
      <c r="T774" s="8" t="s">
        <v>44</v>
      </c>
    </row>
    <row r="775" spans="1:20">
      <c r="A775" s="11">
        <v>768</v>
      </c>
      <c r="B775" s="11" t="s">
        <v>1072</v>
      </c>
      <c r="C775" s="11" t="s">
        <v>957</v>
      </c>
      <c r="D775" s="11" t="s">
        <v>655</v>
      </c>
      <c r="E775" s="11" t="s">
        <v>34</v>
      </c>
      <c r="F775" s="11" t="s">
        <v>35</v>
      </c>
      <c r="G775" s="9" t="s">
        <v>41</v>
      </c>
      <c r="H775" s="13">
        <v>1</v>
      </c>
      <c r="I775" s="13">
        <v>1</v>
      </c>
      <c r="J775" s="16">
        <v>8500.0</v>
      </c>
      <c r="K775" s="16"/>
      <c r="L775" s="18">
        <f>IF(J775&gt;0, K775/J775, 0)</f>
        <v>0</v>
      </c>
      <c r="M775" s="16">
        <v>8500.0</v>
      </c>
      <c r="N775" s="16"/>
      <c r="O775" s="16">
        <f>M775-N775</f>
        <v>8500</v>
      </c>
      <c r="P775" s="11" t="s">
        <v>42</v>
      </c>
      <c r="Q775" s="11" t="s">
        <v>43</v>
      </c>
      <c r="R775" s="11" t="s">
        <v>44</v>
      </c>
      <c r="S775" s="9" t="s">
        <v>2045</v>
      </c>
      <c r="T775" s="9" t="s">
        <v>44</v>
      </c>
    </row>
    <row r="776" spans="1:20">
      <c r="A776" s="10">
        <v>769</v>
      </c>
      <c r="B776" s="10" t="s">
        <v>1073</v>
      </c>
      <c r="C776" s="10" t="s">
        <v>957</v>
      </c>
      <c r="D776" s="10" t="s">
        <v>655</v>
      </c>
      <c r="E776" s="10" t="s">
        <v>34</v>
      </c>
      <c r="F776" s="10" t="s">
        <v>35</v>
      </c>
      <c r="G776" s="8" t="s">
        <v>41</v>
      </c>
      <c r="H776" s="12">
        <v>1</v>
      </c>
      <c r="I776" s="12">
        <v>1</v>
      </c>
      <c r="J776" s="15">
        <v>7000.0</v>
      </c>
      <c r="K776" s="15"/>
      <c r="L776" s="17">
        <f>IF(J776&gt;0, K776/J776, 0)</f>
        <v>0</v>
      </c>
      <c r="M776" s="15">
        <v>7000.0</v>
      </c>
      <c r="N776" s="15"/>
      <c r="O776" s="15">
        <f>M776-N776</f>
        <v>7000</v>
      </c>
      <c r="P776" s="10" t="s">
        <v>42</v>
      </c>
      <c r="Q776" s="10" t="s">
        <v>43</v>
      </c>
      <c r="R776" s="10" t="s">
        <v>44</v>
      </c>
      <c r="S776" s="8" t="s">
        <v>2055</v>
      </c>
      <c r="T776" s="8" t="s">
        <v>44</v>
      </c>
    </row>
    <row r="777" spans="1:20">
      <c r="A777" s="11">
        <v>770</v>
      </c>
      <c r="B777" s="11" t="s">
        <v>1074</v>
      </c>
      <c r="C777" s="11" t="s">
        <v>957</v>
      </c>
      <c r="D777" s="11" t="s">
        <v>655</v>
      </c>
      <c r="E777" s="11" t="s">
        <v>34</v>
      </c>
      <c r="F777" s="11" t="s">
        <v>35</v>
      </c>
      <c r="G777" s="9" t="s">
        <v>41</v>
      </c>
      <c r="H777" s="13">
        <v>1</v>
      </c>
      <c r="I777" s="13">
        <v>1</v>
      </c>
      <c r="J777" s="16">
        <v>8000.0</v>
      </c>
      <c r="K777" s="16"/>
      <c r="L777" s="18">
        <f>IF(J777&gt;0, K777/J777, 0)</f>
        <v>0</v>
      </c>
      <c r="M777" s="16">
        <v>8000.0</v>
      </c>
      <c r="N777" s="16"/>
      <c r="O777" s="16">
        <f>M777-N777</f>
        <v>8000</v>
      </c>
      <c r="P777" s="11" t="s">
        <v>42</v>
      </c>
      <c r="Q777" s="11" t="s">
        <v>43</v>
      </c>
      <c r="R777" s="11" t="s">
        <v>44</v>
      </c>
      <c r="S777" s="9" t="s">
        <v>2030</v>
      </c>
      <c r="T777" s="9" t="s">
        <v>44</v>
      </c>
    </row>
    <row r="778" spans="1:20">
      <c r="A778" s="10">
        <v>771</v>
      </c>
      <c r="B778" s="10" t="s">
        <v>1075</v>
      </c>
      <c r="C778" s="10" t="s">
        <v>957</v>
      </c>
      <c r="D778" s="10" t="s">
        <v>655</v>
      </c>
      <c r="E778" s="10" t="s">
        <v>34</v>
      </c>
      <c r="F778" s="10" t="s">
        <v>35</v>
      </c>
      <c r="G778" s="8" t="s">
        <v>41</v>
      </c>
      <c r="H778" s="12">
        <v>1</v>
      </c>
      <c r="I778" s="12">
        <v>1</v>
      </c>
      <c r="J778" s="15">
        <v>16000.0</v>
      </c>
      <c r="K778" s="15"/>
      <c r="L778" s="17">
        <f>IF(J778&gt;0, K778/J778, 0)</f>
        <v>0</v>
      </c>
      <c r="M778" s="15">
        <v>16000.0</v>
      </c>
      <c r="N778" s="15"/>
      <c r="O778" s="15">
        <f>M778-N778</f>
        <v>16000</v>
      </c>
      <c r="P778" s="10" t="s">
        <v>42</v>
      </c>
      <c r="Q778" s="10" t="s">
        <v>43</v>
      </c>
      <c r="R778" s="10" t="s">
        <v>44</v>
      </c>
      <c r="S778" s="8" t="s">
        <v>2078</v>
      </c>
      <c r="T778" s="8" t="s">
        <v>44</v>
      </c>
    </row>
    <row r="779" spans="1:20">
      <c r="A779" s="11">
        <v>772</v>
      </c>
      <c r="B779" s="11" t="s">
        <v>1076</v>
      </c>
      <c r="C779" s="11" t="s">
        <v>957</v>
      </c>
      <c r="D779" s="11" t="s">
        <v>655</v>
      </c>
      <c r="E779" s="11" t="s">
        <v>34</v>
      </c>
      <c r="F779" s="11" t="s">
        <v>35</v>
      </c>
      <c r="G779" s="9" t="s">
        <v>41</v>
      </c>
      <c r="H779" s="13">
        <v>1</v>
      </c>
      <c r="I779" s="13">
        <v>1</v>
      </c>
      <c r="J779" s="16">
        <v>8000.0</v>
      </c>
      <c r="K779" s="16"/>
      <c r="L779" s="18">
        <f>IF(J779&gt;0, K779/J779, 0)</f>
        <v>0</v>
      </c>
      <c r="M779" s="16">
        <v>8000.0</v>
      </c>
      <c r="N779" s="16"/>
      <c r="O779" s="16">
        <f>M779-N779</f>
        <v>8000</v>
      </c>
      <c r="P779" s="11" t="s">
        <v>42</v>
      </c>
      <c r="Q779" s="11" t="s">
        <v>43</v>
      </c>
      <c r="R779" s="11" t="s">
        <v>44</v>
      </c>
      <c r="S779" s="9" t="s">
        <v>2111</v>
      </c>
      <c r="T779" s="9" t="s">
        <v>44</v>
      </c>
    </row>
    <row r="780" spans="1:20">
      <c r="A780" s="10">
        <v>773</v>
      </c>
      <c r="B780" s="10" t="s">
        <v>1077</v>
      </c>
      <c r="C780" s="10" t="s">
        <v>957</v>
      </c>
      <c r="D780" s="10" t="s">
        <v>655</v>
      </c>
      <c r="E780" s="10" t="s">
        <v>34</v>
      </c>
      <c r="F780" s="10" t="s">
        <v>35</v>
      </c>
      <c r="G780" s="8" t="s">
        <v>41</v>
      </c>
      <c r="H780" s="12">
        <v>1</v>
      </c>
      <c r="I780" s="12">
        <v>1</v>
      </c>
      <c r="J780" s="15">
        <v>8000.0</v>
      </c>
      <c r="K780" s="15"/>
      <c r="L780" s="17">
        <f>IF(J780&gt;0, K780/J780, 0)</f>
        <v>0</v>
      </c>
      <c r="M780" s="15">
        <v>8000.0</v>
      </c>
      <c r="N780" s="15"/>
      <c r="O780" s="15">
        <f>M780-N780</f>
        <v>8000</v>
      </c>
      <c r="P780" s="10" t="s">
        <v>42</v>
      </c>
      <c r="Q780" s="10" t="s">
        <v>43</v>
      </c>
      <c r="R780" s="10" t="s">
        <v>44</v>
      </c>
      <c r="S780" s="8" t="s">
        <v>2024</v>
      </c>
      <c r="T780" s="8" t="s">
        <v>44</v>
      </c>
    </row>
    <row r="781" spans="1:20">
      <c r="A781" s="11">
        <v>774</v>
      </c>
      <c r="B781" s="11" t="s">
        <v>1078</v>
      </c>
      <c r="C781" s="11" t="s">
        <v>957</v>
      </c>
      <c r="D781" s="11" t="s">
        <v>655</v>
      </c>
      <c r="E781" s="11" t="s">
        <v>34</v>
      </c>
      <c r="F781" s="11" t="s">
        <v>35</v>
      </c>
      <c r="G781" s="9" t="s">
        <v>41</v>
      </c>
      <c r="H781" s="13">
        <v>1</v>
      </c>
      <c r="I781" s="13">
        <v>2</v>
      </c>
      <c r="J781" s="16">
        <v>14000.0</v>
      </c>
      <c r="K781" s="16"/>
      <c r="L781" s="18">
        <f>IF(J781&gt;0, K781/J781, 0)</f>
        <v>0</v>
      </c>
      <c r="M781" s="16">
        <v>14000.0</v>
      </c>
      <c r="N781" s="16"/>
      <c r="O781" s="16">
        <f>M781-N781</f>
        <v>14000</v>
      </c>
      <c r="P781" s="11" t="s">
        <v>42</v>
      </c>
      <c r="Q781" s="11" t="s">
        <v>43</v>
      </c>
      <c r="R781" s="11" t="s">
        <v>44</v>
      </c>
      <c r="S781" s="9" t="s">
        <v>2050</v>
      </c>
      <c r="T781" s="9" t="s">
        <v>44</v>
      </c>
    </row>
    <row r="782" spans="1:20">
      <c r="A782" s="10">
        <v>775</v>
      </c>
      <c r="B782" s="10" t="s">
        <v>1079</v>
      </c>
      <c r="C782" s="10" t="s">
        <v>957</v>
      </c>
      <c r="D782" s="10" t="s">
        <v>655</v>
      </c>
      <c r="E782" s="10" t="s">
        <v>34</v>
      </c>
      <c r="F782" s="10" t="s">
        <v>35</v>
      </c>
      <c r="G782" s="8" t="s">
        <v>41</v>
      </c>
      <c r="H782" s="12">
        <v>1</v>
      </c>
      <c r="I782" s="12">
        <v>2</v>
      </c>
      <c r="J782" s="15">
        <v>14000.0</v>
      </c>
      <c r="K782" s="15"/>
      <c r="L782" s="17">
        <f>IF(J782&gt;0, K782/J782, 0)</f>
        <v>0</v>
      </c>
      <c r="M782" s="15">
        <v>14000.0</v>
      </c>
      <c r="N782" s="15"/>
      <c r="O782" s="15">
        <f>M782-N782</f>
        <v>14000</v>
      </c>
      <c r="P782" s="10" t="s">
        <v>42</v>
      </c>
      <c r="Q782" s="10" t="s">
        <v>43</v>
      </c>
      <c r="R782" s="10" t="s">
        <v>44</v>
      </c>
      <c r="S782" s="8" t="s">
        <v>2146</v>
      </c>
      <c r="T782" s="8" t="s">
        <v>44</v>
      </c>
    </row>
    <row r="783" spans="1:20">
      <c r="A783" s="11">
        <v>776</v>
      </c>
      <c r="B783" s="11" t="s">
        <v>1080</v>
      </c>
      <c r="C783" s="11" t="s">
        <v>957</v>
      </c>
      <c r="D783" s="11" t="s">
        <v>655</v>
      </c>
      <c r="E783" s="11" t="s">
        <v>34</v>
      </c>
      <c r="F783" s="11" t="s">
        <v>35</v>
      </c>
      <c r="G783" s="9" t="s">
        <v>41</v>
      </c>
      <c r="H783" s="13">
        <v>1</v>
      </c>
      <c r="I783" s="13">
        <v>1</v>
      </c>
      <c r="J783" s="16">
        <v>18000.0</v>
      </c>
      <c r="K783" s="16"/>
      <c r="L783" s="18">
        <f>IF(J783&gt;0, K783/J783, 0)</f>
        <v>0</v>
      </c>
      <c r="M783" s="16">
        <v>18000.0</v>
      </c>
      <c r="N783" s="16"/>
      <c r="O783" s="16">
        <f>M783-N783</f>
        <v>18000</v>
      </c>
      <c r="P783" s="11" t="s">
        <v>42</v>
      </c>
      <c r="Q783" s="11" t="s">
        <v>43</v>
      </c>
      <c r="R783" s="11" t="s">
        <v>44</v>
      </c>
      <c r="S783" s="9" t="s">
        <v>2122</v>
      </c>
      <c r="T783" s="9" t="s">
        <v>44</v>
      </c>
    </row>
    <row r="784" spans="1:20">
      <c r="A784" s="10">
        <v>777</v>
      </c>
      <c r="B784" s="10" t="s">
        <v>1081</v>
      </c>
      <c r="C784" s="10" t="s">
        <v>957</v>
      </c>
      <c r="D784" s="10" t="s">
        <v>655</v>
      </c>
      <c r="E784" s="10" t="s">
        <v>34</v>
      </c>
      <c r="F784" s="10" t="s">
        <v>35</v>
      </c>
      <c r="G784" s="8" t="s">
        <v>41</v>
      </c>
      <c r="H784" s="12">
        <v>1</v>
      </c>
      <c r="I784" s="12">
        <v>1</v>
      </c>
      <c r="J784" s="15">
        <v>8500.0</v>
      </c>
      <c r="K784" s="15"/>
      <c r="L784" s="17">
        <f>IF(J784&gt;0, K784/J784, 0)</f>
        <v>0</v>
      </c>
      <c r="M784" s="15">
        <v>8500.0</v>
      </c>
      <c r="N784" s="15"/>
      <c r="O784" s="15">
        <f>M784-N784</f>
        <v>8500</v>
      </c>
      <c r="P784" s="10" t="s">
        <v>42</v>
      </c>
      <c r="Q784" s="10" t="s">
        <v>43</v>
      </c>
      <c r="R784" s="10" t="s">
        <v>44</v>
      </c>
      <c r="S784" s="8" t="s">
        <v>2119</v>
      </c>
      <c r="T784" s="8" t="s">
        <v>44</v>
      </c>
    </row>
    <row r="785" spans="1:20">
      <c r="A785" s="11">
        <v>778</v>
      </c>
      <c r="B785" s="11" t="s">
        <v>1082</v>
      </c>
      <c r="C785" s="11" t="s">
        <v>957</v>
      </c>
      <c r="D785" s="11" t="s">
        <v>655</v>
      </c>
      <c r="E785" s="11" t="s">
        <v>34</v>
      </c>
      <c r="F785" s="11" t="s">
        <v>35</v>
      </c>
      <c r="G785" s="9" t="s">
        <v>41</v>
      </c>
      <c r="H785" s="13">
        <v>1</v>
      </c>
      <c r="I785" s="13">
        <v>2</v>
      </c>
      <c r="J785" s="16">
        <v>16000.0</v>
      </c>
      <c r="K785" s="16"/>
      <c r="L785" s="18">
        <f>IF(J785&gt;0, K785/J785, 0)</f>
        <v>0</v>
      </c>
      <c r="M785" s="16">
        <v>16000.0</v>
      </c>
      <c r="N785" s="16"/>
      <c r="O785" s="16">
        <f>M785-N785</f>
        <v>16000</v>
      </c>
      <c r="P785" s="11" t="s">
        <v>42</v>
      </c>
      <c r="Q785" s="11" t="s">
        <v>43</v>
      </c>
      <c r="R785" s="11" t="s">
        <v>44</v>
      </c>
      <c r="S785" s="9" t="s">
        <v>2132</v>
      </c>
      <c r="T785" s="9" t="s">
        <v>44</v>
      </c>
    </row>
    <row r="786" spans="1:20">
      <c r="A786" s="10">
        <v>779</v>
      </c>
      <c r="B786" s="10" t="s">
        <v>1083</v>
      </c>
      <c r="C786" s="10" t="s">
        <v>957</v>
      </c>
      <c r="D786" s="10" t="s">
        <v>655</v>
      </c>
      <c r="E786" s="10" t="s">
        <v>34</v>
      </c>
      <c r="F786" s="10" t="s">
        <v>35</v>
      </c>
      <c r="G786" s="8" t="s">
        <v>41</v>
      </c>
      <c r="H786" s="12">
        <v>1</v>
      </c>
      <c r="I786" s="12">
        <v>4</v>
      </c>
      <c r="J786" s="15">
        <v>32000.0</v>
      </c>
      <c r="K786" s="15"/>
      <c r="L786" s="17">
        <f>IF(J786&gt;0, K786/J786, 0)</f>
        <v>0</v>
      </c>
      <c r="M786" s="15">
        <v>32000.0</v>
      </c>
      <c r="N786" s="15"/>
      <c r="O786" s="15">
        <f>M786-N786</f>
        <v>32000</v>
      </c>
      <c r="P786" s="10" t="s">
        <v>42</v>
      </c>
      <c r="Q786" s="10" t="s">
        <v>43</v>
      </c>
      <c r="R786" s="10" t="s">
        <v>44</v>
      </c>
      <c r="S786" s="8" t="s">
        <v>2193</v>
      </c>
      <c r="T786" s="8" t="s">
        <v>44</v>
      </c>
    </row>
    <row r="787" spans="1:20">
      <c r="A787" s="11">
        <v>780</v>
      </c>
      <c r="B787" s="11" t="s">
        <v>1084</v>
      </c>
      <c r="C787" s="11" t="s">
        <v>1085</v>
      </c>
      <c r="D787" s="11" t="s">
        <v>655</v>
      </c>
      <c r="E787" s="11" t="s">
        <v>70</v>
      </c>
      <c r="F787" s="11" t="s">
        <v>35</v>
      </c>
      <c r="G787" s="9" t="s">
        <v>41</v>
      </c>
      <c r="H787" s="13">
        <v>1</v>
      </c>
      <c r="I787" s="13">
        <v>1</v>
      </c>
      <c r="J787" s="16">
        <v>18000.0</v>
      </c>
      <c r="K787" s="16"/>
      <c r="L787" s="18">
        <f>IF(J787&gt;0, K787/J787, 0)</f>
        <v>0</v>
      </c>
      <c r="M787" s="16">
        <v>18000.0</v>
      </c>
      <c r="N787" s="16"/>
      <c r="O787" s="16">
        <f>M787-N787</f>
        <v>18000</v>
      </c>
      <c r="P787" s="11" t="s">
        <v>42</v>
      </c>
      <c r="Q787" s="11" t="s">
        <v>73</v>
      </c>
      <c r="R787" s="11" t="s">
        <v>44</v>
      </c>
      <c r="S787" s="9" t="s">
        <v>2090</v>
      </c>
      <c r="T787" s="9" t="s">
        <v>44</v>
      </c>
    </row>
    <row r="788" spans="1:20">
      <c r="A788" s="10">
        <v>781</v>
      </c>
      <c r="B788" s="10" t="s">
        <v>1086</v>
      </c>
      <c r="C788" s="10" t="s">
        <v>1085</v>
      </c>
      <c r="D788" s="10" t="s">
        <v>655</v>
      </c>
      <c r="E788" s="10" t="s">
        <v>34</v>
      </c>
      <c r="F788" s="10" t="s">
        <v>35</v>
      </c>
      <c r="G788" s="8" t="s">
        <v>41</v>
      </c>
      <c r="H788" s="12">
        <v>1</v>
      </c>
      <c r="I788" s="12">
        <v>1</v>
      </c>
      <c r="J788" s="15">
        <v>16000.0</v>
      </c>
      <c r="K788" s="15"/>
      <c r="L788" s="17">
        <f>IF(J788&gt;0, K788/J788, 0)</f>
        <v>0</v>
      </c>
      <c r="M788" s="15">
        <v>16000.0</v>
      </c>
      <c r="N788" s="15"/>
      <c r="O788" s="15">
        <f>M788-N788</f>
        <v>16000</v>
      </c>
      <c r="P788" s="10" t="s">
        <v>42</v>
      </c>
      <c r="Q788" s="10" t="s">
        <v>43</v>
      </c>
      <c r="R788" s="10" t="s">
        <v>44</v>
      </c>
      <c r="S788" s="8" t="s">
        <v>2078</v>
      </c>
      <c r="T788" s="8" t="s">
        <v>44</v>
      </c>
    </row>
    <row r="789" spans="1:20">
      <c r="A789" s="11">
        <v>782</v>
      </c>
      <c r="B789" s="11" t="s">
        <v>1087</v>
      </c>
      <c r="C789" s="11" t="s">
        <v>1085</v>
      </c>
      <c r="D789" s="11" t="s">
        <v>655</v>
      </c>
      <c r="E789" s="11" t="s">
        <v>34</v>
      </c>
      <c r="F789" s="11" t="s">
        <v>35</v>
      </c>
      <c r="G789" s="9" t="s">
        <v>41</v>
      </c>
      <c r="H789" s="13">
        <v>1</v>
      </c>
      <c r="I789" s="13">
        <v>1</v>
      </c>
      <c r="J789" s="16">
        <v>16000.0</v>
      </c>
      <c r="K789" s="16"/>
      <c r="L789" s="18">
        <f>IF(J789&gt;0, K789/J789, 0)</f>
        <v>0</v>
      </c>
      <c r="M789" s="16">
        <v>16000.0</v>
      </c>
      <c r="N789" s="16"/>
      <c r="O789" s="16">
        <f>M789-N789</f>
        <v>16000</v>
      </c>
      <c r="P789" s="11" t="s">
        <v>42</v>
      </c>
      <c r="Q789" s="11" t="s">
        <v>43</v>
      </c>
      <c r="R789" s="11" t="s">
        <v>44</v>
      </c>
      <c r="S789" s="9" t="s">
        <v>2073</v>
      </c>
      <c r="T789" s="9" t="s">
        <v>44</v>
      </c>
    </row>
    <row r="790" spans="1:20">
      <c r="A790" s="10">
        <v>783</v>
      </c>
      <c r="B790" s="10" t="s">
        <v>1088</v>
      </c>
      <c r="C790" s="10" t="s">
        <v>1085</v>
      </c>
      <c r="D790" s="10" t="s">
        <v>655</v>
      </c>
      <c r="E790" s="10" t="s">
        <v>34</v>
      </c>
      <c r="F790" s="10" t="s">
        <v>35</v>
      </c>
      <c r="G790" s="8" t="s">
        <v>41</v>
      </c>
      <c r="H790" s="12">
        <v>1</v>
      </c>
      <c r="I790" s="12">
        <v>2</v>
      </c>
      <c r="J790" s="15">
        <v>14000.0</v>
      </c>
      <c r="K790" s="15"/>
      <c r="L790" s="17">
        <f>IF(J790&gt;0, K790/J790, 0)</f>
        <v>0</v>
      </c>
      <c r="M790" s="15">
        <v>14000.0</v>
      </c>
      <c r="N790" s="15"/>
      <c r="O790" s="15">
        <f>M790-N790</f>
        <v>14000</v>
      </c>
      <c r="P790" s="10" t="s">
        <v>42</v>
      </c>
      <c r="Q790" s="10" t="s">
        <v>43</v>
      </c>
      <c r="R790" s="10" t="s">
        <v>44</v>
      </c>
      <c r="S790" s="8" t="s">
        <v>2063</v>
      </c>
      <c r="T790" s="8" t="s">
        <v>44</v>
      </c>
    </row>
    <row r="791" spans="1:20">
      <c r="A791" s="11">
        <v>784</v>
      </c>
      <c r="B791" s="11" t="s">
        <v>1089</v>
      </c>
      <c r="C791" s="11" t="s">
        <v>1085</v>
      </c>
      <c r="D791" s="11" t="s">
        <v>655</v>
      </c>
      <c r="E791" s="11" t="s">
        <v>34</v>
      </c>
      <c r="F791" s="11" t="s">
        <v>35</v>
      </c>
      <c r="G791" s="9" t="s">
        <v>41</v>
      </c>
      <c r="H791" s="13">
        <v>1</v>
      </c>
      <c r="I791" s="13">
        <v>4</v>
      </c>
      <c r="J791" s="16">
        <v>32000.0</v>
      </c>
      <c r="K791" s="16"/>
      <c r="L791" s="18">
        <f>IF(J791&gt;0, K791/J791, 0)</f>
        <v>0</v>
      </c>
      <c r="M791" s="16">
        <v>32000.0</v>
      </c>
      <c r="N791" s="16"/>
      <c r="O791" s="16">
        <f>M791-N791</f>
        <v>32000</v>
      </c>
      <c r="P791" s="11" t="s">
        <v>42</v>
      </c>
      <c r="Q791" s="11" t="s">
        <v>43</v>
      </c>
      <c r="R791" s="11" t="s">
        <v>44</v>
      </c>
      <c r="S791" s="9" t="s">
        <v>2193</v>
      </c>
      <c r="T791" s="9" t="s">
        <v>44</v>
      </c>
    </row>
    <row r="792" spans="1:20">
      <c r="A792" s="10">
        <v>785</v>
      </c>
      <c r="B792" s="10" t="s">
        <v>1090</v>
      </c>
      <c r="C792" s="10" t="s">
        <v>1085</v>
      </c>
      <c r="D792" s="10" t="s">
        <v>655</v>
      </c>
      <c r="E792" s="10" t="s">
        <v>34</v>
      </c>
      <c r="F792" s="10" t="s">
        <v>35</v>
      </c>
      <c r="G792" s="8" t="s">
        <v>41</v>
      </c>
      <c r="H792" s="12">
        <v>1</v>
      </c>
      <c r="I792" s="12">
        <v>2</v>
      </c>
      <c r="J792" s="15">
        <v>19000.0</v>
      </c>
      <c r="K792" s="15"/>
      <c r="L792" s="17">
        <f>IF(J792&gt;0, K792/J792, 0)</f>
        <v>0</v>
      </c>
      <c r="M792" s="15">
        <v>19000.0</v>
      </c>
      <c r="N792" s="15"/>
      <c r="O792" s="15">
        <f>M792-N792</f>
        <v>19000</v>
      </c>
      <c r="P792" s="10" t="s">
        <v>42</v>
      </c>
      <c r="Q792" s="10" t="s">
        <v>43</v>
      </c>
      <c r="R792" s="10" t="s">
        <v>44</v>
      </c>
      <c r="S792" s="8" t="s">
        <v>2194</v>
      </c>
      <c r="T792" s="8" t="s">
        <v>44</v>
      </c>
    </row>
    <row r="793" spans="1:20">
      <c r="A793" s="11">
        <v>786</v>
      </c>
      <c r="B793" s="11" t="s">
        <v>1091</v>
      </c>
      <c r="C793" s="11" t="s">
        <v>1085</v>
      </c>
      <c r="D793" s="11" t="s">
        <v>655</v>
      </c>
      <c r="E793" s="11" t="s">
        <v>34</v>
      </c>
      <c r="F793" s="11" t="s">
        <v>35</v>
      </c>
      <c r="G793" s="9" t="s">
        <v>41</v>
      </c>
      <c r="H793" s="13">
        <v>1</v>
      </c>
      <c r="I793" s="13">
        <v>1</v>
      </c>
      <c r="J793" s="16">
        <v>8000.0</v>
      </c>
      <c r="K793" s="16"/>
      <c r="L793" s="18">
        <f>IF(J793&gt;0, K793/J793, 0)</f>
        <v>0</v>
      </c>
      <c r="M793" s="16">
        <v>8000.0</v>
      </c>
      <c r="N793" s="16"/>
      <c r="O793" s="16">
        <f>M793-N793</f>
        <v>8000</v>
      </c>
      <c r="P793" s="11" t="s">
        <v>42</v>
      </c>
      <c r="Q793" s="11" t="s">
        <v>43</v>
      </c>
      <c r="R793" s="11" t="s">
        <v>44</v>
      </c>
      <c r="S793" s="9" t="s">
        <v>2087</v>
      </c>
      <c r="T793" s="9" t="s">
        <v>44</v>
      </c>
    </row>
    <row r="794" spans="1:20">
      <c r="A794" s="10">
        <v>787</v>
      </c>
      <c r="B794" s="10" t="s">
        <v>1092</v>
      </c>
      <c r="C794" s="10" t="s">
        <v>1085</v>
      </c>
      <c r="D794" s="10" t="s">
        <v>655</v>
      </c>
      <c r="E794" s="10" t="s">
        <v>70</v>
      </c>
      <c r="F794" s="10" t="s">
        <v>35</v>
      </c>
      <c r="G794" s="8" t="s">
        <v>41</v>
      </c>
      <c r="H794" s="12">
        <v>1</v>
      </c>
      <c r="I794" s="12">
        <v>1</v>
      </c>
      <c r="J794" s="15">
        <v>8000.0</v>
      </c>
      <c r="K794" s="15"/>
      <c r="L794" s="17">
        <f>IF(J794&gt;0, K794/J794, 0)</f>
        <v>0</v>
      </c>
      <c r="M794" s="15">
        <v>8000.0</v>
      </c>
      <c r="N794" s="15"/>
      <c r="O794" s="15">
        <f>M794-N794</f>
        <v>8000</v>
      </c>
      <c r="P794" s="10" t="s">
        <v>42</v>
      </c>
      <c r="Q794" s="10" t="s">
        <v>73</v>
      </c>
      <c r="R794" s="10" t="s">
        <v>44</v>
      </c>
      <c r="S794" s="8" t="s">
        <v>2164</v>
      </c>
      <c r="T794" s="8" t="s">
        <v>44</v>
      </c>
    </row>
    <row r="795" spans="1:20">
      <c r="A795" s="11">
        <v>788</v>
      </c>
      <c r="B795" s="11" t="s">
        <v>1093</v>
      </c>
      <c r="C795" s="11" t="s">
        <v>1085</v>
      </c>
      <c r="D795" s="11" t="s">
        <v>655</v>
      </c>
      <c r="E795" s="11" t="s">
        <v>70</v>
      </c>
      <c r="F795" s="11" t="s">
        <v>35</v>
      </c>
      <c r="G795" s="9" t="s">
        <v>41</v>
      </c>
      <c r="H795" s="13">
        <v>1</v>
      </c>
      <c r="I795" s="13">
        <v>1</v>
      </c>
      <c r="J795" s="16">
        <v>10000.0</v>
      </c>
      <c r="K795" s="16"/>
      <c r="L795" s="18">
        <f>IF(J795&gt;0, K795/J795, 0)</f>
        <v>0</v>
      </c>
      <c r="M795" s="16">
        <v>10000.0</v>
      </c>
      <c r="N795" s="16"/>
      <c r="O795" s="16">
        <f>M795-N795</f>
        <v>10000</v>
      </c>
      <c r="P795" s="11" t="s">
        <v>42</v>
      </c>
      <c r="Q795" s="11" t="s">
        <v>73</v>
      </c>
      <c r="R795" s="11" t="s">
        <v>44</v>
      </c>
      <c r="S795" s="9" t="s">
        <v>2059</v>
      </c>
      <c r="T795" s="9" t="s">
        <v>44</v>
      </c>
    </row>
    <row r="796" spans="1:20">
      <c r="A796" s="10">
        <v>789</v>
      </c>
      <c r="B796" s="10" t="s">
        <v>1094</v>
      </c>
      <c r="C796" s="10" t="s">
        <v>1085</v>
      </c>
      <c r="D796" s="10" t="s">
        <v>655</v>
      </c>
      <c r="E796" s="10" t="s">
        <v>34</v>
      </c>
      <c r="F796" s="10" t="s">
        <v>35</v>
      </c>
      <c r="G796" s="8" t="s">
        <v>41</v>
      </c>
      <c r="H796" s="12">
        <v>1</v>
      </c>
      <c r="I796" s="12">
        <v>1</v>
      </c>
      <c r="J796" s="15">
        <v>16000.0</v>
      </c>
      <c r="K796" s="15"/>
      <c r="L796" s="17">
        <f>IF(J796&gt;0, K796/J796, 0)</f>
        <v>0</v>
      </c>
      <c r="M796" s="15">
        <v>16000.0</v>
      </c>
      <c r="N796" s="15"/>
      <c r="O796" s="15">
        <f>M796-N796</f>
        <v>16000</v>
      </c>
      <c r="P796" s="10" t="s">
        <v>42</v>
      </c>
      <c r="Q796" s="10" t="s">
        <v>43</v>
      </c>
      <c r="R796" s="10" t="s">
        <v>44</v>
      </c>
      <c r="S796" s="8" t="s">
        <v>2072</v>
      </c>
      <c r="T796" s="8" t="s">
        <v>44</v>
      </c>
    </row>
    <row r="797" spans="1:20">
      <c r="A797" s="11">
        <v>790</v>
      </c>
      <c r="B797" s="11" t="s">
        <v>1095</v>
      </c>
      <c r="C797" s="11" t="s">
        <v>1085</v>
      </c>
      <c r="D797" s="11" t="s">
        <v>655</v>
      </c>
      <c r="E797" s="11" t="s">
        <v>34</v>
      </c>
      <c r="F797" s="11" t="s">
        <v>35</v>
      </c>
      <c r="G797" s="9" t="s">
        <v>41</v>
      </c>
      <c r="H797" s="13">
        <v>1</v>
      </c>
      <c r="I797" s="13">
        <v>2</v>
      </c>
      <c r="J797" s="16">
        <v>14000.0</v>
      </c>
      <c r="K797" s="16"/>
      <c r="L797" s="18">
        <f>IF(J797&gt;0, K797/J797, 0)</f>
        <v>0</v>
      </c>
      <c r="M797" s="16">
        <v>14000.0</v>
      </c>
      <c r="N797" s="16"/>
      <c r="O797" s="16">
        <f>M797-N797</f>
        <v>14000</v>
      </c>
      <c r="P797" s="11" t="s">
        <v>42</v>
      </c>
      <c r="Q797" s="11" t="s">
        <v>43</v>
      </c>
      <c r="R797" s="11" t="s">
        <v>44</v>
      </c>
      <c r="S797" s="9" t="s">
        <v>2146</v>
      </c>
      <c r="T797" s="9" t="s">
        <v>44</v>
      </c>
    </row>
    <row r="798" spans="1:20">
      <c r="A798" s="10">
        <v>791</v>
      </c>
      <c r="B798" s="10" t="s">
        <v>1096</v>
      </c>
      <c r="C798" s="10" t="s">
        <v>1085</v>
      </c>
      <c r="D798" s="10" t="s">
        <v>655</v>
      </c>
      <c r="E798" s="10" t="s">
        <v>34</v>
      </c>
      <c r="F798" s="10" t="s">
        <v>35</v>
      </c>
      <c r="G798" s="8" t="s">
        <v>41</v>
      </c>
      <c r="H798" s="12">
        <v>1</v>
      </c>
      <c r="I798" s="12">
        <v>1</v>
      </c>
      <c r="J798" s="15">
        <v>8000.0</v>
      </c>
      <c r="K798" s="15"/>
      <c r="L798" s="17">
        <f>IF(J798&gt;0, K798/J798, 0)</f>
        <v>0</v>
      </c>
      <c r="M798" s="15">
        <v>8000.0</v>
      </c>
      <c r="N798" s="15"/>
      <c r="O798" s="15">
        <f>M798-N798</f>
        <v>8000</v>
      </c>
      <c r="P798" s="10" t="s">
        <v>42</v>
      </c>
      <c r="Q798" s="10" t="s">
        <v>43</v>
      </c>
      <c r="R798" s="10" t="s">
        <v>44</v>
      </c>
      <c r="S798" s="8" t="s">
        <v>2087</v>
      </c>
      <c r="T798" s="8" t="s">
        <v>44</v>
      </c>
    </row>
    <row r="799" spans="1:20">
      <c r="A799" s="11">
        <v>792</v>
      </c>
      <c r="B799" s="11" t="s">
        <v>1097</v>
      </c>
      <c r="C799" s="11" t="s">
        <v>1085</v>
      </c>
      <c r="D799" s="11" t="s">
        <v>655</v>
      </c>
      <c r="E799" s="11" t="s">
        <v>34</v>
      </c>
      <c r="F799" s="11" t="s">
        <v>35</v>
      </c>
      <c r="G799" s="9" t="s">
        <v>41</v>
      </c>
      <c r="H799" s="13">
        <v>1</v>
      </c>
      <c r="I799" s="13">
        <v>1</v>
      </c>
      <c r="J799" s="16">
        <v>18000.0</v>
      </c>
      <c r="K799" s="16"/>
      <c r="L799" s="18">
        <f>IF(J799&gt;0, K799/J799, 0)</f>
        <v>0</v>
      </c>
      <c r="M799" s="16">
        <v>18000.0</v>
      </c>
      <c r="N799" s="16"/>
      <c r="O799" s="16">
        <f>M799-N799</f>
        <v>18000</v>
      </c>
      <c r="P799" s="11" t="s">
        <v>42</v>
      </c>
      <c r="Q799" s="11" t="s">
        <v>43</v>
      </c>
      <c r="R799" s="11" t="s">
        <v>44</v>
      </c>
      <c r="S799" s="9" t="s">
        <v>2107</v>
      </c>
      <c r="T799" s="9" t="s">
        <v>44</v>
      </c>
    </row>
    <row r="800" spans="1:20">
      <c r="A800" s="10">
        <v>793</v>
      </c>
      <c r="B800" s="10" t="s">
        <v>1098</v>
      </c>
      <c r="C800" s="10" t="s">
        <v>1085</v>
      </c>
      <c r="D800" s="10" t="s">
        <v>655</v>
      </c>
      <c r="E800" s="10" t="s">
        <v>34</v>
      </c>
      <c r="F800" s="10" t="s">
        <v>35</v>
      </c>
      <c r="G800" s="8" t="s">
        <v>41</v>
      </c>
      <c r="H800" s="12">
        <v>1</v>
      </c>
      <c r="I800" s="12">
        <v>1</v>
      </c>
      <c r="J800" s="15">
        <v>9500.0</v>
      </c>
      <c r="K800" s="15"/>
      <c r="L800" s="17">
        <f>IF(J800&gt;0, K800/J800, 0)</f>
        <v>0</v>
      </c>
      <c r="M800" s="15">
        <v>9500.0</v>
      </c>
      <c r="N800" s="15"/>
      <c r="O800" s="15">
        <f>M800-N800</f>
        <v>9500</v>
      </c>
      <c r="P800" s="10" t="s">
        <v>42</v>
      </c>
      <c r="Q800" s="10" t="s">
        <v>43</v>
      </c>
      <c r="R800" s="10" t="s">
        <v>44</v>
      </c>
      <c r="S800" s="8" t="s">
        <v>2052</v>
      </c>
      <c r="T800" s="8" t="s">
        <v>44</v>
      </c>
    </row>
    <row r="801" spans="1:20">
      <c r="A801" s="11">
        <v>794</v>
      </c>
      <c r="B801" s="11" t="s">
        <v>1099</v>
      </c>
      <c r="C801" s="11" t="s">
        <v>1085</v>
      </c>
      <c r="D801" s="11" t="s">
        <v>655</v>
      </c>
      <c r="E801" s="11" t="s">
        <v>34</v>
      </c>
      <c r="F801" s="11" t="s">
        <v>35</v>
      </c>
      <c r="G801" s="9" t="s">
        <v>41</v>
      </c>
      <c r="H801" s="13">
        <v>1</v>
      </c>
      <c r="I801" s="13">
        <v>1</v>
      </c>
      <c r="J801" s="16">
        <v>16500.0</v>
      </c>
      <c r="K801" s="16"/>
      <c r="L801" s="18">
        <f>IF(J801&gt;0, K801/J801, 0)</f>
        <v>0</v>
      </c>
      <c r="M801" s="16">
        <v>16500.0</v>
      </c>
      <c r="N801" s="16"/>
      <c r="O801" s="16">
        <f>M801-N801</f>
        <v>16500</v>
      </c>
      <c r="P801" s="11" t="s">
        <v>42</v>
      </c>
      <c r="Q801" s="11" t="s">
        <v>43</v>
      </c>
      <c r="R801" s="11" t="s">
        <v>44</v>
      </c>
      <c r="S801" s="9" t="s">
        <v>2070</v>
      </c>
      <c r="T801" s="9" t="s">
        <v>44</v>
      </c>
    </row>
    <row r="802" spans="1:20">
      <c r="A802" s="10">
        <v>795</v>
      </c>
      <c r="B802" s="10" t="s">
        <v>1100</v>
      </c>
      <c r="C802" s="10" t="s">
        <v>1085</v>
      </c>
      <c r="D802" s="10" t="s">
        <v>655</v>
      </c>
      <c r="E802" s="10" t="s">
        <v>34</v>
      </c>
      <c r="F802" s="10" t="s">
        <v>35</v>
      </c>
      <c r="G802" s="8" t="s">
        <v>41</v>
      </c>
      <c r="H802" s="12">
        <v>1</v>
      </c>
      <c r="I802" s="12">
        <v>2</v>
      </c>
      <c r="J802" s="15">
        <v>16000.0</v>
      </c>
      <c r="K802" s="15"/>
      <c r="L802" s="17">
        <f>IF(J802&gt;0, K802/J802, 0)</f>
        <v>0</v>
      </c>
      <c r="M802" s="15">
        <v>16000.0</v>
      </c>
      <c r="N802" s="15"/>
      <c r="O802" s="15">
        <f>M802-N802</f>
        <v>16000</v>
      </c>
      <c r="P802" s="10" t="s">
        <v>42</v>
      </c>
      <c r="Q802" s="10" t="s">
        <v>43</v>
      </c>
      <c r="R802" s="10" t="s">
        <v>44</v>
      </c>
      <c r="S802" s="8" t="s">
        <v>2132</v>
      </c>
      <c r="T802" s="8" t="s">
        <v>44</v>
      </c>
    </row>
    <row r="803" spans="1:20">
      <c r="A803" s="11">
        <v>796</v>
      </c>
      <c r="B803" s="11" t="s">
        <v>1101</v>
      </c>
      <c r="C803" s="11" t="s">
        <v>1085</v>
      </c>
      <c r="D803" s="11" t="s">
        <v>655</v>
      </c>
      <c r="E803" s="11" t="s">
        <v>34</v>
      </c>
      <c r="F803" s="11" t="s">
        <v>35</v>
      </c>
      <c r="G803" s="9" t="s">
        <v>41</v>
      </c>
      <c r="H803" s="13">
        <v>1</v>
      </c>
      <c r="I803" s="13">
        <v>1</v>
      </c>
      <c r="J803" s="16">
        <v>8500.0</v>
      </c>
      <c r="K803" s="16"/>
      <c r="L803" s="18">
        <f>IF(J803&gt;0, K803/J803, 0)</f>
        <v>0</v>
      </c>
      <c r="M803" s="16">
        <v>8500.0</v>
      </c>
      <c r="N803" s="16"/>
      <c r="O803" s="16">
        <f>M803-N803</f>
        <v>8500</v>
      </c>
      <c r="P803" s="11" t="s">
        <v>42</v>
      </c>
      <c r="Q803" s="11" t="s">
        <v>43</v>
      </c>
      <c r="R803" s="11" t="s">
        <v>44</v>
      </c>
      <c r="S803" s="9" t="s">
        <v>2119</v>
      </c>
      <c r="T803" s="9" t="s">
        <v>44</v>
      </c>
    </row>
    <row r="804" spans="1:20">
      <c r="A804" s="10">
        <v>797</v>
      </c>
      <c r="B804" s="10" t="s">
        <v>1102</v>
      </c>
      <c r="C804" s="10" t="s">
        <v>1085</v>
      </c>
      <c r="D804" s="10" t="s">
        <v>655</v>
      </c>
      <c r="E804" s="10" t="s">
        <v>34</v>
      </c>
      <c r="F804" s="10" t="s">
        <v>35</v>
      </c>
      <c r="G804" s="8" t="s">
        <v>41</v>
      </c>
      <c r="H804" s="12">
        <v>1</v>
      </c>
      <c r="I804" s="12">
        <v>1</v>
      </c>
      <c r="J804" s="15">
        <v>9000.0</v>
      </c>
      <c r="K804" s="15"/>
      <c r="L804" s="17">
        <f>IF(J804&gt;0, K804/J804, 0)</f>
        <v>0</v>
      </c>
      <c r="M804" s="15">
        <v>9000.0</v>
      </c>
      <c r="N804" s="15"/>
      <c r="O804" s="15">
        <f>M804-N804</f>
        <v>9000</v>
      </c>
      <c r="P804" s="10" t="s">
        <v>42</v>
      </c>
      <c r="Q804" s="10" t="s">
        <v>43</v>
      </c>
      <c r="R804" s="10" t="s">
        <v>44</v>
      </c>
      <c r="S804" s="8" t="s">
        <v>2074</v>
      </c>
      <c r="T804" s="8" t="s">
        <v>44</v>
      </c>
    </row>
    <row r="805" spans="1:20">
      <c r="A805" s="11">
        <v>798</v>
      </c>
      <c r="B805" s="11" t="s">
        <v>1103</v>
      </c>
      <c r="C805" s="11" t="s">
        <v>1085</v>
      </c>
      <c r="D805" s="11" t="s">
        <v>655</v>
      </c>
      <c r="E805" s="11" t="s">
        <v>34</v>
      </c>
      <c r="F805" s="11" t="s">
        <v>35</v>
      </c>
      <c r="G805" s="9" t="s">
        <v>41</v>
      </c>
      <c r="H805" s="13">
        <v>1</v>
      </c>
      <c r="I805" s="13">
        <v>1</v>
      </c>
      <c r="J805" s="16">
        <v>7000.0</v>
      </c>
      <c r="K805" s="16"/>
      <c r="L805" s="18">
        <f>IF(J805&gt;0, K805/J805, 0)</f>
        <v>0</v>
      </c>
      <c r="M805" s="16">
        <v>7000.0</v>
      </c>
      <c r="N805" s="16"/>
      <c r="O805" s="16">
        <f>M805-N805</f>
        <v>7000</v>
      </c>
      <c r="P805" s="11" t="s">
        <v>42</v>
      </c>
      <c r="Q805" s="11" t="s">
        <v>43</v>
      </c>
      <c r="R805" s="11" t="s">
        <v>44</v>
      </c>
      <c r="S805" s="9" t="s">
        <v>2055</v>
      </c>
      <c r="T805" s="9" t="s">
        <v>44</v>
      </c>
    </row>
    <row r="806" spans="1:20">
      <c r="A806" s="10">
        <v>799</v>
      </c>
      <c r="B806" s="10" t="s">
        <v>1104</v>
      </c>
      <c r="C806" s="10" t="s">
        <v>1085</v>
      </c>
      <c r="D806" s="10" t="s">
        <v>655</v>
      </c>
      <c r="E806" s="10" t="s">
        <v>34</v>
      </c>
      <c r="F806" s="10" t="s">
        <v>35</v>
      </c>
      <c r="G806" s="8" t="s">
        <v>41</v>
      </c>
      <c r="H806" s="12">
        <v>1</v>
      </c>
      <c r="I806" s="12">
        <v>1</v>
      </c>
      <c r="J806" s="15">
        <v>8000.0</v>
      </c>
      <c r="K806" s="15"/>
      <c r="L806" s="17">
        <f>IF(J806&gt;0, K806/J806, 0)</f>
        <v>0</v>
      </c>
      <c r="M806" s="15">
        <v>8000.0</v>
      </c>
      <c r="N806" s="15"/>
      <c r="O806" s="15">
        <f>M806-N806</f>
        <v>8000</v>
      </c>
      <c r="P806" s="10" t="s">
        <v>42</v>
      </c>
      <c r="Q806" s="10" t="s">
        <v>43</v>
      </c>
      <c r="R806" s="10" t="s">
        <v>44</v>
      </c>
      <c r="S806" s="8" t="s">
        <v>2068</v>
      </c>
      <c r="T806" s="8" t="s">
        <v>44</v>
      </c>
    </row>
    <row r="807" spans="1:20">
      <c r="A807" s="11">
        <v>800</v>
      </c>
      <c r="B807" s="11" t="s">
        <v>1105</v>
      </c>
      <c r="C807" s="11" t="s">
        <v>1085</v>
      </c>
      <c r="D807" s="11" t="s">
        <v>655</v>
      </c>
      <c r="E807" s="11" t="s">
        <v>34</v>
      </c>
      <c r="F807" s="11" t="s">
        <v>35</v>
      </c>
      <c r="G807" s="9" t="s">
        <v>41</v>
      </c>
      <c r="H807" s="13">
        <v>1</v>
      </c>
      <c r="I807" s="13">
        <v>1</v>
      </c>
      <c r="J807" s="16">
        <v>9000.0</v>
      </c>
      <c r="K807" s="16"/>
      <c r="L807" s="18">
        <f>IF(J807&gt;0, K807/J807, 0)</f>
        <v>0</v>
      </c>
      <c r="M807" s="16">
        <v>9000.0</v>
      </c>
      <c r="N807" s="16"/>
      <c r="O807" s="16">
        <f>M807-N807</f>
        <v>9000</v>
      </c>
      <c r="P807" s="11" t="s">
        <v>42</v>
      </c>
      <c r="Q807" s="11" t="s">
        <v>43</v>
      </c>
      <c r="R807" s="11" t="s">
        <v>44</v>
      </c>
      <c r="S807" s="9" t="s">
        <v>2148</v>
      </c>
      <c r="T807" s="9" t="s">
        <v>44</v>
      </c>
    </row>
    <row r="808" spans="1:20">
      <c r="A808" s="10">
        <v>801</v>
      </c>
      <c r="B808" s="10" t="s">
        <v>1106</v>
      </c>
      <c r="C808" s="10" t="s">
        <v>1085</v>
      </c>
      <c r="D808" s="10" t="s">
        <v>655</v>
      </c>
      <c r="E808" s="10" t="s">
        <v>34</v>
      </c>
      <c r="F808" s="10" t="s">
        <v>35</v>
      </c>
      <c r="G808" s="8" t="s">
        <v>41</v>
      </c>
      <c r="H808" s="12">
        <v>1</v>
      </c>
      <c r="I808" s="12">
        <v>1</v>
      </c>
      <c r="J808" s="15">
        <v>8000.0</v>
      </c>
      <c r="K808" s="15"/>
      <c r="L808" s="17">
        <f>IF(J808&gt;0, K808/J808, 0)</f>
        <v>0</v>
      </c>
      <c r="M808" s="15">
        <v>8000.0</v>
      </c>
      <c r="N808" s="15"/>
      <c r="O808" s="15">
        <f>M808-N808</f>
        <v>8000</v>
      </c>
      <c r="P808" s="10" t="s">
        <v>42</v>
      </c>
      <c r="Q808" s="10" t="s">
        <v>43</v>
      </c>
      <c r="R808" s="10" t="s">
        <v>44</v>
      </c>
      <c r="S808" s="8" t="s">
        <v>2068</v>
      </c>
      <c r="T808" s="8" t="s">
        <v>44</v>
      </c>
    </row>
    <row r="809" spans="1:20">
      <c r="A809" s="11">
        <v>802</v>
      </c>
      <c r="B809" s="11" t="s">
        <v>1107</v>
      </c>
      <c r="C809" s="11" t="s">
        <v>1085</v>
      </c>
      <c r="D809" s="11" t="s">
        <v>655</v>
      </c>
      <c r="E809" s="11" t="s">
        <v>34</v>
      </c>
      <c r="F809" s="11" t="s">
        <v>35</v>
      </c>
      <c r="G809" s="9" t="s">
        <v>41</v>
      </c>
      <c r="H809" s="13">
        <v>1</v>
      </c>
      <c r="I809" s="13">
        <v>1</v>
      </c>
      <c r="J809" s="16">
        <v>16000.0</v>
      </c>
      <c r="K809" s="16"/>
      <c r="L809" s="18">
        <f>IF(J809&gt;0, K809/J809, 0)</f>
        <v>0</v>
      </c>
      <c r="M809" s="16">
        <v>16000.0</v>
      </c>
      <c r="N809" s="16"/>
      <c r="O809" s="16">
        <f>M809-N809</f>
        <v>16000</v>
      </c>
      <c r="P809" s="11" t="s">
        <v>42</v>
      </c>
      <c r="Q809" s="11" t="s">
        <v>43</v>
      </c>
      <c r="R809" s="11" t="s">
        <v>44</v>
      </c>
      <c r="S809" s="9" t="s">
        <v>2078</v>
      </c>
      <c r="T809" s="9" t="s">
        <v>44</v>
      </c>
    </row>
    <row r="810" spans="1:20">
      <c r="A810" s="10">
        <v>803</v>
      </c>
      <c r="B810" s="10" t="s">
        <v>1108</v>
      </c>
      <c r="C810" s="10" t="s">
        <v>1085</v>
      </c>
      <c r="D810" s="10" t="s">
        <v>655</v>
      </c>
      <c r="E810" s="10" t="s">
        <v>34</v>
      </c>
      <c r="F810" s="10" t="s">
        <v>35</v>
      </c>
      <c r="G810" s="8" t="s">
        <v>41</v>
      </c>
      <c r="H810" s="12">
        <v>1</v>
      </c>
      <c r="I810" s="12">
        <v>1</v>
      </c>
      <c r="J810" s="15">
        <v>8000.0</v>
      </c>
      <c r="K810" s="15"/>
      <c r="L810" s="17">
        <f>IF(J810&gt;0, K810/J810, 0)</f>
        <v>0</v>
      </c>
      <c r="M810" s="15">
        <v>8000.0</v>
      </c>
      <c r="N810" s="15"/>
      <c r="O810" s="15">
        <f>M810-N810</f>
        <v>8000</v>
      </c>
      <c r="P810" s="10" t="s">
        <v>42</v>
      </c>
      <c r="Q810" s="10" t="s">
        <v>43</v>
      </c>
      <c r="R810" s="10" t="s">
        <v>44</v>
      </c>
      <c r="S810" s="8" t="s">
        <v>2062</v>
      </c>
      <c r="T810" s="8" t="s">
        <v>44</v>
      </c>
    </row>
    <row r="811" spans="1:20">
      <c r="A811" s="11">
        <v>804</v>
      </c>
      <c r="B811" s="11" t="s">
        <v>1109</v>
      </c>
      <c r="C811" s="11" t="s">
        <v>1085</v>
      </c>
      <c r="D811" s="11" t="s">
        <v>655</v>
      </c>
      <c r="E811" s="11" t="s">
        <v>34</v>
      </c>
      <c r="F811" s="11" t="s">
        <v>35</v>
      </c>
      <c r="G811" s="9" t="s">
        <v>41</v>
      </c>
      <c r="H811" s="13">
        <v>1</v>
      </c>
      <c r="I811" s="13">
        <v>1</v>
      </c>
      <c r="J811" s="16">
        <v>7000.0</v>
      </c>
      <c r="K811" s="16"/>
      <c r="L811" s="18">
        <f>IF(J811&gt;0, K811/J811, 0)</f>
        <v>0</v>
      </c>
      <c r="M811" s="16">
        <v>7000.0</v>
      </c>
      <c r="N811" s="16"/>
      <c r="O811" s="16">
        <f>M811-N811</f>
        <v>7000</v>
      </c>
      <c r="P811" s="11" t="s">
        <v>42</v>
      </c>
      <c r="Q811" s="11" t="s">
        <v>43</v>
      </c>
      <c r="R811" s="11" t="s">
        <v>44</v>
      </c>
      <c r="S811" s="9" t="s">
        <v>2101</v>
      </c>
      <c r="T811" s="9" t="s">
        <v>44</v>
      </c>
    </row>
    <row r="812" spans="1:20">
      <c r="A812" s="10">
        <v>805</v>
      </c>
      <c r="B812" s="10" t="s">
        <v>1110</v>
      </c>
      <c r="C812" s="10" t="s">
        <v>1085</v>
      </c>
      <c r="D812" s="10" t="s">
        <v>655</v>
      </c>
      <c r="E812" s="10" t="s">
        <v>34</v>
      </c>
      <c r="F812" s="10" t="s">
        <v>35</v>
      </c>
      <c r="G812" s="8" t="s">
        <v>41</v>
      </c>
      <c r="H812" s="12">
        <v>1</v>
      </c>
      <c r="I812" s="12">
        <v>1</v>
      </c>
      <c r="J812" s="15">
        <v>18000.0</v>
      </c>
      <c r="K812" s="15"/>
      <c r="L812" s="17">
        <f>IF(J812&gt;0, K812/J812, 0)</f>
        <v>0</v>
      </c>
      <c r="M812" s="15">
        <v>18000.0</v>
      </c>
      <c r="N812" s="15"/>
      <c r="O812" s="15">
        <f>M812-N812</f>
        <v>18000</v>
      </c>
      <c r="P812" s="10" t="s">
        <v>42</v>
      </c>
      <c r="Q812" s="10" t="s">
        <v>43</v>
      </c>
      <c r="R812" s="10" t="s">
        <v>44</v>
      </c>
      <c r="S812" s="8" t="s">
        <v>2118</v>
      </c>
      <c r="T812" s="8" t="s">
        <v>44</v>
      </c>
    </row>
    <row r="813" spans="1:20">
      <c r="A813" s="11">
        <v>806</v>
      </c>
      <c r="B813" s="11" t="s">
        <v>1111</v>
      </c>
      <c r="C813" s="11" t="s">
        <v>1085</v>
      </c>
      <c r="D813" s="11" t="s">
        <v>655</v>
      </c>
      <c r="E813" s="11" t="s">
        <v>34</v>
      </c>
      <c r="F813" s="11" t="s">
        <v>35</v>
      </c>
      <c r="G813" s="9" t="s">
        <v>41</v>
      </c>
      <c r="H813" s="13">
        <v>1</v>
      </c>
      <c r="I813" s="13">
        <v>1</v>
      </c>
      <c r="J813" s="16">
        <v>8000.0</v>
      </c>
      <c r="K813" s="16"/>
      <c r="L813" s="18">
        <f>IF(J813&gt;0, K813/J813, 0)</f>
        <v>0</v>
      </c>
      <c r="M813" s="16">
        <v>8000.0</v>
      </c>
      <c r="N813" s="16"/>
      <c r="O813" s="16">
        <f>M813-N813</f>
        <v>8000</v>
      </c>
      <c r="P813" s="11" t="s">
        <v>42</v>
      </c>
      <c r="Q813" s="11" t="s">
        <v>43</v>
      </c>
      <c r="R813" s="11" t="s">
        <v>44</v>
      </c>
      <c r="S813" s="9" t="s">
        <v>2062</v>
      </c>
      <c r="T813" s="9" t="s">
        <v>44</v>
      </c>
    </row>
    <row r="814" spans="1:20">
      <c r="A814" s="10">
        <v>807</v>
      </c>
      <c r="B814" s="10" t="s">
        <v>1112</v>
      </c>
      <c r="C814" s="10" t="s">
        <v>1085</v>
      </c>
      <c r="D814" s="10" t="s">
        <v>655</v>
      </c>
      <c r="E814" s="10" t="s">
        <v>34</v>
      </c>
      <c r="F814" s="10" t="s">
        <v>35</v>
      </c>
      <c r="G814" s="8" t="s">
        <v>41</v>
      </c>
      <c r="H814" s="12">
        <v>1</v>
      </c>
      <c r="I814" s="12">
        <v>2</v>
      </c>
      <c r="J814" s="15">
        <v>14000.0</v>
      </c>
      <c r="K814" s="15"/>
      <c r="L814" s="17">
        <f>IF(J814&gt;0, K814/J814, 0)</f>
        <v>0</v>
      </c>
      <c r="M814" s="15">
        <v>14000.0</v>
      </c>
      <c r="N814" s="15"/>
      <c r="O814" s="15">
        <f>M814-N814</f>
        <v>14000</v>
      </c>
      <c r="P814" s="10" t="s">
        <v>42</v>
      </c>
      <c r="Q814" s="10" t="s">
        <v>43</v>
      </c>
      <c r="R814" s="10" t="s">
        <v>44</v>
      </c>
      <c r="S814" s="8" t="s">
        <v>2140</v>
      </c>
      <c r="T814" s="8" t="s">
        <v>44</v>
      </c>
    </row>
    <row r="815" spans="1:20">
      <c r="A815" s="11">
        <v>808</v>
      </c>
      <c r="B815" s="11" t="s">
        <v>1113</v>
      </c>
      <c r="C815" s="11" t="s">
        <v>1085</v>
      </c>
      <c r="D815" s="11" t="s">
        <v>655</v>
      </c>
      <c r="E815" s="11" t="s">
        <v>34</v>
      </c>
      <c r="F815" s="11" t="s">
        <v>35</v>
      </c>
      <c r="G815" s="9" t="s">
        <v>41</v>
      </c>
      <c r="H815" s="13">
        <v>1</v>
      </c>
      <c r="I815" s="13">
        <v>1</v>
      </c>
      <c r="J815" s="16">
        <v>18000.0</v>
      </c>
      <c r="K815" s="16"/>
      <c r="L815" s="18">
        <f>IF(J815&gt;0, K815/J815, 0)</f>
        <v>0</v>
      </c>
      <c r="M815" s="16">
        <v>18000.0</v>
      </c>
      <c r="N815" s="16"/>
      <c r="O815" s="16">
        <f>M815-N815</f>
        <v>18000</v>
      </c>
      <c r="P815" s="11" t="s">
        <v>42</v>
      </c>
      <c r="Q815" s="11" t="s">
        <v>43</v>
      </c>
      <c r="R815" s="11" t="s">
        <v>44</v>
      </c>
      <c r="S815" s="9" t="s">
        <v>2090</v>
      </c>
      <c r="T815" s="9" t="s">
        <v>44</v>
      </c>
    </row>
    <row r="816" spans="1:20">
      <c r="A816" s="10">
        <v>809</v>
      </c>
      <c r="B816" s="10" t="s">
        <v>1114</v>
      </c>
      <c r="C816" s="10" t="s">
        <v>1085</v>
      </c>
      <c r="D816" s="10" t="s">
        <v>655</v>
      </c>
      <c r="E816" s="10" t="s">
        <v>34</v>
      </c>
      <c r="F816" s="10" t="s">
        <v>35</v>
      </c>
      <c r="G816" s="8" t="s">
        <v>41</v>
      </c>
      <c r="H816" s="12">
        <v>1</v>
      </c>
      <c r="I816" s="12">
        <v>1</v>
      </c>
      <c r="J816" s="15">
        <v>8000.0</v>
      </c>
      <c r="K816" s="15"/>
      <c r="L816" s="17">
        <f>IF(J816&gt;0, K816/J816, 0)</f>
        <v>0</v>
      </c>
      <c r="M816" s="15">
        <v>8000.0</v>
      </c>
      <c r="N816" s="15"/>
      <c r="O816" s="15">
        <f>M816-N816</f>
        <v>8000</v>
      </c>
      <c r="P816" s="10" t="s">
        <v>42</v>
      </c>
      <c r="Q816" s="10" t="s">
        <v>43</v>
      </c>
      <c r="R816" s="10" t="s">
        <v>44</v>
      </c>
      <c r="S816" s="8" t="s">
        <v>2062</v>
      </c>
      <c r="T816" s="8" t="s">
        <v>44</v>
      </c>
    </row>
    <row r="817" spans="1:20">
      <c r="A817" s="11">
        <v>810</v>
      </c>
      <c r="B817" s="11" t="s">
        <v>1115</v>
      </c>
      <c r="C817" s="11" t="s">
        <v>1085</v>
      </c>
      <c r="D817" s="11" t="s">
        <v>655</v>
      </c>
      <c r="E817" s="11" t="s">
        <v>34</v>
      </c>
      <c r="F817" s="11" t="s">
        <v>35</v>
      </c>
      <c r="G817" s="9" t="s">
        <v>41</v>
      </c>
      <c r="H817" s="13">
        <v>1</v>
      </c>
      <c r="I817" s="13">
        <v>1</v>
      </c>
      <c r="J817" s="16">
        <v>9000.0</v>
      </c>
      <c r="K817" s="16"/>
      <c r="L817" s="18">
        <f>IF(J817&gt;0, K817/J817, 0)</f>
        <v>0</v>
      </c>
      <c r="M817" s="16">
        <v>9000.0</v>
      </c>
      <c r="N817" s="16"/>
      <c r="O817" s="16">
        <f>M817-N817</f>
        <v>9000</v>
      </c>
      <c r="P817" s="11" t="s">
        <v>42</v>
      </c>
      <c r="Q817" s="11" t="s">
        <v>43</v>
      </c>
      <c r="R817" s="11" t="s">
        <v>44</v>
      </c>
      <c r="S817" s="9" t="s">
        <v>2045</v>
      </c>
      <c r="T817" s="9" t="s">
        <v>44</v>
      </c>
    </row>
    <row r="818" spans="1:20">
      <c r="A818" s="10">
        <v>811</v>
      </c>
      <c r="B818" s="10" t="s">
        <v>1116</v>
      </c>
      <c r="C818" s="10" t="s">
        <v>1085</v>
      </c>
      <c r="D818" s="10" t="s">
        <v>655</v>
      </c>
      <c r="E818" s="10" t="s">
        <v>34</v>
      </c>
      <c r="F818" s="10" t="s">
        <v>35</v>
      </c>
      <c r="G818" s="8" t="s">
        <v>41</v>
      </c>
      <c r="H818" s="12">
        <v>1</v>
      </c>
      <c r="I818" s="12">
        <v>2</v>
      </c>
      <c r="J818" s="15">
        <v>36000.0</v>
      </c>
      <c r="K818" s="15"/>
      <c r="L818" s="17">
        <f>IF(J818&gt;0, K818/J818, 0)</f>
        <v>0</v>
      </c>
      <c r="M818" s="15">
        <v>36000.0</v>
      </c>
      <c r="N818" s="15"/>
      <c r="O818" s="15">
        <f>M818-N818</f>
        <v>36000</v>
      </c>
      <c r="P818" s="10" t="s">
        <v>42</v>
      </c>
      <c r="Q818" s="10" t="s">
        <v>43</v>
      </c>
      <c r="R818" s="10" t="s">
        <v>44</v>
      </c>
      <c r="S818" s="8" t="s">
        <v>2195</v>
      </c>
      <c r="T818" s="8" t="s">
        <v>44</v>
      </c>
    </row>
    <row r="819" spans="1:20">
      <c r="A819" s="11">
        <v>812</v>
      </c>
      <c r="B819" s="11" t="s">
        <v>1117</v>
      </c>
      <c r="C819" s="11" t="s">
        <v>1085</v>
      </c>
      <c r="D819" s="11" t="s">
        <v>655</v>
      </c>
      <c r="E819" s="11" t="s">
        <v>34</v>
      </c>
      <c r="F819" s="11" t="s">
        <v>35</v>
      </c>
      <c r="G819" s="9" t="s">
        <v>41</v>
      </c>
      <c r="H819" s="13">
        <v>1</v>
      </c>
      <c r="I819" s="13">
        <v>1</v>
      </c>
      <c r="J819" s="16">
        <v>18000.0</v>
      </c>
      <c r="K819" s="16"/>
      <c r="L819" s="18">
        <f>IF(J819&gt;0, K819/J819, 0)</f>
        <v>0</v>
      </c>
      <c r="M819" s="16">
        <v>18000.0</v>
      </c>
      <c r="N819" s="16"/>
      <c r="O819" s="16">
        <f>M819-N819</f>
        <v>18000</v>
      </c>
      <c r="P819" s="11" t="s">
        <v>42</v>
      </c>
      <c r="Q819" s="11" t="s">
        <v>43</v>
      </c>
      <c r="R819" s="11" t="s">
        <v>44</v>
      </c>
      <c r="S819" s="9" t="s">
        <v>2117</v>
      </c>
      <c r="T819" s="9" t="s">
        <v>44</v>
      </c>
    </row>
    <row r="820" spans="1:20">
      <c r="A820" s="10">
        <v>813</v>
      </c>
      <c r="B820" s="10" t="s">
        <v>1118</v>
      </c>
      <c r="C820" s="10" t="s">
        <v>1085</v>
      </c>
      <c r="D820" s="10" t="s">
        <v>655</v>
      </c>
      <c r="E820" s="10" t="s">
        <v>34</v>
      </c>
      <c r="F820" s="10" t="s">
        <v>35</v>
      </c>
      <c r="G820" s="8" t="s">
        <v>41</v>
      </c>
      <c r="H820" s="12">
        <v>1</v>
      </c>
      <c r="I820" s="12">
        <v>1</v>
      </c>
      <c r="J820" s="15">
        <v>9000.0</v>
      </c>
      <c r="K820" s="15"/>
      <c r="L820" s="17">
        <f>IF(J820&gt;0, K820/J820, 0)</f>
        <v>0</v>
      </c>
      <c r="M820" s="15">
        <v>9000.0</v>
      </c>
      <c r="N820" s="15"/>
      <c r="O820" s="15">
        <f>M820-N820</f>
        <v>9000</v>
      </c>
      <c r="P820" s="10" t="s">
        <v>42</v>
      </c>
      <c r="Q820" s="10" t="s">
        <v>43</v>
      </c>
      <c r="R820" s="10" t="s">
        <v>44</v>
      </c>
      <c r="S820" s="8" t="s">
        <v>2046</v>
      </c>
      <c r="T820" s="8" t="s">
        <v>44</v>
      </c>
    </row>
    <row r="821" spans="1:20">
      <c r="A821" s="11">
        <v>814</v>
      </c>
      <c r="B821" s="11" t="s">
        <v>1119</v>
      </c>
      <c r="C821" s="11" t="s">
        <v>1085</v>
      </c>
      <c r="D821" s="11" t="s">
        <v>655</v>
      </c>
      <c r="E821" s="11" t="s">
        <v>34</v>
      </c>
      <c r="F821" s="11" t="s">
        <v>35</v>
      </c>
      <c r="G821" s="9" t="s">
        <v>41</v>
      </c>
      <c r="H821" s="13">
        <v>1</v>
      </c>
      <c r="I821" s="13">
        <v>1</v>
      </c>
      <c r="J821" s="16">
        <v>18000.0</v>
      </c>
      <c r="K821" s="16"/>
      <c r="L821" s="18">
        <f>IF(J821&gt;0, K821/J821, 0)</f>
        <v>0</v>
      </c>
      <c r="M821" s="16">
        <v>18000.0</v>
      </c>
      <c r="N821" s="16"/>
      <c r="O821" s="16">
        <f>M821-N821</f>
        <v>18000</v>
      </c>
      <c r="P821" s="11" t="s">
        <v>42</v>
      </c>
      <c r="Q821" s="11" t="s">
        <v>43</v>
      </c>
      <c r="R821" s="11" t="s">
        <v>44</v>
      </c>
      <c r="S821" s="9" t="s">
        <v>2117</v>
      </c>
      <c r="T821" s="9" t="s">
        <v>44</v>
      </c>
    </row>
    <row r="822" spans="1:20">
      <c r="A822" s="10">
        <v>815</v>
      </c>
      <c r="B822" s="10" t="s">
        <v>1120</v>
      </c>
      <c r="C822" s="10" t="s">
        <v>1085</v>
      </c>
      <c r="D822" s="10" t="s">
        <v>655</v>
      </c>
      <c r="E822" s="10" t="s">
        <v>34</v>
      </c>
      <c r="F822" s="10" t="s">
        <v>35</v>
      </c>
      <c r="G822" s="8" t="s">
        <v>41</v>
      </c>
      <c r="H822" s="12">
        <v>1</v>
      </c>
      <c r="I822" s="12">
        <v>1</v>
      </c>
      <c r="J822" s="15">
        <v>8000.0</v>
      </c>
      <c r="K822" s="15"/>
      <c r="L822" s="17">
        <f>IF(J822&gt;0, K822/J822, 0)</f>
        <v>0</v>
      </c>
      <c r="M822" s="15">
        <v>8000.0</v>
      </c>
      <c r="N822" s="15"/>
      <c r="O822" s="15">
        <f>M822-N822</f>
        <v>8000</v>
      </c>
      <c r="P822" s="10" t="s">
        <v>42</v>
      </c>
      <c r="Q822" s="10" t="s">
        <v>43</v>
      </c>
      <c r="R822" s="10" t="s">
        <v>44</v>
      </c>
      <c r="S822" s="8" t="s">
        <v>2028</v>
      </c>
      <c r="T822" s="8" t="s">
        <v>44</v>
      </c>
    </row>
    <row r="823" spans="1:20">
      <c r="A823" s="11">
        <v>816</v>
      </c>
      <c r="B823" s="11" t="s">
        <v>1121</v>
      </c>
      <c r="C823" s="11" t="s">
        <v>1085</v>
      </c>
      <c r="D823" s="11" t="s">
        <v>655</v>
      </c>
      <c r="E823" s="11" t="s">
        <v>70</v>
      </c>
      <c r="F823" s="11" t="s">
        <v>35</v>
      </c>
      <c r="G823" s="9" t="s">
        <v>41</v>
      </c>
      <c r="H823" s="13">
        <v>1</v>
      </c>
      <c r="I823" s="13">
        <v>1</v>
      </c>
      <c r="J823" s="16">
        <v>10000.0</v>
      </c>
      <c r="K823" s="16"/>
      <c r="L823" s="18">
        <f>IF(J823&gt;0, K823/J823, 0)</f>
        <v>0</v>
      </c>
      <c r="M823" s="16">
        <v>10000.0</v>
      </c>
      <c r="N823" s="16"/>
      <c r="O823" s="16">
        <f>M823-N823</f>
        <v>10000</v>
      </c>
      <c r="P823" s="11" t="s">
        <v>42</v>
      </c>
      <c r="Q823" s="11" t="s">
        <v>73</v>
      </c>
      <c r="R823" s="11" t="s">
        <v>44</v>
      </c>
      <c r="S823" s="9" t="s">
        <v>2020</v>
      </c>
      <c r="T823" s="9" t="s">
        <v>44</v>
      </c>
    </row>
    <row r="824" spans="1:20">
      <c r="A824" s="10">
        <v>817</v>
      </c>
      <c r="B824" s="10" t="s">
        <v>1122</v>
      </c>
      <c r="C824" s="10" t="s">
        <v>1085</v>
      </c>
      <c r="D824" s="10" t="s">
        <v>655</v>
      </c>
      <c r="E824" s="10" t="s">
        <v>70</v>
      </c>
      <c r="F824" s="10" t="s">
        <v>35</v>
      </c>
      <c r="G824" s="8" t="s">
        <v>41</v>
      </c>
      <c r="H824" s="12">
        <v>1</v>
      </c>
      <c r="I824" s="12">
        <v>1</v>
      </c>
      <c r="J824" s="15">
        <v>18000.0</v>
      </c>
      <c r="K824" s="15"/>
      <c r="L824" s="17">
        <f>IF(J824&gt;0, K824/J824, 0)</f>
        <v>0</v>
      </c>
      <c r="M824" s="15">
        <v>18000.0</v>
      </c>
      <c r="N824" s="15"/>
      <c r="O824" s="15">
        <f>M824-N824</f>
        <v>18000</v>
      </c>
      <c r="P824" s="10" t="s">
        <v>42</v>
      </c>
      <c r="Q824" s="10" t="s">
        <v>73</v>
      </c>
      <c r="R824" s="10" t="s">
        <v>44</v>
      </c>
      <c r="S824" s="8" t="s">
        <v>2039</v>
      </c>
      <c r="T824" s="8" t="s">
        <v>44</v>
      </c>
    </row>
    <row r="825" spans="1:20">
      <c r="A825" s="11">
        <v>818</v>
      </c>
      <c r="B825" s="11" t="s">
        <v>1123</v>
      </c>
      <c r="C825" s="11" t="s">
        <v>1085</v>
      </c>
      <c r="D825" s="11" t="s">
        <v>655</v>
      </c>
      <c r="E825" s="11" t="s">
        <v>34</v>
      </c>
      <c r="F825" s="11" t="s">
        <v>35</v>
      </c>
      <c r="G825" s="9" t="s">
        <v>41</v>
      </c>
      <c r="H825" s="13">
        <v>1</v>
      </c>
      <c r="I825" s="13">
        <v>1</v>
      </c>
      <c r="J825" s="16">
        <v>7500.0</v>
      </c>
      <c r="K825" s="16"/>
      <c r="L825" s="18">
        <f>IF(J825&gt;0, K825/J825, 0)</f>
        <v>0</v>
      </c>
      <c r="M825" s="16">
        <v>7500.0</v>
      </c>
      <c r="N825" s="16"/>
      <c r="O825" s="16">
        <f>M825-N825</f>
        <v>7500</v>
      </c>
      <c r="P825" s="11" t="s">
        <v>42</v>
      </c>
      <c r="Q825" s="11" t="s">
        <v>43</v>
      </c>
      <c r="R825" s="11" t="s">
        <v>44</v>
      </c>
      <c r="S825" s="9" t="s">
        <v>2100</v>
      </c>
      <c r="T825" s="9" t="s">
        <v>44</v>
      </c>
    </row>
    <row r="826" spans="1:20">
      <c r="A826" s="10">
        <v>819</v>
      </c>
      <c r="B826" s="10" t="s">
        <v>1124</v>
      </c>
      <c r="C826" s="10" t="s">
        <v>1085</v>
      </c>
      <c r="D826" s="10" t="s">
        <v>655</v>
      </c>
      <c r="E826" s="10" t="s">
        <v>34</v>
      </c>
      <c r="F826" s="10" t="s">
        <v>35</v>
      </c>
      <c r="G826" s="8" t="s">
        <v>41</v>
      </c>
      <c r="H826" s="12">
        <v>1</v>
      </c>
      <c r="I826" s="12">
        <v>1</v>
      </c>
      <c r="J826" s="15">
        <v>8000.0</v>
      </c>
      <c r="K826" s="15"/>
      <c r="L826" s="17">
        <f>IF(J826&gt;0, K826/J826, 0)</f>
        <v>0</v>
      </c>
      <c r="M826" s="15">
        <v>8000.0</v>
      </c>
      <c r="N826" s="15"/>
      <c r="O826" s="15">
        <f>M826-N826</f>
        <v>8000</v>
      </c>
      <c r="P826" s="10" t="s">
        <v>42</v>
      </c>
      <c r="Q826" s="10" t="s">
        <v>43</v>
      </c>
      <c r="R826" s="10" t="s">
        <v>44</v>
      </c>
      <c r="S826" s="8" t="s">
        <v>2028</v>
      </c>
      <c r="T826" s="8" t="s">
        <v>44</v>
      </c>
    </row>
    <row r="827" spans="1:20">
      <c r="A827" s="11">
        <v>820</v>
      </c>
      <c r="B827" s="11" t="s">
        <v>1125</v>
      </c>
      <c r="C827" s="11" t="s">
        <v>1085</v>
      </c>
      <c r="D827" s="11" t="s">
        <v>655</v>
      </c>
      <c r="E827" s="11" t="s">
        <v>70</v>
      </c>
      <c r="F827" s="11" t="s">
        <v>35</v>
      </c>
      <c r="G827" s="9" t="s">
        <v>41</v>
      </c>
      <c r="H827" s="13">
        <v>1</v>
      </c>
      <c r="I827" s="13">
        <v>1</v>
      </c>
      <c r="J827" s="16">
        <v>10000.0</v>
      </c>
      <c r="K827" s="16"/>
      <c r="L827" s="18">
        <f>IF(J827&gt;0, K827/J827, 0)</f>
        <v>0</v>
      </c>
      <c r="M827" s="16">
        <v>10000.0</v>
      </c>
      <c r="N827" s="16"/>
      <c r="O827" s="16">
        <f>M827-N827</f>
        <v>10000</v>
      </c>
      <c r="P827" s="11" t="s">
        <v>42</v>
      </c>
      <c r="Q827" s="11" t="s">
        <v>73</v>
      </c>
      <c r="R827" s="11" t="s">
        <v>44</v>
      </c>
      <c r="S827" s="9" t="s">
        <v>2076</v>
      </c>
      <c r="T827" s="9" t="s">
        <v>44</v>
      </c>
    </row>
    <row r="828" spans="1:20">
      <c r="A828" s="10">
        <v>821</v>
      </c>
      <c r="B828" s="10" t="s">
        <v>1126</v>
      </c>
      <c r="C828" s="10" t="s">
        <v>1085</v>
      </c>
      <c r="D828" s="10" t="s">
        <v>655</v>
      </c>
      <c r="E828" s="10" t="s">
        <v>70</v>
      </c>
      <c r="F828" s="10" t="s">
        <v>35</v>
      </c>
      <c r="G828" s="8" t="s">
        <v>41</v>
      </c>
      <c r="H828" s="12">
        <v>1</v>
      </c>
      <c r="I828" s="12">
        <v>1</v>
      </c>
      <c r="J828" s="15">
        <v>8000.0</v>
      </c>
      <c r="K828" s="15"/>
      <c r="L828" s="17">
        <f>IF(J828&gt;0, K828/J828, 0)</f>
        <v>0</v>
      </c>
      <c r="M828" s="15">
        <v>8000.0</v>
      </c>
      <c r="N828" s="15"/>
      <c r="O828" s="15">
        <f>M828-N828</f>
        <v>8000</v>
      </c>
      <c r="P828" s="10" t="s">
        <v>42</v>
      </c>
      <c r="Q828" s="10" t="s">
        <v>73</v>
      </c>
      <c r="R828" s="10" t="s">
        <v>44</v>
      </c>
      <c r="S828" s="8" t="s">
        <v>2142</v>
      </c>
      <c r="T828" s="8" t="s">
        <v>44</v>
      </c>
    </row>
    <row r="829" spans="1:20">
      <c r="A829" s="11">
        <v>822</v>
      </c>
      <c r="B829" s="11" t="s">
        <v>1127</v>
      </c>
      <c r="C829" s="11" t="s">
        <v>1085</v>
      </c>
      <c r="D829" s="11" t="s">
        <v>655</v>
      </c>
      <c r="E829" s="11" t="s">
        <v>34</v>
      </c>
      <c r="F829" s="11" t="s">
        <v>35</v>
      </c>
      <c r="G829" s="9" t="s">
        <v>41</v>
      </c>
      <c r="H829" s="13">
        <v>1</v>
      </c>
      <c r="I829" s="13">
        <v>1</v>
      </c>
      <c r="J829" s="16">
        <v>8000.0</v>
      </c>
      <c r="K829" s="16"/>
      <c r="L829" s="18">
        <f>IF(J829&gt;0, K829/J829, 0)</f>
        <v>0</v>
      </c>
      <c r="M829" s="16">
        <v>8000.0</v>
      </c>
      <c r="N829" s="16"/>
      <c r="O829" s="16">
        <f>M829-N829</f>
        <v>8000</v>
      </c>
      <c r="P829" s="11" t="s">
        <v>42</v>
      </c>
      <c r="Q829" s="11" t="s">
        <v>43</v>
      </c>
      <c r="R829" s="11" t="s">
        <v>44</v>
      </c>
      <c r="S829" s="9" t="s">
        <v>2111</v>
      </c>
      <c r="T829" s="9" t="s">
        <v>44</v>
      </c>
    </row>
    <row r="830" spans="1:20">
      <c r="A830" s="10">
        <v>823</v>
      </c>
      <c r="B830" s="10" t="s">
        <v>1128</v>
      </c>
      <c r="C830" s="10" t="s">
        <v>1085</v>
      </c>
      <c r="D830" s="10" t="s">
        <v>655</v>
      </c>
      <c r="E830" s="10" t="s">
        <v>34</v>
      </c>
      <c r="F830" s="10" t="s">
        <v>35</v>
      </c>
      <c r="G830" s="8" t="s">
        <v>41</v>
      </c>
      <c r="H830" s="12">
        <v>1</v>
      </c>
      <c r="I830" s="12">
        <v>1</v>
      </c>
      <c r="J830" s="15">
        <v>16000.0</v>
      </c>
      <c r="K830" s="15"/>
      <c r="L830" s="17">
        <f>IF(J830&gt;0, K830/J830, 0)</f>
        <v>0</v>
      </c>
      <c r="M830" s="15">
        <v>16000.0</v>
      </c>
      <c r="N830" s="15"/>
      <c r="O830" s="15">
        <f>M830-N830</f>
        <v>16000</v>
      </c>
      <c r="P830" s="10" t="s">
        <v>42</v>
      </c>
      <c r="Q830" s="10" t="s">
        <v>43</v>
      </c>
      <c r="R830" s="10" t="s">
        <v>44</v>
      </c>
      <c r="S830" s="8" t="s">
        <v>2078</v>
      </c>
      <c r="T830" s="8" t="s">
        <v>44</v>
      </c>
    </row>
    <row r="831" spans="1:20">
      <c r="A831" s="11">
        <v>824</v>
      </c>
      <c r="B831" s="11" t="s">
        <v>1129</v>
      </c>
      <c r="C831" s="11" t="s">
        <v>1085</v>
      </c>
      <c r="D831" s="11" t="s">
        <v>655</v>
      </c>
      <c r="E831" s="11" t="s">
        <v>34</v>
      </c>
      <c r="F831" s="11" t="s">
        <v>35</v>
      </c>
      <c r="G831" s="9" t="s">
        <v>41</v>
      </c>
      <c r="H831" s="13">
        <v>1</v>
      </c>
      <c r="I831" s="13">
        <v>2</v>
      </c>
      <c r="J831" s="16">
        <v>14000.0</v>
      </c>
      <c r="K831" s="16"/>
      <c r="L831" s="18">
        <f>IF(J831&gt;0, K831/J831, 0)</f>
        <v>0</v>
      </c>
      <c r="M831" s="16">
        <v>14000.0</v>
      </c>
      <c r="N831" s="16"/>
      <c r="O831" s="16">
        <f>M831-N831</f>
        <v>14000</v>
      </c>
      <c r="P831" s="11" t="s">
        <v>42</v>
      </c>
      <c r="Q831" s="11" t="s">
        <v>43</v>
      </c>
      <c r="R831" s="11" t="s">
        <v>44</v>
      </c>
      <c r="S831" s="9" t="s">
        <v>2140</v>
      </c>
      <c r="T831" s="9" t="s">
        <v>44</v>
      </c>
    </row>
    <row r="832" spans="1:20">
      <c r="A832" s="10">
        <v>825</v>
      </c>
      <c r="B832" s="10" t="s">
        <v>1130</v>
      </c>
      <c r="C832" s="10" t="s">
        <v>1085</v>
      </c>
      <c r="D832" s="10" t="s">
        <v>655</v>
      </c>
      <c r="E832" s="10" t="s">
        <v>34</v>
      </c>
      <c r="F832" s="10" t="s">
        <v>35</v>
      </c>
      <c r="G832" s="8" t="s">
        <v>41</v>
      </c>
      <c r="H832" s="12">
        <v>1</v>
      </c>
      <c r="I832" s="12">
        <v>1</v>
      </c>
      <c r="J832" s="15">
        <v>16000.0</v>
      </c>
      <c r="K832" s="15"/>
      <c r="L832" s="17">
        <f>IF(J832&gt;0, K832/J832, 0)</f>
        <v>0</v>
      </c>
      <c r="M832" s="15">
        <v>16000.0</v>
      </c>
      <c r="N832" s="15"/>
      <c r="O832" s="15">
        <f>M832-N832</f>
        <v>16000</v>
      </c>
      <c r="P832" s="10" t="s">
        <v>42</v>
      </c>
      <c r="Q832" s="10" t="s">
        <v>43</v>
      </c>
      <c r="R832" s="10" t="s">
        <v>44</v>
      </c>
      <c r="S832" s="8" t="s">
        <v>2040</v>
      </c>
      <c r="T832" s="8" t="s">
        <v>44</v>
      </c>
    </row>
    <row r="833" spans="1:20">
      <c r="A833" s="11">
        <v>826</v>
      </c>
      <c r="B833" s="11" t="s">
        <v>1131</v>
      </c>
      <c r="C833" s="11" t="s">
        <v>1085</v>
      </c>
      <c r="D833" s="11" t="s">
        <v>655</v>
      </c>
      <c r="E833" s="11" t="s">
        <v>34</v>
      </c>
      <c r="F833" s="11" t="s">
        <v>35</v>
      </c>
      <c r="G833" s="9" t="s">
        <v>41</v>
      </c>
      <c r="H833" s="13">
        <v>1</v>
      </c>
      <c r="I833" s="13">
        <v>1</v>
      </c>
      <c r="J833" s="16">
        <v>16000.0</v>
      </c>
      <c r="K833" s="16"/>
      <c r="L833" s="18">
        <f>IF(J833&gt;0, K833/J833, 0)</f>
        <v>0</v>
      </c>
      <c r="M833" s="16">
        <v>16000.0</v>
      </c>
      <c r="N833" s="16"/>
      <c r="O833" s="16">
        <f>M833-N833</f>
        <v>16000</v>
      </c>
      <c r="P833" s="11" t="s">
        <v>42</v>
      </c>
      <c r="Q833" s="11" t="s">
        <v>43</v>
      </c>
      <c r="R833" s="11" t="s">
        <v>44</v>
      </c>
      <c r="S833" s="9" t="s">
        <v>2072</v>
      </c>
      <c r="T833" s="9" t="s">
        <v>44</v>
      </c>
    </row>
    <row r="834" spans="1:20">
      <c r="A834" s="10">
        <v>827</v>
      </c>
      <c r="B834" s="10" t="s">
        <v>1132</v>
      </c>
      <c r="C834" s="10" t="s">
        <v>1085</v>
      </c>
      <c r="D834" s="10" t="s">
        <v>655</v>
      </c>
      <c r="E834" s="10" t="s">
        <v>34</v>
      </c>
      <c r="F834" s="10" t="s">
        <v>35</v>
      </c>
      <c r="G834" s="8" t="s">
        <v>41</v>
      </c>
      <c r="H834" s="12">
        <v>1</v>
      </c>
      <c r="I834" s="12">
        <v>1</v>
      </c>
      <c r="J834" s="15">
        <v>7000.0</v>
      </c>
      <c r="K834" s="15"/>
      <c r="L834" s="17">
        <f>IF(J834&gt;0, K834/J834, 0)</f>
        <v>0</v>
      </c>
      <c r="M834" s="15">
        <v>7000.0</v>
      </c>
      <c r="N834" s="15"/>
      <c r="O834" s="15">
        <f>M834-N834</f>
        <v>7000</v>
      </c>
      <c r="P834" s="10" t="s">
        <v>42</v>
      </c>
      <c r="Q834" s="10" t="s">
        <v>43</v>
      </c>
      <c r="R834" s="10" t="s">
        <v>44</v>
      </c>
      <c r="S834" s="8" t="s">
        <v>2055</v>
      </c>
      <c r="T834" s="8" t="s">
        <v>44</v>
      </c>
    </row>
    <row r="835" spans="1:20">
      <c r="A835" s="11">
        <v>828</v>
      </c>
      <c r="B835" s="11" t="s">
        <v>1133</v>
      </c>
      <c r="C835" s="11" t="s">
        <v>1085</v>
      </c>
      <c r="D835" s="11" t="s">
        <v>655</v>
      </c>
      <c r="E835" s="11" t="s">
        <v>34</v>
      </c>
      <c r="F835" s="11" t="s">
        <v>35</v>
      </c>
      <c r="G835" s="9" t="s">
        <v>41</v>
      </c>
      <c r="H835" s="13">
        <v>1</v>
      </c>
      <c r="I835" s="13">
        <v>1</v>
      </c>
      <c r="J835" s="16">
        <v>7000.0</v>
      </c>
      <c r="K835" s="16"/>
      <c r="L835" s="18">
        <f>IF(J835&gt;0, K835/J835, 0)</f>
        <v>0</v>
      </c>
      <c r="M835" s="16">
        <v>7000.0</v>
      </c>
      <c r="N835" s="16"/>
      <c r="O835" s="16">
        <f>M835-N835</f>
        <v>7000</v>
      </c>
      <c r="P835" s="11" t="s">
        <v>42</v>
      </c>
      <c r="Q835" s="11" t="s">
        <v>43</v>
      </c>
      <c r="R835" s="11" t="s">
        <v>44</v>
      </c>
      <c r="S835" s="9" t="s">
        <v>2088</v>
      </c>
      <c r="T835" s="9" t="s">
        <v>44</v>
      </c>
    </row>
    <row r="836" spans="1:20">
      <c r="A836" s="10">
        <v>829</v>
      </c>
      <c r="B836" s="10" t="s">
        <v>1134</v>
      </c>
      <c r="C836" s="10" t="s">
        <v>1085</v>
      </c>
      <c r="D836" s="10" t="s">
        <v>655</v>
      </c>
      <c r="E836" s="10" t="s">
        <v>34</v>
      </c>
      <c r="F836" s="10" t="s">
        <v>35</v>
      </c>
      <c r="G836" s="8" t="s">
        <v>41</v>
      </c>
      <c r="H836" s="12">
        <v>1</v>
      </c>
      <c r="I836" s="12">
        <v>1</v>
      </c>
      <c r="J836" s="15">
        <v>9000.0</v>
      </c>
      <c r="K836" s="15"/>
      <c r="L836" s="17">
        <f>IF(J836&gt;0, K836/J836, 0)</f>
        <v>0</v>
      </c>
      <c r="M836" s="15">
        <v>9000.0</v>
      </c>
      <c r="N836" s="15"/>
      <c r="O836" s="15">
        <f>M836-N836</f>
        <v>9000</v>
      </c>
      <c r="P836" s="10" t="s">
        <v>42</v>
      </c>
      <c r="Q836" s="10" t="s">
        <v>43</v>
      </c>
      <c r="R836" s="10" t="s">
        <v>44</v>
      </c>
      <c r="S836" s="8" t="s">
        <v>2111</v>
      </c>
      <c r="T836" s="8" t="s">
        <v>44</v>
      </c>
    </row>
    <row r="837" spans="1:20">
      <c r="A837" s="11">
        <v>830</v>
      </c>
      <c r="B837" s="11" t="s">
        <v>1135</v>
      </c>
      <c r="C837" s="11" t="s">
        <v>1085</v>
      </c>
      <c r="D837" s="11" t="s">
        <v>655</v>
      </c>
      <c r="E837" s="11" t="s">
        <v>34</v>
      </c>
      <c r="F837" s="11" t="s">
        <v>35</v>
      </c>
      <c r="G837" s="9" t="s">
        <v>41</v>
      </c>
      <c r="H837" s="13">
        <v>1</v>
      </c>
      <c r="I837" s="13">
        <v>1</v>
      </c>
      <c r="J837" s="16">
        <v>16000.0</v>
      </c>
      <c r="K837" s="16"/>
      <c r="L837" s="18">
        <f>IF(J837&gt;0, K837/J837, 0)</f>
        <v>0</v>
      </c>
      <c r="M837" s="16">
        <v>16000.0</v>
      </c>
      <c r="N837" s="16"/>
      <c r="O837" s="16">
        <f>M837-N837</f>
        <v>16000</v>
      </c>
      <c r="P837" s="11" t="s">
        <v>42</v>
      </c>
      <c r="Q837" s="11" t="s">
        <v>43</v>
      </c>
      <c r="R837" s="11" t="s">
        <v>44</v>
      </c>
      <c r="S837" s="9" t="s">
        <v>2090</v>
      </c>
      <c r="T837" s="9" t="s">
        <v>44</v>
      </c>
    </row>
    <row r="838" spans="1:20">
      <c r="A838" s="10">
        <v>831</v>
      </c>
      <c r="B838" s="10" t="s">
        <v>1136</v>
      </c>
      <c r="C838" s="10" t="s">
        <v>1085</v>
      </c>
      <c r="D838" s="10" t="s">
        <v>655</v>
      </c>
      <c r="E838" s="10" t="s">
        <v>34</v>
      </c>
      <c r="F838" s="10" t="s">
        <v>35</v>
      </c>
      <c r="G838" s="8" t="s">
        <v>41</v>
      </c>
      <c r="H838" s="12">
        <v>1</v>
      </c>
      <c r="I838" s="12">
        <v>2</v>
      </c>
      <c r="J838" s="15">
        <v>16000.0</v>
      </c>
      <c r="K838" s="15"/>
      <c r="L838" s="17">
        <f>IF(J838&gt;0, K838/J838, 0)</f>
        <v>0</v>
      </c>
      <c r="M838" s="15">
        <v>16000.0</v>
      </c>
      <c r="N838" s="15"/>
      <c r="O838" s="15">
        <f>M838-N838</f>
        <v>16000</v>
      </c>
      <c r="P838" s="10" t="s">
        <v>42</v>
      </c>
      <c r="Q838" s="10" t="s">
        <v>43</v>
      </c>
      <c r="R838" s="10" t="s">
        <v>44</v>
      </c>
      <c r="S838" s="8" t="s">
        <v>2140</v>
      </c>
      <c r="T838" s="8" t="s">
        <v>44</v>
      </c>
    </row>
    <row r="839" spans="1:20">
      <c r="A839" s="11">
        <v>832</v>
      </c>
      <c r="B839" s="11" t="s">
        <v>1137</v>
      </c>
      <c r="C839" s="11" t="s">
        <v>1085</v>
      </c>
      <c r="D839" s="11" t="s">
        <v>655</v>
      </c>
      <c r="E839" s="11" t="s">
        <v>34</v>
      </c>
      <c r="F839" s="11" t="s">
        <v>35</v>
      </c>
      <c r="G839" s="9" t="s">
        <v>41</v>
      </c>
      <c r="H839" s="13">
        <v>1</v>
      </c>
      <c r="I839" s="13">
        <v>1</v>
      </c>
      <c r="J839" s="16">
        <v>9000.0</v>
      </c>
      <c r="K839" s="16"/>
      <c r="L839" s="18">
        <f>IF(J839&gt;0, K839/J839, 0)</f>
        <v>0</v>
      </c>
      <c r="M839" s="16">
        <v>9000.0</v>
      </c>
      <c r="N839" s="16"/>
      <c r="O839" s="16">
        <f>M839-N839</f>
        <v>9000</v>
      </c>
      <c r="P839" s="11" t="s">
        <v>42</v>
      </c>
      <c r="Q839" s="11" t="s">
        <v>43</v>
      </c>
      <c r="R839" s="11" t="s">
        <v>44</v>
      </c>
      <c r="S839" s="9" t="s">
        <v>2083</v>
      </c>
      <c r="T839" s="9" t="s">
        <v>44</v>
      </c>
    </row>
    <row r="840" spans="1:20">
      <c r="A840" s="10">
        <v>833</v>
      </c>
      <c r="B840" s="10" t="s">
        <v>1138</v>
      </c>
      <c r="C840" s="10" t="s">
        <v>1085</v>
      </c>
      <c r="D840" s="10" t="s">
        <v>655</v>
      </c>
      <c r="E840" s="10" t="s">
        <v>34</v>
      </c>
      <c r="F840" s="10" t="s">
        <v>35</v>
      </c>
      <c r="G840" s="8" t="s">
        <v>41</v>
      </c>
      <c r="H840" s="12">
        <v>1</v>
      </c>
      <c r="I840" s="12">
        <v>1</v>
      </c>
      <c r="J840" s="15">
        <v>16000.0</v>
      </c>
      <c r="K840" s="15"/>
      <c r="L840" s="17">
        <f>IF(J840&gt;0, K840/J840, 0)</f>
        <v>0</v>
      </c>
      <c r="M840" s="15">
        <v>16000.0</v>
      </c>
      <c r="N840" s="15"/>
      <c r="O840" s="15">
        <f>M840-N840</f>
        <v>16000</v>
      </c>
      <c r="P840" s="10" t="s">
        <v>42</v>
      </c>
      <c r="Q840" s="10" t="s">
        <v>43</v>
      </c>
      <c r="R840" s="10" t="s">
        <v>44</v>
      </c>
      <c r="S840" s="8" t="s">
        <v>2040</v>
      </c>
      <c r="T840" s="8" t="s">
        <v>44</v>
      </c>
    </row>
    <row r="841" spans="1:20">
      <c r="A841" s="11">
        <v>834</v>
      </c>
      <c r="B841" s="11" t="s">
        <v>1139</v>
      </c>
      <c r="C841" s="11" t="s">
        <v>1085</v>
      </c>
      <c r="D841" s="11" t="s">
        <v>655</v>
      </c>
      <c r="E841" s="11" t="s">
        <v>34</v>
      </c>
      <c r="F841" s="11" t="s">
        <v>35</v>
      </c>
      <c r="G841" s="9" t="s">
        <v>41</v>
      </c>
      <c r="H841" s="13">
        <v>1</v>
      </c>
      <c r="I841" s="13">
        <v>1</v>
      </c>
      <c r="J841" s="16">
        <v>8000.0</v>
      </c>
      <c r="K841" s="16"/>
      <c r="L841" s="18">
        <f>IF(J841&gt;0, K841/J841, 0)</f>
        <v>0</v>
      </c>
      <c r="M841" s="16">
        <v>8000.0</v>
      </c>
      <c r="N841" s="16"/>
      <c r="O841" s="16">
        <f>M841-N841</f>
        <v>8000</v>
      </c>
      <c r="P841" s="11" t="s">
        <v>42</v>
      </c>
      <c r="Q841" s="11" t="s">
        <v>43</v>
      </c>
      <c r="R841" s="11" t="s">
        <v>44</v>
      </c>
      <c r="S841" s="9" t="s">
        <v>2030</v>
      </c>
      <c r="T841" s="9" t="s">
        <v>44</v>
      </c>
    </row>
    <row r="842" spans="1:20">
      <c r="A842" s="10">
        <v>835</v>
      </c>
      <c r="B842" s="10" t="s">
        <v>1140</v>
      </c>
      <c r="C842" s="10" t="s">
        <v>1085</v>
      </c>
      <c r="D842" s="10" t="s">
        <v>655</v>
      </c>
      <c r="E842" s="10" t="s">
        <v>34</v>
      </c>
      <c r="F842" s="10" t="s">
        <v>35</v>
      </c>
      <c r="G842" s="8" t="s">
        <v>41</v>
      </c>
      <c r="H842" s="12">
        <v>1</v>
      </c>
      <c r="I842" s="12">
        <v>1</v>
      </c>
      <c r="J842" s="15">
        <v>7000.0</v>
      </c>
      <c r="K842" s="15"/>
      <c r="L842" s="17">
        <f>IF(J842&gt;0, K842/J842, 0)</f>
        <v>0</v>
      </c>
      <c r="M842" s="15">
        <v>7000.0</v>
      </c>
      <c r="N842" s="15"/>
      <c r="O842" s="15">
        <f>M842-N842</f>
        <v>7000</v>
      </c>
      <c r="P842" s="10" t="s">
        <v>42</v>
      </c>
      <c r="Q842" s="10" t="s">
        <v>43</v>
      </c>
      <c r="R842" s="10" t="s">
        <v>44</v>
      </c>
      <c r="S842" s="8" t="s">
        <v>2038</v>
      </c>
      <c r="T842" s="8" t="s">
        <v>44</v>
      </c>
    </row>
    <row r="843" spans="1:20">
      <c r="A843" s="11">
        <v>836</v>
      </c>
      <c r="B843" s="11" t="s">
        <v>1141</v>
      </c>
      <c r="C843" s="11" t="s">
        <v>1085</v>
      </c>
      <c r="D843" s="11" t="s">
        <v>655</v>
      </c>
      <c r="E843" s="11" t="s">
        <v>70</v>
      </c>
      <c r="F843" s="11" t="s">
        <v>35</v>
      </c>
      <c r="G843" s="9" t="s">
        <v>41</v>
      </c>
      <c r="H843" s="13">
        <v>1</v>
      </c>
      <c r="I843" s="13">
        <v>1</v>
      </c>
      <c r="J843" s="16">
        <v>10000.0</v>
      </c>
      <c r="K843" s="16"/>
      <c r="L843" s="18">
        <f>IF(J843&gt;0, K843/J843, 0)</f>
        <v>0</v>
      </c>
      <c r="M843" s="16">
        <v>10000.0</v>
      </c>
      <c r="N843" s="16"/>
      <c r="O843" s="16">
        <f>M843-N843</f>
        <v>10000</v>
      </c>
      <c r="P843" s="11" t="s">
        <v>42</v>
      </c>
      <c r="Q843" s="11" t="s">
        <v>73</v>
      </c>
      <c r="R843" s="11" t="s">
        <v>44</v>
      </c>
      <c r="S843" s="9" t="s">
        <v>2022</v>
      </c>
      <c r="T843" s="9" t="s">
        <v>44</v>
      </c>
    </row>
    <row r="844" spans="1:20">
      <c r="A844" s="10">
        <v>837</v>
      </c>
      <c r="B844" s="10" t="s">
        <v>1143</v>
      </c>
      <c r="C844" s="10" t="s">
        <v>1085</v>
      </c>
      <c r="D844" s="10" t="s">
        <v>655</v>
      </c>
      <c r="E844" s="10" t="s">
        <v>70</v>
      </c>
      <c r="F844" s="10" t="s">
        <v>35</v>
      </c>
      <c r="G844" s="8" t="s">
        <v>41</v>
      </c>
      <c r="H844" s="12">
        <v>1</v>
      </c>
      <c r="I844" s="12">
        <v>1</v>
      </c>
      <c r="J844" s="15">
        <v>18000.0</v>
      </c>
      <c r="K844" s="15"/>
      <c r="L844" s="17">
        <f>IF(J844&gt;0, K844/J844, 0)</f>
        <v>0</v>
      </c>
      <c r="M844" s="15">
        <v>18000.0</v>
      </c>
      <c r="N844" s="15"/>
      <c r="O844" s="15">
        <f>M844-N844</f>
        <v>18000</v>
      </c>
      <c r="P844" s="10" t="s">
        <v>42</v>
      </c>
      <c r="Q844" s="10" t="s">
        <v>73</v>
      </c>
      <c r="R844" s="10" t="s">
        <v>44</v>
      </c>
      <c r="S844" s="8" t="s">
        <v>2064</v>
      </c>
      <c r="T844" s="8" t="s">
        <v>44</v>
      </c>
    </row>
    <row r="845" spans="1:20">
      <c r="A845" s="11">
        <v>838</v>
      </c>
      <c r="B845" s="11" t="s">
        <v>1144</v>
      </c>
      <c r="C845" s="11" t="s">
        <v>1085</v>
      </c>
      <c r="D845" s="11" t="s">
        <v>655</v>
      </c>
      <c r="E845" s="11" t="s">
        <v>34</v>
      </c>
      <c r="F845" s="11" t="s">
        <v>35</v>
      </c>
      <c r="G845" s="9" t="s">
        <v>41</v>
      </c>
      <c r="H845" s="13">
        <v>1</v>
      </c>
      <c r="I845" s="13">
        <v>1</v>
      </c>
      <c r="J845" s="16">
        <v>7000.0</v>
      </c>
      <c r="K845" s="16"/>
      <c r="L845" s="18">
        <f>IF(J845&gt;0, K845/J845, 0)</f>
        <v>0</v>
      </c>
      <c r="M845" s="16">
        <v>7000.0</v>
      </c>
      <c r="N845" s="16"/>
      <c r="O845" s="16">
        <f>M845-N845</f>
        <v>7000</v>
      </c>
      <c r="P845" s="11" t="s">
        <v>42</v>
      </c>
      <c r="Q845" s="11" t="s">
        <v>43</v>
      </c>
      <c r="R845" s="11" t="s">
        <v>44</v>
      </c>
      <c r="S845" s="9" t="s">
        <v>2053</v>
      </c>
      <c r="T845" s="9" t="s">
        <v>44</v>
      </c>
    </row>
    <row r="846" spans="1:20">
      <c r="A846" s="10">
        <v>839</v>
      </c>
      <c r="B846" s="10" t="s">
        <v>1145</v>
      </c>
      <c r="C846" s="10" t="s">
        <v>1085</v>
      </c>
      <c r="D846" s="10" t="s">
        <v>655</v>
      </c>
      <c r="E846" s="10" t="s">
        <v>34</v>
      </c>
      <c r="F846" s="10" t="s">
        <v>35</v>
      </c>
      <c r="G846" s="8" t="s">
        <v>41</v>
      </c>
      <c r="H846" s="12">
        <v>1</v>
      </c>
      <c r="I846" s="12">
        <v>1</v>
      </c>
      <c r="J846" s="15">
        <v>8000.0</v>
      </c>
      <c r="K846" s="15"/>
      <c r="L846" s="17">
        <f>IF(J846&gt;0, K846/J846, 0)</f>
        <v>0</v>
      </c>
      <c r="M846" s="15">
        <v>8000.0</v>
      </c>
      <c r="N846" s="15"/>
      <c r="O846" s="15">
        <f>M846-N846</f>
        <v>8000</v>
      </c>
      <c r="P846" s="10" t="s">
        <v>42</v>
      </c>
      <c r="Q846" s="10" t="s">
        <v>43</v>
      </c>
      <c r="R846" s="10" t="s">
        <v>44</v>
      </c>
      <c r="S846" s="8" t="s">
        <v>2111</v>
      </c>
      <c r="T846" s="8" t="s">
        <v>44</v>
      </c>
    </row>
    <row r="847" spans="1:20">
      <c r="A847" s="11">
        <v>840</v>
      </c>
      <c r="B847" s="11" t="s">
        <v>1146</v>
      </c>
      <c r="C847" s="11" t="s">
        <v>1085</v>
      </c>
      <c r="D847" s="11" t="s">
        <v>655</v>
      </c>
      <c r="E847" s="11" t="s">
        <v>34</v>
      </c>
      <c r="F847" s="11" t="s">
        <v>35</v>
      </c>
      <c r="G847" s="9" t="s">
        <v>41</v>
      </c>
      <c r="H847" s="13">
        <v>1</v>
      </c>
      <c r="I847" s="13">
        <v>1</v>
      </c>
      <c r="J847" s="16">
        <v>7000.0</v>
      </c>
      <c r="K847" s="16"/>
      <c r="L847" s="18">
        <f>IF(J847&gt;0, K847/J847, 0)</f>
        <v>0</v>
      </c>
      <c r="M847" s="16">
        <v>7000.0</v>
      </c>
      <c r="N847" s="16"/>
      <c r="O847" s="16">
        <f>M847-N847</f>
        <v>7000</v>
      </c>
      <c r="P847" s="11" t="s">
        <v>42</v>
      </c>
      <c r="Q847" s="11" t="s">
        <v>43</v>
      </c>
      <c r="R847" s="11" t="s">
        <v>44</v>
      </c>
      <c r="S847" s="9" t="s">
        <v>2077</v>
      </c>
      <c r="T847" s="9" t="s">
        <v>44</v>
      </c>
    </row>
    <row r="848" spans="1:20">
      <c r="A848" s="10">
        <v>841</v>
      </c>
      <c r="B848" s="10" t="s">
        <v>1147</v>
      </c>
      <c r="C848" s="10" t="s">
        <v>1085</v>
      </c>
      <c r="D848" s="10" t="s">
        <v>655</v>
      </c>
      <c r="E848" s="10" t="s">
        <v>34</v>
      </c>
      <c r="F848" s="10" t="s">
        <v>35</v>
      </c>
      <c r="G848" s="8" t="s">
        <v>41</v>
      </c>
      <c r="H848" s="12">
        <v>1</v>
      </c>
      <c r="I848" s="12">
        <v>1</v>
      </c>
      <c r="J848" s="15">
        <v>7000.0</v>
      </c>
      <c r="K848" s="15"/>
      <c r="L848" s="17">
        <f>IF(J848&gt;0, K848/J848, 0)</f>
        <v>0</v>
      </c>
      <c r="M848" s="15">
        <v>7000.0</v>
      </c>
      <c r="N848" s="15"/>
      <c r="O848" s="15">
        <f>M848-N848</f>
        <v>7000</v>
      </c>
      <c r="P848" s="10" t="s">
        <v>42</v>
      </c>
      <c r="Q848" s="10" t="s">
        <v>43</v>
      </c>
      <c r="R848" s="10" t="s">
        <v>44</v>
      </c>
      <c r="S848" s="8" t="s">
        <v>2038</v>
      </c>
      <c r="T848" s="8" t="s">
        <v>44</v>
      </c>
    </row>
    <row r="849" spans="1:20">
      <c r="A849" s="11">
        <v>842</v>
      </c>
      <c r="B849" s="11" t="s">
        <v>1148</v>
      </c>
      <c r="C849" s="11" t="s">
        <v>1085</v>
      </c>
      <c r="D849" s="11" t="s">
        <v>655</v>
      </c>
      <c r="E849" s="11" t="s">
        <v>34</v>
      </c>
      <c r="F849" s="11" t="s">
        <v>35</v>
      </c>
      <c r="G849" s="9" t="s">
        <v>41</v>
      </c>
      <c r="H849" s="13">
        <v>1</v>
      </c>
      <c r="I849" s="13">
        <v>1</v>
      </c>
      <c r="J849" s="16">
        <v>8000.0</v>
      </c>
      <c r="K849" s="16"/>
      <c r="L849" s="18">
        <f>IF(J849&gt;0, K849/J849, 0)</f>
        <v>0</v>
      </c>
      <c r="M849" s="16">
        <v>8000.0</v>
      </c>
      <c r="N849" s="16"/>
      <c r="O849" s="16">
        <f>M849-N849</f>
        <v>8000</v>
      </c>
      <c r="P849" s="11" t="s">
        <v>42</v>
      </c>
      <c r="Q849" s="11" t="s">
        <v>43</v>
      </c>
      <c r="R849" s="11" t="s">
        <v>44</v>
      </c>
      <c r="S849" s="9" t="s">
        <v>2179</v>
      </c>
      <c r="T849" s="9" t="s">
        <v>44</v>
      </c>
    </row>
    <row r="850" spans="1:20">
      <c r="A850" s="10">
        <v>843</v>
      </c>
      <c r="B850" s="10" t="s">
        <v>1149</v>
      </c>
      <c r="C850" s="10" t="s">
        <v>1085</v>
      </c>
      <c r="D850" s="10" t="s">
        <v>655</v>
      </c>
      <c r="E850" s="10" t="s">
        <v>34</v>
      </c>
      <c r="F850" s="10" t="s">
        <v>35</v>
      </c>
      <c r="G850" s="8" t="s">
        <v>41</v>
      </c>
      <c r="H850" s="12">
        <v>1</v>
      </c>
      <c r="I850" s="12">
        <v>1</v>
      </c>
      <c r="J850" s="15">
        <v>8000.0</v>
      </c>
      <c r="K850" s="15"/>
      <c r="L850" s="17">
        <f>IF(J850&gt;0, K850/J850, 0)</f>
        <v>0</v>
      </c>
      <c r="M850" s="15">
        <v>8000.0</v>
      </c>
      <c r="N850" s="15"/>
      <c r="O850" s="15">
        <f>M850-N850</f>
        <v>8000</v>
      </c>
      <c r="P850" s="10" t="s">
        <v>42</v>
      </c>
      <c r="Q850" s="10" t="s">
        <v>43</v>
      </c>
      <c r="R850" s="10" t="s">
        <v>44</v>
      </c>
      <c r="S850" s="8" t="s">
        <v>2030</v>
      </c>
      <c r="T850" s="8" t="s">
        <v>44</v>
      </c>
    </row>
    <row r="851" spans="1:20">
      <c r="A851" s="11">
        <v>844</v>
      </c>
      <c r="B851" s="11" t="s">
        <v>1150</v>
      </c>
      <c r="C851" s="11" t="s">
        <v>1085</v>
      </c>
      <c r="D851" s="11" t="s">
        <v>655</v>
      </c>
      <c r="E851" s="11" t="s">
        <v>34</v>
      </c>
      <c r="F851" s="11" t="s">
        <v>35</v>
      </c>
      <c r="G851" s="9" t="s">
        <v>41</v>
      </c>
      <c r="H851" s="13">
        <v>1</v>
      </c>
      <c r="I851" s="13">
        <v>1</v>
      </c>
      <c r="J851" s="16">
        <v>7000.0</v>
      </c>
      <c r="K851" s="16"/>
      <c r="L851" s="18">
        <f>IF(J851&gt;0, K851/J851, 0)</f>
        <v>0</v>
      </c>
      <c r="M851" s="16">
        <v>7000.0</v>
      </c>
      <c r="N851" s="16"/>
      <c r="O851" s="16">
        <f>M851-N851</f>
        <v>7000</v>
      </c>
      <c r="P851" s="11" t="s">
        <v>42</v>
      </c>
      <c r="Q851" s="11" t="s">
        <v>43</v>
      </c>
      <c r="R851" s="11" t="s">
        <v>44</v>
      </c>
      <c r="S851" s="9" t="s">
        <v>2055</v>
      </c>
      <c r="T851" s="9" t="s">
        <v>44</v>
      </c>
    </row>
    <row r="852" spans="1:20">
      <c r="A852" s="10">
        <v>845</v>
      </c>
      <c r="B852" s="10" t="s">
        <v>1151</v>
      </c>
      <c r="C852" s="10" t="s">
        <v>1085</v>
      </c>
      <c r="D852" s="10" t="s">
        <v>655</v>
      </c>
      <c r="E852" s="10" t="s">
        <v>34</v>
      </c>
      <c r="F852" s="10" t="s">
        <v>35</v>
      </c>
      <c r="G852" s="8" t="s">
        <v>41</v>
      </c>
      <c r="H852" s="12">
        <v>1</v>
      </c>
      <c r="I852" s="12">
        <v>1</v>
      </c>
      <c r="J852" s="15">
        <v>18000.0</v>
      </c>
      <c r="K852" s="15"/>
      <c r="L852" s="17">
        <f>IF(J852&gt;0, K852/J852, 0)</f>
        <v>0</v>
      </c>
      <c r="M852" s="15">
        <v>18000.0</v>
      </c>
      <c r="N852" s="15"/>
      <c r="O852" s="15">
        <f>M852-N852</f>
        <v>18000</v>
      </c>
      <c r="P852" s="10" t="s">
        <v>42</v>
      </c>
      <c r="Q852" s="10" t="s">
        <v>43</v>
      </c>
      <c r="R852" s="10" t="s">
        <v>44</v>
      </c>
      <c r="S852" s="8" t="s">
        <v>2066</v>
      </c>
      <c r="T852" s="8" t="s">
        <v>44</v>
      </c>
    </row>
    <row r="853" spans="1:20">
      <c r="A853" s="11">
        <v>846</v>
      </c>
      <c r="B853" s="11" t="s">
        <v>1152</v>
      </c>
      <c r="C853" s="11" t="s">
        <v>1085</v>
      </c>
      <c r="D853" s="11" t="s">
        <v>655</v>
      </c>
      <c r="E853" s="11" t="s">
        <v>34</v>
      </c>
      <c r="F853" s="11" t="s">
        <v>35</v>
      </c>
      <c r="G853" s="9" t="s">
        <v>41</v>
      </c>
      <c r="H853" s="13">
        <v>1</v>
      </c>
      <c r="I853" s="13">
        <v>1</v>
      </c>
      <c r="J853" s="16">
        <v>16000.0</v>
      </c>
      <c r="K853" s="16"/>
      <c r="L853" s="18">
        <f>IF(J853&gt;0, K853/J853, 0)</f>
        <v>0</v>
      </c>
      <c r="M853" s="16">
        <v>16000.0</v>
      </c>
      <c r="N853" s="16"/>
      <c r="O853" s="16">
        <f>M853-N853</f>
        <v>16000</v>
      </c>
      <c r="P853" s="11" t="s">
        <v>42</v>
      </c>
      <c r="Q853" s="11" t="s">
        <v>43</v>
      </c>
      <c r="R853" s="11" t="s">
        <v>44</v>
      </c>
      <c r="S853" s="9" t="s">
        <v>2040</v>
      </c>
      <c r="T853" s="9" t="s">
        <v>44</v>
      </c>
    </row>
    <row r="854" spans="1:20">
      <c r="A854" s="10">
        <v>847</v>
      </c>
      <c r="B854" s="10" t="s">
        <v>1153</v>
      </c>
      <c r="C854" s="10" t="s">
        <v>1085</v>
      </c>
      <c r="D854" s="10" t="s">
        <v>655</v>
      </c>
      <c r="E854" s="10" t="s">
        <v>34</v>
      </c>
      <c r="F854" s="10" t="s">
        <v>35</v>
      </c>
      <c r="G854" s="8" t="s">
        <v>41</v>
      </c>
      <c r="H854" s="12">
        <v>1</v>
      </c>
      <c r="I854" s="12">
        <v>1</v>
      </c>
      <c r="J854" s="15">
        <v>18000.0</v>
      </c>
      <c r="K854" s="15"/>
      <c r="L854" s="17">
        <f>IF(J854&gt;0, K854/J854, 0)</f>
        <v>0</v>
      </c>
      <c r="M854" s="15">
        <v>18000.0</v>
      </c>
      <c r="N854" s="15"/>
      <c r="O854" s="15">
        <f>M854-N854</f>
        <v>18000</v>
      </c>
      <c r="P854" s="10" t="s">
        <v>42</v>
      </c>
      <c r="Q854" s="10" t="s">
        <v>43</v>
      </c>
      <c r="R854" s="10" t="s">
        <v>44</v>
      </c>
      <c r="S854" s="8" t="s">
        <v>2117</v>
      </c>
      <c r="T854" s="8" t="s">
        <v>44</v>
      </c>
    </row>
    <row r="855" spans="1:20">
      <c r="A855" s="11">
        <v>848</v>
      </c>
      <c r="B855" s="11" t="s">
        <v>1154</v>
      </c>
      <c r="C855" s="11" t="s">
        <v>1085</v>
      </c>
      <c r="D855" s="11" t="s">
        <v>655</v>
      </c>
      <c r="E855" s="11" t="s">
        <v>34</v>
      </c>
      <c r="F855" s="11" t="s">
        <v>35</v>
      </c>
      <c r="G855" s="9" t="s">
        <v>41</v>
      </c>
      <c r="H855" s="13">
        <v>1</v>
      </c>
      <c r="I855" s="13">
        <v>4</v>
      </c>
      <c r="J855" s="16">
        <v>32000.0</v>
      </c>
      <c r="K855" s="16"/>
      <c r="L855" s="18">
        <f>IF(J855&gt;0, K855/J855, 0)</f>
        <v>0</v>
      </c>
      <c r="M855" s="16">
        <v>32000.0</v>
      </c>
      <c r="N855" s="16"/>
      <c r="O855" s="16">
        <f>M855-N855</f>
        <v>32000</v>
      </c>
      <c r="P855" s="11" t="s">
        <v>42</v>
      </c>
      <c r="Q855" s="11" t="s">
        <v>43</v>
      </c>
      <c r="R855" s="11" t="s">
        <v>44</v>
      </c>
      <c r="S855" s="9" t="s">
        <v>2178</v>
      </c>
      <c r="T855" s="9" t="s">
        <v>44</v>
      </c>
    </row>
    <row r="856" spans="1:20">
      <c r="A856" s="10">
        <v>849</v>
      </c>
      <c r="B856" s="10" t="s">
        <v>1155</v>
      </c>
      <c r="C856" s="10" t="s">
        <v>1085</v>
      </c>
      <c r="D856" s="10" t="s">
        <v>655</v>
      </c>
      <c r="E856" s="10" t="s">
        <v>34</v>
      </c>
      <c r="F856" s="10" t="s">
        <v>35</v>
      </c>
      <c r="G856" s="8" t="s">
        <v>41</v>
      </c>
      <c r="H856" s="12">
        <v>1</v>
      </c>
      <c r="I856" s="12">
        <v>1</v>
      </c>
      <c r="J856" s="15">
        <v>8000.0</v>
      </c>
      <c r="K856" s="15"/>
      <c r="L856" s="17">
        <f>IF(J856&gt;0, K856/J856, 0)</f>
        <v>0</v>
      </c>
      <c r="M856" s="15">
        <v>8000.0</v>
      </c>
      <c r="N856" s="15"/>
      <c r="O856" s="15">
        <f>M856-N856</f>
        <v>8000</v>
      </c>
      <c r="P856" s="10" t="s">
        <v>42</v>
      </c>
      <c r="Q856" s="10" t="s">
        <v>43</v>
      </c>
      <c r="R856" s="10" t="s">
        <v>44</v>
      </c>
      <c r="S856" s="8" t="s">
        <v>2108</v>
      </c>
      <c r="T856" s="8" t="s">
        <v>44</v>
      </c>
    </row>
    <row r="857" spans="1:20">
      <c r="A857" s="11">
        <v>850</v>
      </c>
      <c r="B857" s="11" t="s">
        <v>1156</v>
      </c>
      <c r="C857" s="11" t="s">
        <v>1085</v>
      </c>
      <c r="D857" s="11" t="s">
        <v>655</v>
      </c>
      <c r="E857" s="11" t="s">
        <v>70</v>
      </c>
      <c r="F857" s="11" t="s">
        <v>35</v>
      </c>
      <c r="G857" s="9" t="s">
        <v>41</v>
      </c>
      <c r="H857" s="13">
        <v>1</v>
      </c>
      <c r="I857" s="13">
        <v>3</v>
      </c>
      <c r="J857" s="16">
        <v>30000.0</v>
      </c>
      <c r="K857" s="16"/>
      <c r="L857" s="18">
        <f>IF(J857&gt;0, K857/J857, 0)</f>
        <v>0</v>
      </c>
      <c r="M857" s="16">
        <v>30000.0</v>
      </c>
      <c r="N857" s="16"/>
      <c r="O857" s="16">
        <f>M857-N857</f>
        <v>30000</v>
      </c>
      <c r="P857" s="11" t="s">
        <v>42</v>
      </c>
      <c r="Q857" s="11" t="s">
        <v>73</v>
      </c>
      <c r="R857" s="11" t="s">
        <v>44</v>
      </c>
      <c r="S857" s="9" t="s">
        <v>2196</v>
      </c>
      <c r="T857" s="9" t="s">
        <v>44</v>
      </c>
    </row>
    <row r="858" spans="1:20">
      <c r="A858" s="10">
        <v>851</v>
      </c>
      <c r="B858" s="10" t="s">
        <v>1157</v>
      </c>
      <c r="C858" s="10" t="s">
        <v>1085</v>
      </c>
      <c r="D858" s="10" t="s">
        <v>655</v>
      </c>
      <c r="E858" s="10" t="s">
        <v>70</v>
      </c>
      <c r="F858" s="10" t="s">
        <v>35</v>
      </c>
      <c r="G858" s="8" t="s">
        <v>41</v>
      </c>
      <c r="H858" s="12">
        <v>1</v>
      </c>
      <c r="I858" s="12">
        <v>2</v>
      </c>
      <c r="J858" s="15">
        <v>22000.0</v>
      </c>
      <c r="K858" s="15"/>
      <c r="L858" s="17">
        <f>IF(J858&gt;0, K858/J858, 0)</f>
        <v>0</v>
      </c>
      <c r="M858" s="15">
        <v>22000.0</v>
      </c>
      <c r="N858" s="15"/>
      <c r="O858" s="15">
        <f>M858-N858</f>
        <v>22000</v>
      </c>
      <c r="P858" s="10" t="s">
        <v>42</v>
      </c>
      <c r="Q858" s="10" t="s">
        <v>73</v>
      </c>
      <c r="R858" s="10" t="s">
        <v>44</v>
      </c>
      <c r="S858" s="8" t="s">
        <v>2069</v>
      </c>
      <c r="T858" s="8" t="s">
        <v>44</v>
      </c>
    </row>
    <row r="859" spans="1:20">
      <c r="A859" s="11">
        <v>852</v>
      </c>
      <c r="B859" s="11" t="s">
        <v>1158</v>
      </c>
      <c r="C859" s="11" t="s">
        <v>1085</v>
      </c>
      <c r="D859" s="11" t="s">
        <v>655</v>
      </c>
      <c r="E859" s="11" t="s">
        <v>34</v>
      </c>
      <c r="F859" s="11" t="s">
        <v>35</v>
      </c>
      <c r="G859" s="9" t="s">
        <v>41</v>
      </c>
      <c r="H859" s="13">
        <v>1</v>
      </c>
      <c r="I859" s="13">
        <v>1</v>
      </c>
      <c r="J859" s="16">
        <v>7000.0</v>
      </c>
      <c r="K859" s="16"/>
      <c r="L859" s="18">
        <f>IF(J859&gt;0, K859/J859, 0)</f>
        <v>0</v>
      </c>
      <c r="M859" s="16">
        <v>7000.0</v>
      </c>
      <c r="N859" s="16"/>
      <c r="O859" s="16">
        <f>M859-N859</f>
        <v>7000</v>
      </c>
      <c r="P859" s="11" t="s">
        <v>42</v>
      </c>
      <c r="Q859" s="11" t="s">
        <v>43</v>
      </c>
      <c r="R859" s="11" t="s">
        <v>44</v>
      </c>
      <c r="S859" s="9" t="s">
        <v>2088</v>
      </c>
      <c r="T859" s="9" t="s">
        <v>44</v>
      </c>
    </row>
    <row r="860" spans="1:20">
      <c r="A860" s="10">
        <v>853</v>
      </c>
      <c r="B860" s="10" t="s">
        <v>1159</v>
      </c>
      <c r="C860" s="10" t="s">
        <v>1085</v>
      </c>
      <c r="D860" s="10" t="s">
        <v>655</v>
      </c>
      <c r="E860" s="10" t="s">
        <v>34</v>
      </c>
      <c r="F860" s="10" t="s">
        <v>35</v>
      </c>
      <c r="G860" s="8" t="s">
        <v>41</v>
      </c>
      <c r="H860" s="12">
        <v>1</v>
      </c>
      <c r="I860" s="12">
        <v>2</v>
      </c>
      <c r="J860" s="15">
        <v>16000.0</v>
      </c>
      <c r="K860" s="15"/>
      <c r="L860" s="17">
        <f>IF(J860&gt;0, K860/J860, 0)</f>
        <v>0</v>
      </c>
      <c r="M860" s="15">
        <v>16000.0</v>
      </c>
      <c r="N860" s="15"/>
      <c r="O860" s="15">
        <f>M860-N860</f>
        <v>16000</v>
      </c>
      <c r="P860" s="10" t="s">
        <v>42</v>
      </c>
      <c r="Q860" s="10" t="s">
        <v>43</v>
      </c>
      <c r="R860" s="10" t="s">
        <v>44</v>
      </c>
      <c r="S860" s="8" t="s">
        <v>2091</v>
      </c>
      <c r="T860" s="8" t="s">
        <v>44</v>
      </c>
    </row>
    <row r="861" spans="1:20">
      <c r="A861" s="11">
        <v>854</v>
      </c>
      <c r="B861" s="11" t="s">
        <v>1160</v>
      </c>
      <c r="C861" s="11" t="s">
        <v>1085</v>
      </c>
      <c r="D861" s="11" t="s">
        <v>655</v>
      </c>
      <c r="E861" s="11" t="s">
        <v>34</v>
      </c>
      <c r="F861" s="11" t="s">
        <v>35</v>
      </c>
      <c r="G861" s="9" t="s">
        <v>41</v>
      </c>
      <c r="H861" s="13">
        <v>1</v>
      </c>
      <c r="I861" s="13">
        <v>3</v>
      </c>
      <c r="J861" s="16">
        <v>25500.0</v>
      </c>
      <c r="K861" s="16"/>
      <c r="L861" s="18">
        <f>IF(J861&gt;0, K861/J861, 0)</f>
        <v>0</v>
      </c>
      <c r="M861" s="16">
        <v>25500.0</v>
      </c>
      <c r="N861" s="16"/>
      <c r="O861" s="16">
        <f>M861-N861</f>
        <v>25500</v>
      </c>
      <c r="P861" s="11" t="s">
        <v>42</v>
      </c>
      <c r="Q861" s="11" t="s">
        <v>43</v>
      </c>
      <c r="R861" s="11" t="s">
        <v>44</v>
      </c>
      <c r="S861" s="9" t="s">
        <v>2197</v>
      </c>
      <c r="T861" s="9" t="s">
        <v>44</v>
      </c>
    </row>
    <row r="862" spans="1:20">
      <c r="A862" s="10">
        <v>855</v>
      </c>
      <c r="B862" s="10" t="s">
        <v>1161</v>
      </c>
      <c r="C862" s="10" t="s">
        <v>1085</v>
      </c>
      <c r="D862" s="10" t="s">
        <v>655</v>
      </c>
      <c r="E862" s="10" t="s">
        <v>70</v>
      </c>
      <c r="F862" s="10" t="s">
        <v>35</v>
      </c>
      <c r="G862" s="8" t="s">
        <v>41</v>
      </c>
      <c r="H862" s="12">
        <v>1</v>
      </c>
      <c r="I862" s="12">
        <v>1</v>
      </c>
      <c r="J862" s="15">
        <v>9000.0</v>
      </c>
      <c r="K862" s="15"/>
      <c r="L862" s="17">
        <f>IF(J862&gt;0, K862/J862, 0)</f>
        <v>0</v>
      </c>
      <c r="M862" s="15">
        <v>9000.0</v>
      </c>
      <c r="N862" s="15"/>
      <c r="O862" s="15">
        <f>M862-N862</f>
        <v>9000</v>
      </c>
      <c r="P862" s="10" t="s">
        <v>42</v>
      </c>
      <c r="Q862" s="10" t="s">
        <v>73</v>
      </c>
      <c r="R862" s="10" t="s">
        <v>44</v>
      </c>
      <c r="S862" s="8" t="s">
        <v>2024</v>
      </c>
      <c r="T862" s="8" t="s">
        <v>44</v>
      </c>
    </row>
    <row r="863" spans="1:20">
      <c r="A863" s="11">
        <v>856</v>
      </c>
      <c r="B863" s="11" t="s">
        <v>1162</v>
      </c>
      <c r="C863" s="11" t="s">
        <v>1085</v>
      </c>
      <c r="D863" s="11" t="s">
        <v>655</v>
      </c>
      <c r="E863" s="11" t="s">
        <v>34</v>
      </c>
      <c r="F863" s="11" t="s">
        <v>35</v>
      </c>
      <c r="G863" s="9" t="s">
        <v>41</v>
      </c>
      <c r="H863" s="13">
        <v>1</v>
      </c>
      <c r="I863" s="13">
        <v>2</v>
      </c>
      <c r="J863" s="16">
        <v>32000.0</v>
      </c>
      <c r="K863" s="16"/>
      <c r="L863" s="18">
        <f>IF(J863&gt;0, K863/J863, 0)</f>
        <v>0</v>
      </c>
      <c r="M863" s="16">
        <v>32000.0</v>
      </c>
      <c r="N863" s="16"/>
      <c r="O863" s="16">
        <f>M863-N863</f>
        <v>32000</v>
      </c>
      <c r="P863" s="11" t="s">
        <v>42</v>
      </c>
      <c r="Q863" s="11" t="s">
        <v>43</v>
      </c>
      <c r="R863" s="11" t="s">
        <v>44</v>
      </c>
      <c r="S863" s="9" t="s">
        <v>2181</v>
      </c>
      <c r="T863" s="9" t="s">
        <v>44</v>
      </c>
    </row>
    <row r="864" spans="1:20">
      <c r="A864" s="10">
        <v>857</v>
      </c>
      <c r="B864" s="10" t="s">
        <v>1163</v>
      </c>
      <c r="C864" s="10" t="s">
        <v>1085</v>
      </c>
      <c r="D864" s="10" t="s">
        <v>655</v>
      </c>
      <c r="E864" s="10" t="s">
        <v>34</v>
      </c>
      <c r="F864" s="10" t="s">
        <v>35</v>
      </c>
      <c r="G864" s="8" t="s">
        <v>41</v>
      </c>
      <c r="H864" s="12">
        <v>1</v>
      </c>
      <c r="I864" s="12">
        <v>1</v>
      </c>
      <c r="J864" s="15">
        <v>7000.0</v>
      </c>
      <c r="K864" s="15"/>
      <c r="L864" s="17">
        <f>IF(J864&gt;0, K864/J864, 0)</f>
        <v>0</v>
      </c>
      <c r="M864" s="15">
        <v>7000.0</v>
      </c>
      <c r="N864" s="15"/>
      <c r="O864" s="15">
        <f>M864-N864</f>
        <v>7000</v>
      </c>
      <c r="P864" s="10" t="s">
        <v>42</v>
      </c>
      <c r="Q864" s="10" t="s">
        <v>43</v>
      </c>
      <c r="R864" s="10" t="s">
        <v>44</v>
      </c>
      <c r="S864" s="8" t="s">
        <v>2100</v>
      </c>
      <c r="T864" s="8" t="s">
        <v>44</v>
      </c>
    </row>
    <row r="865" spans="1:20">
      <c r="A865" s="11">
        <v>858</v>
      </c>
      <c r="B865" s="11" t="s">
        <v>1164</v>
      </c>
      <c r="C865" s="11" t="s">
        <v>1085</v>
      </c>
      <c r="D865" s="11" t="s">
        <v>655</v>
      </c>
      <c r="E865" s="11" t="s">
        <v>34</v>
      </c>
      <c r="F865" s="11" t="s">
        <v>35</v>
      </c>
      <c r="G865" s="9" t="s">
        <v>41</v>
      </c>
      <c r="H865" s="13">
        <v>1</v>
      </c>
      <c r="I865" s="13">
        <v>1</v>
      </c>
      <c r="J865" s="16">
        <v>8000.0</v>
      </c>
      <c r="K865" s="16"/>
      <c r="L865" s="18">
        <f>IF(J865&gt;0, K865/J865, 0)</f>
        <v>0</v>
      </c>
      <c r="M865" s="16">
        <v>8000.0</v>
      </c>
      <c r="N865" s="16"/>
      <c r="O865" s="16">
        <f>M865-N865</f>
        <v>8000</v>
      </c>
      <c r="P865" s="11" t="s">
        <v>42</v>
      </c>
      <c r="Q865" s="11" t="s">
        <v>43</v>
      </c>
      <c r="R865" s="11" t="s">
        <v>44</v>
      </c>
      <c r="S865" s="9" t="s">
        <v>2098</v>
      </c>
      <c r="T865" s="9" t="s">
        <v>44</v>
      </c>
    </row>
    <row r="866" spans="1:20">
      <c r="A866" s="10">
        <v>859</v>
      </c>
      <c r="B866" s="10" t="s">
        <v>1165</v>
      </c>
      <c r="C866" s="10" t="s">
        <v>1085</v>
      </c>
      <c r="D866" s="10" t="s">
        <v>655</v>
      </c>
      <c r="E866" s="10" t="s">
        <v>34</v>
      </c>
      <c r="F866" s="10" t="s">
        <v>35</v>
      </c>
      <c r="G866" s="8" t="s">
        <v>41</v>
      </c>
      <c r="H866" s="12">
        <v>1</v>
      </c>
      <c r="I866" s="12">
        <v>2</v>
      </c>
      <c r="J866" s="15">
        <v>14000.0</v>
      </c>
      <c r="K866" s="15"/>
      <c r="L866" s="17">
        <f>IF(J866&gt;0, K866/J866, 0)</f>
        <v>0</v>
      </c>
      <c r="M866" s="15">
        <v>14000.0</v>
      </c>
      <c r="N866" s="15"/>
      <c r="O866" s="15">
        <f>M866-N866</f>
        <v>14000</v>
      </c>
      <c r="P866" s="10" t="s">
        <v>42</v>
      </c>
      <c r="Q866" s="10" t="s">
        <v>43</v>
      </c>
      <c r="R866" s="10" t="s">
        <v>44</v>
      </c>
      <c r="S866" s="8" t="s">
        <v>2044</v>
      </c>
      <c r="T866" s="8" t="s">
        <v>44</v>
      </c>
    </row>
    <row r="867" spans="1:20">
      <c r="A867" s="11">
        <v>860</v>
      </c>
      <c r="B867" s="11" t="s">
        <v>1166</v>
      </c>
      <c r="C867" s="11" t="s">
        <v>1085</v>
      </c>
      <c r="D867" s="11" t="s">
        <v>655</v>
      </c>
      <c r="E867" s="11" t="s">
        <v>34</v>
      </c>
      <c r="F867" s="11" t="s">
        <v>35</v>
      </c>
      <c r="G867" s="9" t="s">
        <v>41</v>
      </c>
      <c r="H867" s="13">
        <v>1</v>
      </c>
      <c r="I867" s="13">
        <v>2</v>
      </c>
      <c r="J867" s="16">
        <v>14000.0</v>
      </c>
      <c r="K867" s="16"/>
      <c r="L867" s="18">
        <f>IF(J867&gt;0, K867/J867, 0)</f>
        <v>0</v>
      </c>
      <c r="M867" s="16">
        <v>14000.0</v>
      </c>
      <c r="N867" s="16"/>
      <c r="O867" s="16">
        <f>M867-N867</f>
        <v>14000</v>
      </c>
      <c r="P867" s="11" t="s">
        <v>42</v>
      </c>
      <c r="Q867" s="11" t="s">
        <v>43</v>
      </c>
      <c r="R867" s="11" t="s">
        <v>44</v>
      </c>
      <c r="S867" s="9" t="s">
        <v>2116</v>
      </c>
      <c r="T867" s="9" t="s">
        <v>44</v>
      </c>
    </row>
    <row r="868" spans="1:20">
      <c r="A868" s="10">
        <v>861</v>
      </c>
      <c r="B868" s="10" t="s">
        <v>1167</v>
      </c>
      <c r="C868" s="10" t="s">
        <v>1085</v>
      </c>
      <c r="D868" s="10" t="s">
        <v>655</v>
      </c>
      <c r="E868" s="10" t="s">
        <v>34</v>
      </c>
      <c r="F868" s="10" t="s">
        <v>35</v>
      </c>
      <c r="G868" s="8" t="s">
        <v>41</v>
      </c>
      <c r="H868" s="12">
        <v>1</v>
      </c>
      <c r="I868" s="12">
        <v>1</v>
      </c>
      <c r="J868" s="15">
        <v>10000.0</v>
      </c>
      <c r="K868" s="15"/>
      <c r="L868" s="17">
        <f>IF(J868&gt;0, K868/J868, 0)</f>
        <v>0</v>
      </c>
      <c r="M868" s="15">
        <v>10000.0</v>
      </c>
      <c r="N868" s="15"/>
      <c r="O868" s="15">
        <f>M868-N868</f>
        <v>10000</v>
      </c>
      <c r="P868" s="10" t="s">
        <v>42</v>
      </c>
      <c r="Q868" s="10" t="s">
        <v>43</v>
      </c>
      <c r="R868" s="10" t="s">
        <v>44</v>
      </c>
      <c r="S868" s="8" t="s">
        <v>2059</v>
      </c>
      <c r="T868" s="8" t="s">
        <v>44</v>
      </c>
    </row>
    <row r="869" spans="1:20">
      <c r="A869" s="11">
        <v>862</v>
      </c>
      <c r="B869" s="11" t="s">
        <v>1168</v>
      </c>
      <c r="C869" s="11" t="s">
        <v>1085</v>
      </c>
      <c r="D869" s="11" t="s">
        <v>655</v>
      </c>
      <c r="E869" s="11" t="s">
        <v>70</v>
      </c>
      <c r="F869" s="11" t="s">
        <v>35</v>
      </c>
      <c r="G869" s="9" t="s">
        <v>41</v>
      </c>
      <c r="H869" s="13">
        <v>1</v>
      </c>
      <c r="I869" s="13">
        <v>1</v>
      </c>
      <c r="J869" s="16">
        <v>8000.0</v>
      </c>
      <c r="K869" s="16"/>
      <c r="L869" s="18">
        <f>IF(J869&gt;0, K869/J869, 0)</f>
        <v>0</v>
      </c>
      <c r="M869" s="16">
        <v>8000.0</v>
      </c>
      <c r="N869" s="16"/>
      <c r="O869" s="16">
        <f>M869-N869</f>
        <v>8000</v>
      </c>
      <c r="P869" s="11" t="s">
        <v>42</v>
      </c>
      <c r="Q869" s="11" t="s">
        <v>73</v>
      </c>
      <c r="R869" s="11" t="s">
        <v>44</v>
      </c>
      <c r="S869" s="9" t="s">
        <v>2164</v>
      </c>
      <c r="T869" s="9" t="s">
        <v>44</v>
      </c>
    </row>
    <row r="870" spans="1:20">
      <c r="A870" s="10">
        <v>863</v>
      </c>
      <c r="B870" s="10" t="s">
        <v>1169</v>
      </c>
      <c r="C870" s="10" t="s">
        <v>1085</v>
      </c>
      <c r="D870" s="10" t="s">
        <v>655</v>
      </c>
      <c r="E870" s="10" t="s">
        <v>34</v>
      </c>
      <c r="F870" s="10" t="s">
        <v>35</v>
      </c>
      <c r="G870" s="8" t="s">
        <v>41</v>
      </c>
      <c r="H870" s="12">
        <v>1</v>
      </c>
      <c r="I870" s="12">
        <v>1</v>
      </c>
      <c r="J870" s="15">
        <v>8000.0</v>
      </c>
      <c r="K870" s="15"/>
      <c r="L870" s="17">
        <f>IF(J870&gt;0, K870/J870, 0)</f>
        <v>0</v>
      </c>
      <c r="M870" s="15">
        <v>8000.0</v>
      </c>
      <c r="N870" s="15"/>
      <c r="O870" s="15">
        <f>M870-N870</f>
        <v>8000</v>
      </c>
      <c r="P870" s="10" t="s">
        <v>42</v>
      </c>
      <c r="Q870" s="10" t="s">
        <v>43</v>
      </c>
      <c r="R870" s="10" t="s">
        <v>44</v>
      </c>
      <c r="S870" s="8" t="s">
        <v>2144</v>
      </c>
      <c r="T870" s="8" t="s">
        <v>44</v>
      </c>
    </row>
    <row r="871" spans="1:20">
      <c r="A871" s="11">
        <v>864</v>
      </c>
      <c r="B871" s="11" t="s">
        <v>1170</v>
      </c>
      <c r="C871" s="11" t="s">
        <v>1085</v>
      </c>
      <c r="D871" s="11" t="s">
        <v>655</v>
      </c>
      <c r="E871" s="11" t="s">
        <v>34</v>
      </c>
      <c r="F871" s="11" t="s">
        <v>35</v>
      </c>
      <c r="G871" s="9" t="s">
        <v>41</v>
      </c>
      <c r="H871" s="13">
        <v>1</v>
      </c>
      <c r="I871" s="13">
        <v>1</v>
      </c>
      <c r="J871" s="16">
        <v>7000.0</v>
      </c>
      <c r="K871" s="16"/>
      <c r="L871" s="18">
        <f>IF(J871&gt;0, K871/J871, 0)</f>
        <v>0</v>
      </c>
      <c r="M871" s="16">
        <v>7000.0</v>
      </c>
      <c r="N871" s="16"/>
      <c r="O871" s="16">
        <f>M871-N871</f>
        <v>7000</v>
      </c>
      <c r="P871" s="11" t="s">
        <v>42</v>
      </c>
      <c r="Q871" s="11" t="s">
        <v>43</v>
      </c>
      <c r="R871" s="11" t="s">
        <v>44</v>
      </c>
      <c r="S871" s="9" t="s">
        <v>2053</v>
      </c>
      <c r="T871" s="9" t="s">
        <v>44</v>
      </c>
    </row>
    <row r="872" spans="1:20">
      <c r="A872" s="10">
        <v>865</v>
      </c>
      <c r="B872" s="10" t="s">
        <v>1171</v>
      </c>
      <c r="C872" s="10" t="s">
        <v>1085</v>
      </c>
      <c r="D872" s="10" t="s">
        <v>655</v>
      </c>
      <c r="E872" s="10" t="s">
        <v>34</v>
      </c>
      <c r="F872" s="10" t="s">
        <v>35</v>
      </c>
      <c r="G872" s="8" t="s">
        <v>41</v>
      </c>
      <c r="H872" s="12">
        <v>1</v>
      </c>
      <c r="I872" s="12">
        <v>1</v>
      </c>
      <c r="J872" s="15">
        <v>8000.0</v>
      </c>
      <c r="K872" s="15"/>
      <c r="L872" s="17">
        <f>IF(J872&gt;0, K872/J872, 0)</f>
        <v>0</v>
      </c>
      <c r="M872" s="15">
        <v>8000.0</v>
      </c>
      <c r="N872" s="15"/>
      <c r="O872" s="15">
        <f>M872-N872</f>
        <v>8000</v>
      </c>
      <c r="P872" s="10" t="s">
        <v>42</v>
      </c>
      <c r="Q872" s="10" t="s">
        <v>43</v>
      </c>
      <c r="R872" s="10" t="s">
        <v>44</v>
      </c>
      <c r="S872" s="8" t="s">
        <v>2098</v>
      </c>
      <c r="T872" s="8" t="s">
        <v>44</v>
      </c>
    </row>
    <row r="873" spans="1:20">
      <c r="A873" s="11">
        <v>866</v>
      </c>
      <c r="B873" s="11" t="s">
        <v>1172</v>
      </c>
      <c r="C873" s="11" t="s">
        <v>1085</v>
      </c>
      <c r="D873" s="11" t="s">
        <v>655</v>
      </c>
      <c r="E873" s="11" t="s">
        <v>34</v>
      </c>
      <c r="F873" s="11" t="s">
        <v>35</v>
      </c>
      <c r="G873" s="9" t="s">
        <v>41</v>
      </c>
      <c r="H873" s="13">
        <v>1</v>
      </c>
      <c r="I873" s="13">
        <v>1</v>
      </c>
      <c r="J873" s="16">
        <v>16000.0</v>
      </c>
      <c r="K873" s="16"/>
      <c r="L873" s="18">
        <f>IF(J873&gt;0, K873/J873, 0)</f>
        <v>0</v>
      </c>
      <c r="M873" s="16">
        <v>16000.0</v>
      </c>
      <c r="N873" s="16"/>
      <c r="O873" s="16">
        <f>M873-N873</f>
        <v>16000</v>
      </c>
      <c r="P873" s="11" t="s">
        <v>42</v>
      </c>
      <c r="Q873" s="11" t="s">
        <v>43</v>
      </c>
      <c r="R873" s="11" t="s">
        <v>44</v>
      </c>
      <c r="S873" s="9" t="s">
        <v>2072</v>
      </c>
      <c r="T873" s="9" t="s">
        <v>44</v>
      </c>
    </row>
    <row r="874" spans="1:20">
      <c r="A874" s="10">
        <v>867</v>
      </c>
      <c r="B874" s="10" t="s">
        <v>1173</v>
      </c>
      <c r="C874" s="10" t="s">
        <v>1085</v>
      </c>
      <c r="D874" s="10" t="s">
        <v>655</v>
      </c>
      <c r="E874" s="10" t="s">
        <v>70</v>
      </c>
      <c r="F874" s="10" t="s">
        <v>35</v>
      </c>
      <c r="G874" s="8" t="s">
        <v>41</v>
      </c>
      <c r="H874" s="12">
        <v>1</v>
      </c>
      <c r="I874" s="12">
        <v>2</v>
      </c>
      <c r="J874" s="15">
        <v>20000.0</v>
      </c>
      <c r="K874" s="15"/>
      <c r="L874" s="17">
        <f>IF(J874&gt;0, K874/J874, 0)</f>
        <v>0</v>
      </c>
      <c r="M874" s="15">
        <v>20000.0</v>
      </c>
      <c r="N874" s="15"/>
      <c r="O874" s="15">
        <f>M874-N874</f>
        <v>20000</v>
      </c>
      <c r="P874" s="10" t="s">
        <v>42</v>
      </c>
      <c r="Q874" s="10" t="s">
        <v>73</v>
      </c>
      <c r="R874" s="10" t="s">
        <v>44</v>
      </c>
      <c r="S874" s="8" t="s">
        <v>2044</v>
      </c>
      <c r="T874" s="8" t="s">
        <v>44</v>
      </c>
    </row>
    <row r="875" spans="1:20">
      <c r="A875" s="11">
        <v>868</v>
      </c>
      <c r="B875" s="11" t="s">
        <v>1174</v>
      </c>
      <c r="C875" s="11" t="s">
        <v>1085</v>
      </c>
      <c r="D875" s="11" t="s">
        <v>655</v>
      </c>
      <c r="E875" s="11" t="s">
        <v>70</v>
      </c>
      <c r="F875" s="11" t="s">
        <v>35</v>
      </c>
      <c r="G875" s="9" t="s">
        <v>41</v>
      </c>
      <c r="H875" s="13">
        <v>1</v>
      </c>
      <c r="I875" s="13">
        <v>1</v>
      </c>
      <c r="J875" s="16">
        <v>18000.0</v>
      </c>
      <c r="K875" s="16"/>
      <c r="L875" s="18">
        <f>IF(J875&gt;0, K875/J875, 0)</f>
        <v>0</v>
      </c>
      <c r="M875" s="16">
        <v>18000.0</v>
      </c>
      <c r="N875" s="16"/>
      <c r="O875" s="16">
        <f>M875-N875</f>
        <v>18000</v>
      </c>
      <c r="P875" s="11" t="s">
        <v>42</v>
      </c>
      <c r="Q875" s="11" t="s">
        <v>73</v>
      </c>
      <c r="R875" s="11" t="s">
        <v>44</v>
      </c>
      <c r="S875" s="9" t="s">
        <v>2026</v>
      </c>
      <c r="T875" s="9" t="s">
        <v>44</v>
      </c>
    </row>
    <row r="876" spans="1:20">
      <c r="A876" s="10">
        <v>869</v>
      </c>
      <c r="B876" s="10" t="s">
        <v>1175</v>
      </c>
      <c r="C876" s="10" t="s">
        <v>1085</v>
      </c>
      <c r="D876" s="10" t="s">
        <v>655</v>
      </c>
      <c r="E876" s="10" t="s">
        <v>70</v>
      </c>
      <c r="F876" s="10" t="s">
        <v>35</v>
      </c>
      <c r="G876" s="8" t="s">
        <v>41</v>
      </c>
      <c r="H876" s="12">
        <v>1</v>
      </c>
      <c r="I876" s="12">
        <v>2</v>
      </c>
      <c r="J876" s="15">
        <v>22000.0</v>
      </c>
      <c r="K876" s="15"/>
      <c r="L876" s="17">
        <f>IF(J876&gt;0, K876/J876, 0)</f>
        <v>0</v>
      </c>
      <c r="M876" s="15">
        <v>22000.0</v>
      </c>
      <c r="N876" s="15"/>
      <c r="O876" s="15">
        <f>M876-N876</f>
        <v>22000</v>
      </c>
      <c r="P876" s="10" t="s">
        <v>42</v>
      </c>
      <c r="Q876" s="10" t="s">
        <v>73</v>
      </c>
      <c r="R876" s="10" t="s">
        <v>44</v>
      </c>
      <c r="S876" s="8" t="s">
        <v>2198</v>
      </c>
      <c r="T876" s="8" t="s">
        <v>44</v>
      </c>
    </row>
    <row r="877" spans="1:20">
      <c r="A877" s="11">
        <v>870</v>
      </c>
      <c r="B877" s="11" t="s">
        <v>1176</v>
      </c>
      <c r="C877" s="11" t="s">
        <v>1085</v>
      </c>
      <c r="D877" s="11" t="s">
        <v>655</v>
      </c>
      <c r="E877" s="11" t="s">
        <v>34</v>
      </c>
      <c r="F877" s="11" t="s">
        <v>35</v>
      </c>
      <c r="G877" s="9" t="s">
        <v>41</v>
      </c>
      <c r="H877" s="13">
        <v>1</v>
      </c>
      <c r="I877" s="13">
        <v>1</v>
      </c>
      <c r="J877" s="16">
        <v>18000.0</v>
      </c>
      <c r="K877" s="16"/>
      <c r="L877" s="18">
        <f>IF(J877&gt;0, K877/J877, 0)</f>
        <v>0</v>
      </c>
      <c r="M877" s="16">
        <v>18000.0</v>
      </c>
      <c r="N877" s="16"/>
      <c r="O877" s="16">
        <f>M877-N877</f>
        <v>18000</v>
      </c>
      <c r="P877" s="11" t="s">
        <v>42</v>
      </c>
      <c r="Q877" s="11" t="s">
        <v>43</v>
      </c>
      <c r="R877" s="11" t="s">
        <v>44</v>
      </c>
      <c r="S877" s="9" t="s">
        <v>2021</v>
      </c>
      <c r="T877" s="9" t="s">
        <v>44</v>
      </c>
    </row>
    <row r="878" spans="1:20">
      <c r="A878" s="10">
        <v>871</v>
      </c>
      <c r="B878" s="10" t="s">
        <v>1177</v>
      </c>
      <c r="C878" s="10" t="s">
        <v>1085</v>
      </c>
      <c r="D878" s="10" t="s">
        <v>655</v>
      </c>
      <c r="E878" s="10" t="s">
        <v>34</v>
      </c>
      <c r="F878" s="10" t="s">
        <v>35</v>
      </c>
      <c r="G878" s="8" t="s">
        <v>41</v>
      </c>
      <c r="H878" s="12">
        <v>1</v>
      </c>
      <c r="I878" s="12">
        <v>1</v>
      </c>
      <c r="J878" s="15">
        <v>18000.0</v>
      </c>
      <c r="K878" s="15"/>
      <c r="L878" s="17">
        <f>IF(J878&gt;0, K878/J878, 0)</f>
        <v>0</v>
      </c>
      <c r="M878" s="15">
        <v>18000.0</v>
      </c>
      <c r="N878" s="15"/>
      <c r="O878" s="15">
        <f>M878-N878</f>
        <v>18000</v>
      </c>
      <c r="P878" s="10" t="s">
        <v>42</v>
      </c>
      <c r="Q878" s="10" t="s">
        <v>43</v>
      </c>
      <c r="R878" s="10" t="s">
        <v>44</v>
      </c>
      <c r="S878" s="8" t="s">
        <v>2117</v>
      </c>
      <c r="T878" s="8" t="s">
        <v>44</v>
      </c>
    </row>
    <row r="879" spans="1:20">
      <c r="A879" s="11">
        <v>872</v>
      </c>
      <c r="B879" s="11" t="s">
        <v>1178</v>
      </c>
      <c r="C879" s="11" t="s">
        <v>1085</v>
      </c>
      <c r="D879" s="11" t="s">
        <v>655</v>
      </c>
      <c r="E879" s="11" t="s">
        <v>34</v>
      </c>
      <c r="F879" s="11" t="s">
        <v>35</v>
      </c>
      <c r="G879" s="9" t="s">
        <v>41</v>
      </c>
      <c r="H879" s="13">
        <v>1</v>
      </c>
      <c r="I879" s="13">
        <v>1</v>
      </c>
      <c r="J879" s="16">
        <v>8000.0</v>
      </c>
      <c r="K879" s="16"/>
      <c r="L879" s="18">
        <f>IF(J879&gt;0, K879/J879, 0)</f>
        <v>0</v>
      </c>
      <c r="M879" s="16">
        <v>8000.0</v>
      </c>
      <c r="N879" s="16"/>
      <c r="O879" s="16">
        <f>M879-N879</f>
        <v>8000</v>
      </c>
      <c r="P879" s="11" t="s">
        <v>42</v>
      </c>
      <c r="Q879" s="11" t="s">
        <v>43</v>
      </c>
      <c r="R879" s="11" t="s">
        <v>44</v>
      </c>
      <c r="S879" s="9" t="s">
        <v>2068</v>
      </c>
      <c r="T879" s="9" t="s">
        <v>44</v>
      </c>
    </row>
    <row r="880" spans="1:20">
      <c r="A880" s="10">
        <v>873</v>
      </c>
      <c r="B880" s="10" t="s">
        <v>1179</v>
      </c>
      <c r="C880" s="10" t="s">
        <v>1085</v>
      </c>
      <c r="D880" s="10" t="s">
        <v>655</v>
      </c>
      <c r="E880" s="10" t="s">
        <v>34</v>
      </c>
      <c r="F880" s="10" t="s">
        <v>35</v>
      </c>
      <c r="G880" s="8" t="s">
        <v>41</v>
      </c>
      <c r="H880" s="12">
        <v>1</v>
      </c>
      <c r="I880" s="12">
        <v>1</v>
      </c>
      <c r="J880" s="15">
        <v>9000.0</v>
      </c>
      <c r="K880" s="15"/>
      <c r="L880" s="17">
        <f>IF(J880&gt;0, K880/J880, 0)</f>
        <v>0</v>
      </c>
      <c r="M880" s="15">
        <v>9000.0</v>
      </c>
      <c r="N880" s="15"/>
      <c r="O880" s="15">
        <f>M880-N880</f>
        <v>9000</v>
      </c>
      <c r="P880" s="10" t="s">
        <v>42</v>
      </c>
      <c r="Q880" s="10" t="s">
        <v>43</v>
      </c>
      <c r="R880" s="10" t="s">
        <v>44</v>
      </c>
      <c r="S880" s="8" t="s">
        <v>2148</v>
      </c>
      <c r="T880" s="8" t="s">
        <v>44</v>
      </c>
    </row>
    <row r="881" spans="1:20">
      <c r="A881" s="11">
        <v>874</v>
      </c>
      <c r="B881" s="11" t="s">
        <v>1180</v>
      </c>
      <c r="C881" s="11" t="s">
        <v>1085</v>
      </c>
      <c r="D881" s="11" t="s">
        <v>655</v>
      </c>
      <c r="E881" s="11" t="s">
        <v>34</v>
      </c>
      <c r="F881" s="11" t="s">
        <v>35</v>
      </c>
      <c r="G881" s="9" t="s">
        <v>41</v>
      </c>
      <c r="H881" s="13">
        <v>1</v>
      </c>
      <c r="I881" s="13">
        <v>1</v>
      </c>
      <c r="J881" s="16">
        <v>7500.0</v>
      </c>
      <c r="K881" s="16"/>
      <c r="L881" s="18">
        <f>IF(J881&gt;0, K881/J881, 0)</f>
        <v>0</v>
      </c>
      <c r="M881" s="16">
        <v>7500.0</v>
      </c>
      <c r="N881" s="16"/>
      <c r="O881" s="16">
        <f>M881-N881</f>
        <v>7500</v>
      </c>
      <c r="P881" s="11" t="s">
        <v>42</v>
      </c>
      <c r="Q881" s="11" t="s">
        <v>43</v>
      </c>
      <c r="R881" s="11" t="s">
        <v>44</v>
      </c>
      <c r="S881" s="9" t="s">
        <v>2199</v>
      </c>
      <c r="T881" s="9" t="s">
        <v>44</v>
      </c>
    </row>
    <row r="882" spans="1:20">
      <c r="A882" s="10">
        <v>875</v>
      </c>
      <c r="B882" s="10" t="s">
        <v>1182</v>
      </c>
      <c r="C882" s="10" t="s">
        <v>1085</v>
      </c>
      <c r="D882" s="10" t="s">
        <v>655</v>
      </c>
      <c r="E882" s="10" t="s">
        <v>34</v>
      </c>
      <c r="F882" s="10" t="s">
        <v>35</v>
      </c>
      <c r="G882" s="8" t="s">
        <v>41</v>
      </c>
      <c r="H882" s="12">
        <v>1</v>
      </c>
      <c r="I882" s="12">
        <v>1</v>
      </c>
      <c r="J882" s="15">
        <v>8500.0</v>
      </c>
      <c r="K882" s="15"/>
      <c r="L882" s="17">
        <f>IF(J882&gt;0, K882/J882, 0)</f>
        <v>0</v>
      </c>
      <c r="M882" s="15">
        <v>8500.0</v>
      </c>
      <c r="N882" s="15"/>
      <c r="O882" s="15">
        <f>M882-N882</f>
        <v>8500</v>
      </c>
      <c r="P882" s="10" t="s">
        <v>42</v>
      </c>
      <c r="Q882" s="10" t="s">
        <v>43</v>
      </c>
      <c r="R882" s="10" t="s">
        <v>44</v>
      </c>
      <c r="S882" s="8" t="s">
        <v>2161</v>
      </c>
      <c r="T882" s="8" t="s">
        <v>44</v>
      </c>
    </row>
    <row r="883" spans="1:20">
      <c r="A883" s="11">
        <v>876</v>
      </c>
      <c r="B883" s="11" t="s">
        <v>1183</v>
      </c>
      <c r="C883" s="11" t="s">
        <v>1085</v>
      </c>
      <c r="D883" s="11" t="s">
        <v>655</v>
      </c>
      <c r="E883" s="11" t="s">
        <v>34</v>
      </c>
      <c r="F883" s="11" t="s">
        <v>35</v>
      </c>
      <c r="G883" s="9" t="s">
        <v>41</v>
      </c>
      <c r="H883" s="13">
        <v>1</v>
      </c>
      <c r="I883" s="13">
        <v>1</v>
      </c>
      <c r="J883" s="16">
        <v>16500.0</v>
      </c>
      <c r="K883" s="16"/>
      <c r="L883" s="18">
        <f>IF(J883&gt;0, K883/J883, 0)</f>
        <v>0</v>
      </c>
      <c r="M883" s="16">
        <v>16500.0</v>
      </c>
      <c r="N883" s="16"/>
      <c r="O883" s="16">
        <f>M883-N883</f>
        <v>16500</v>
      </c>
      <c r="P883" s="11" t="s">
        <v>42</v>
      </c>
      <c r="Q883" s="11" t="s">
        <v>43</v>
      </c>
      <c r="R883" s="11" t="s">
        <v>44</v>
      </c>
      <c r="S883" s="9" t="s">
        <v>2175</v>
      </c>
      <c r="T883" s="9" t="s">
        <v>44</v>
      </c>
    </row>
    <row r="884" spans="1:20">
      <c r="A884" s="10">
        <v>877</v>
      </c>
      <c r="B884" s="10" t="s">
        <v>1184</v>
      </c>
      <c r="C884" s="10" t="s">
        <v>1085</v>
      </c>
      <c r="D884" s="10" t="s">
        <v>655</v>
      </c>
      <c r="E884" s="10" t="s">
        <v>34</v>
      </c>
      <c r="F884" s="10" t="s">
        <v>35</v>
      </c>
      <c r="G884" s="8" t="s">
        <v>41</v>
      </c>
      <c r="H884" s="12">
        <v>1</v>
      </c>
      <c r="I884" s="12">
        <v>1</v>
      </c>
      <c r="J884" s="15">
        <v>9000.0</v>
      </c>
      <c r="K884" s="15"/>
      <c r="L884" s="17">
        <f>IF(J884&gt;0, K884/J884, 0)</f>
        <v>0</v>
      </c>
      <c r="M884" s="15">
        <v>9000.0</v>
      </c>
      <c r="N884" s="15"/>
      <c r="O884" s="15">
        <f>M884-N884</f>
        <v>9000</v>
      </c>
      <c r="P884" s="10" t="s">
        <v>42</v>
      </c>
      <c r="Q884" s="10" t="s">
        <v>43</v>
      </c>
      <c r="R884" s="10" t="s">
        <v>44</v>
      </c>
      <c r="S884" s="8" t="s">
        <v>2200</v>
      </c>
      <c r="T884" s="8" t="s">
        <v>44</v>
      </c>
    </row>
    <row r="885" spans="1:20">
      <c r="A885" s="11">
        <v>878</v>
      </c>
      <c r="B885" s="11" t="s">
        <v>1186</v>
      </c>
      <c r="C885" s="11" t="s">
        <v>1085</v>
      </c>
      <c r="D885" s="11" t="s">
        <v>655</v>
      </c>
      <c r="E885" s="11" t="s">
        <v>34</v>
      </c>
      <c r="F885" s="11" t="s">
        <v>35</v>
      </c>
      <c r="G885" s="9" t="s">
        <v>41</v>
      </c>
      <c r="H885" s="13">
        <v>1</v>
      </c>
      <c r="I885" s="13">
        <v>1</v>
      </c>
      <c r="J885" s="16">
        <v>9500.0</v>
      </c>
      <c r="K885" s="16"/>
      <c r="L885" s="18">
        <f>IF(J885&gt;0, K885/J885, 0)</f>
        <v>0</v>
      </c>
      <c r="M885" s="16">
        <v>9500.0</v>
      </c>
      <c r="N885" s="16"/>
      <c r="O885" s="16">
        <f>M885-N885</f>
        <v>9500</v>
      </c>
      <c r="P885" s="11" t="s">
        <v>42</v>
      </c>
      <c r="Q885" s="11" t="s">
        <v>43</v>
      </c>
      <c r="R885" s="11" t="s">
        <v>44</v>
      </c>
      <c r="S885" s="9" t="s">
        <v>2052</v>
      </c>
      <c r="T885" s="9" t="s">
        <v>44</v>
      </c>
    </row>
    <row r="886" spans="1:20">
      <c r="A886" s="10">
        <v>879</v>
      </c>
      <c r="B886" s="10" t="s">
        <v>1187</v>
      </c>
      <c r="C886" s="10" t="s">
        <v>1085</v>
      </c>
      <c r="D886" s="10" t="s">
        <v>655</v>
      </c>
      <c r="E886" s="10" t="s">
        <v>34</v>
      </c>
      <c r="F886" s="10" t="s">
        <v>35</v>
      </c>
      <c r="G886" s="8" t="s">
        <v>41</v>
      </c>
      <c r="H886" s="12">
        <v>1</v>
      </c>
      <c r="I886" s="12">
        <v>1</v>
      </c>
      <c r="J886" s="15">
        <v>7500.0</v>
      </c>
      <c r="K886" s="15"/>
      <c r="L886" s="17">
        <f>IF(J886&gt;0, K886/J886, 0)</f>
        <v>0</v>
      </c>
      <c r="M886" s="15">
        <v>7500.0</v>
      </c>
      <c r="N886" s="15"/>
      <c r="O886" s="15">
        <f>M886-N886</f>
        <v>7500</v>
      </c>
      <c r="P886" s="10" t="s">
        <v>42</v>
      </c>
      <c r="Q886" s="10" t="s">
        <v>43</v>
      </c>
      <c r="R886" s="10" t="s">
        <v>44</v>
      </c>
      <c r="S886" s="8" t="s">
        <v>2074</v>
      </c>
      <c r="T886" s="8" t="s">
        <v>44</v>
      </c>
    </row>
    <row r="887" spans="1:20">
      <c r="A887" s="11">
        <v>880</v>
      </c>
      <c r="B887" s="11" t="s">
        <v>1188</v>
      </c>
      <c r="C887" s="11" t="s">
        <v>1085</v>
      </c>
      <c r="D887" s="11" t="s">
        <v>655</v>
      </c>
      <c r="E887" s="11" t="s">
        <v>34</v>
      </c>
      <c r="F887" s="11" t="s">
        <v>35</v>
      </c>
      <c r="G887" s="9" t="s">
        <v>41</v>
      </c>
      <c r="H887" s="13">
        <v>1</v>
      </c>
      <c r="I887" s="13">
        <v>1</v>
      </c>
      <c r="J887" s="16">
        <v>16500.0</v>
      </c>
      <c r="K887" s="16"/>
      <c r="L887" s="18">
        <f>IF(J887&gt;0, K887/J887, 0)</f>
        <v>0</v>
      </c>
      <c r="M887" s="16">
        <v>16500.0</v>
      </c>
      <c r="N887" s="16"/>
      <c r="O887" s="16">
        <f>M887-N887</f>
        <v>16500</v>
      </c>
      <c r="P887" s="11" t="s">
        <v>42</v>
      </c>
      <c r="Q887" s="11" t="s">
        <v>43</v>
      </c>
      <c r="R887" s="11" t="s">
        <v>44</v>
      </c>
      <c r="S887" s="9" t="s">
        <v>2070</v>
      </c>
      <c r="T887" s="9" t="s">
        <v>44</v>
      </c>
    </row>
    <row r="888" spans="1:20">
      <c r="A888" s="10">
        <v>881</v>
      </c>
      <c r="B888" s="10" t="s">
        <v>1189</v>
      </c>
      <c r="C888" s="10" t="s">
        <v>1085</v>
      </c>
      <c r="D888" s="10" t="s">
        <v>655</v>
      </c>
      <c r="E888" s="10" t="s">
        <v>34</v>
      </c>
      <c r="F888" s="10" t="s">
        <v>35</v>
      </c>
      <c r="G888" s="8" t="s">
        <v>41</v>
      </c>
      <c r="H888" s="12">
        <v>1</v>
      </c>
      <c r="I888" s="12">
        <v>1</v>
      </c>
      <c r="J888" s="15">
        <v>8500.0</v>
      </c>
      <c r="K888" s="15"/>
      <c r="L888" s="17">
        <f>IF(J888&gt;0, K888/J888, 0)</f>
        <v>0</v>
      </c>
      <c r="M888" s="15">
        <v>8500.0</v>
      </c>
      <c r="N888" s="15"/>
      <c r="O888" s="15">
        <f>M888-N888</f>
        <v>8500</v>
      </c>
      <c r="P888" s="10" t="s">
        <v>42</v>
      </c>
      <c r="Q888" s="10" t="s">
        <v>43</v>
      </c>
      <c r="R888" s="10" t="s">
        <v>44</v>
      </c>
      <c r="S888" s="8" t="s">
        <v>2119</v>
      </c>
      <c r="T888" s="8" t="s">
        <v>44</v>
      </c>
    </row>
    <row r="889" spans="1:20">
      <c r="A889" s="11">
        <v>882</v>
      </c>
      <c r="B889" s="11" t="s">
        <v>1190</v>
      </c>
      <c r="C889" s="11" t="s">
        <v>1085</v>
      </c>
      <c r="D889" s="11" t="s">
        <v>655</v>
      </c>
      <c r="E889" s="11" t="s">
        <v>34</v>
      </c>
      <c r="F889" s="11" t="s">
        <v>35</v>
      </c>
      <c r="G889" s="9" t="s">
        <v>41</v>
      </c>
      <c r="H889" s="13">
        <v>1</v>
      </c>
      <c r="I889" s="13">
        <v>1</v>
      </c>
      <c r="J889" s="16">
        <v>9000.0</v>
      </c>
      <c r="K889" s="16"/>
      <c r="L889" s="18">
        <f>IF(J889&gt;0, K889/J889, 0)</f>
        <v>0</v>
      </c>
      <c r="M889" s="16">
        <v>9000.0</v>
      </c>
      <c r="N889" s="16"/>
      <c r="O889" s="16">
        <f>M889-N889</f>
        <v>9000</v>
      </c>
      <c r="P889" s="11" t="s">
        <v>42</v>
      </c>
      <c r="Q889" s="11" t="s">
        <v>43</v>
      </c>
      <c r="R889" s="11" t="s">
        <v>44</v>
      </c>
      <c r="S889" s="9" t="s">
        <v>2148</v>
      </c>
      <c r="T889" s="9" t="s">
        <v>44</v>
      </c>
    </row>
    <row r="890" spans="1:20">
      <c r="A890" s="10">
        <v>883</v>
      </c>
      <c r="B890" s="10" t="s">
        <v>1191</v>
      </c>
      <c r="C890" s="10" t="s">
        <v>1085</v>
      </c>
      <c r="D890" s="10" t="s">
        <v>655</v>
      </c>
      <c r="E890" s="10" t="s">
        <v>34</v>
      </c>
      <c r="F890" s="10" t="s">
        <v>35</v>
      </c>
      <c r="G890" s="8" t="s">
        <v>41</v>
      </c>
      <c r="H890" s="12">
        <v>1</v>
      </c>
      <c r="I890" s="12">
        <v>1</v>
      </c>
      <c r="J890" s="15">
        <v>8000.0</v>
      </c>
      <c r="K890" s="15"/>
      <c r="L890" s="17">
        <f>IF(J890&gt;0, K890/J890, 0)</f>
        <v>0</v>
      </c>
      <c r="M890" s="15">
        <v>8000.0</v>
      </c>
      <c r="N890" s="15"/>
      <c r="O890" s="15">
        <f>M890-N890</f>
        <v>8000</v>
      </c>
      <c r="P890" s="10" t="s">
        <v>42</v>
      </c>
      <c r="Q890" s="10" t="s">
        <v>43</v>
      </c>
      <c r="R890" s="10" t="s">
        <v>44</v>
      </c>
      <c r="S890" s="8" t="s">
        <v>2068</v>
      </c>
      <c r="T890" s="8" t="s">
        <v>44</v>
      </c>
    </row>
    <row r="891" spans="1:20">
      <c r="A891" s="11">
        <v>884</v>
      </c>
      <c r="B891" s="11" t="s">
        <v>1192</v>
      </c>
      <c r="C891" s="11" t="s">
        <v>1085</v>
      </c>
      <c r="D891" s="11" t="s">
        <v>655</v>
      </c>
      <c r="E891" s="11" t="s">
        <v>34</v>
      </c>
      <c r="F891" s="11" t="s">
        <v>35</v>
      </c>
      <c r="G891" s="9" t="s">
        <v>41</v>
      </c>
      <c r="H891" s="13">
        <v>1</v>
      </c>
      <c r="I891" s="13">
        <v>2</v>
      </c>
      <c r="J891" s="16">
        <v>16000.0</v>
      </c>
      <c r="K891" s="16"/>
      <c r="L891" s="18">
        <f>IF(J891&gt;0, K891/J891, 0)</f>
        <v>0</v>
      </c>
      <c r="M891" s="16">
        <v>16000.0</v>
      </c>
      <c r="N891" s="16"/>
      <c r="O891" s="16">
        <f>M891-N891</f>
        <v>16000</v>
      </c>
      <c r="P891" s="11" t="s">
        <v>42</v>
      </c>
      <c r="Q891" s="11" t="s">
        <v>43</v>
      </c>
      <c r="R891" s="11" t="s">
        <v>44</v>
      </c>
      <c r="S891" s="9" t="s">
        <v>2180</v>
      </c>
      <c r="T891" s="9" t="s">
        <v>44</v>
      </c>
    </row>
    <row r="892" spans="1:20">
      <c r="A892" s="10">
        <v>885</v>
      </c>
      <c r="B892" s="10" t="s">
        <v>1193</v>
      </c>
      <c r="C892" s="10" t="s">
        <v>1085</v>
      </c>
      <c r="D892" s="10" t="s">
        <v>655</v>
      </c>
      <c r="E892" s="10" t="s">
        <v>34</v>
      </c>
      <c r="F892" s="10" t="s">
        <v>35</v>
      </c>
      <c r="G892" s="8" t="s">
        <v>41</v>
      </c>
      <c r="H892" s="12">
        <v>1</v>
      </c>
      <c r="I892" s="12">
        <v>1</v>
      </c>
      <c r="J892" s="15">
        <v>9000.0</v>
      </c>
      <c r="K892" s="15"/>
      <c r="L892" s="17">
        <f>IF(J892&gt;0, K892/J892, 0)</f>
        <v>0</v>
      </c>
      <c r="M892" s="15">
        <v>9000.0</v>
      </c>
      <c r="N892" s="15"/>
      <c r="O892" s="15">
        <f>M892-N892</f>
        <v>9000</v>
      </c>
      <c r="P892" s="10" t="s">
        <v>42</v>
      </c>
      <c r="Q892" s="10" t="s">
        <v>43</v>
      </c>
      <c r="R892" s="10" t="s">
        <v>44</v>
      </c>
      <c r="S892" s="8" t="s">
        <v>2148</v>
      </c>
      <c r="T892" s="8" t="s">
        <v>44</v>
      </c>
    </row>
    <row r="893" spans="1:20">
      <c r="A893" s="11">
        <v>886</v>
      </c>
      <c r="B893" s="11" t="s">
        <v>1194</v>
      </c>
      <c r="C893" s="11" t="s">
        <v>1085</v>
      </c>
      <c r="D893" s="11" t="s">
        <v>655</v>
      </c>
      <c r="E893" s="11" t="s">
        <v>34</v>
      </c>
      <c r="F893" s="11" t="s">
        <v>35</v>
      </c>
      <c r="G893" s="9" t="s">
        <v>41</v>
      </c>
      <c r="H893" s="13">
        <v>1</v>
      </c>
      <c r="I893" s="13">
        <v>1</v>
      </c>
      <c r="J893" s="16">
        <v>8000.0</v>
      </c>
      <c r="K893" s="16"/>
      <c r="L893" s="18">
        <f>IF(J893&gt;0, K893/J893, 0)</f>
        <v>0</v>
      </c>
      <c r="M893" s="16">
        <v>8000.0</v>
      </c>
      <c r="N893" s="16"/>
      <c r="O893" s="16">
        <f>M893-N893</f>
        <v>8000</v>
      </c>
      <c r="P893" s="11" t="s">
        <v>42</v>
      </c>
      <c r="Q893" s="11" t="s">
        <v>43</v>
      </c>
      <c r="R893" s="11" t="s">
        <v>44</v>
      </c>
      <c r="S893" s="9" t="s">
        <v>2068</v>
      </c>
      <c r="T893" s="9" t="s">
        <v>44</v>
      </c>
    </row>
    <row r="894" spans="1:20">
      <c r="A894" s="10">
        <v>887</v>
      </c>
      <c r="B894" s="10" t="s">
        <v>1195</v>
      </c>
      <c r="C894" s="10" t="s">
        <v>1085</v>
      </c>
      <c r="D894" s="10" t="s">
        <v>655</v>
      </c>
      <c r="E894" s="10" t="s">
        <v>34</v>
      </c>
      <c r="F894" s="10" t="s">
        <v>35</v>
      </c>
      <c r="G894" s="8" t="s">
        <v>41</v>
      </c>
      <c r="H894" s="12">
        <v>1</v>
      </c>
      <c r="I894" s="12">
        <v>1</v>
      </c>
      <c r="J894" s="15">
        <v>9000.0</v>
      </c>
      <c r="K894" s="15"/>
      <c r="L894" s="17">
        <f>IF(J894&gt;0, K894/J894, 0)</f>
        <v>0</v>
      </c>
      <c r="M894" s="15">
        <v>9000.0</v>
      </c>
      <c r="N894" s="15"/>
      <c r="O894" s="15">
        <f>M894-N894</f>
        <v>9000</v>
      </c>
      <c r="P894" s="10" t="s">
        <v>42</v>
      </c>
      <c r="Q894" s="10" t="s">
        <v>43</v>
      </c>
      <c r="R894" s="10" t="s">
        <v>44</v>
      </c>
      <c r="S894" s="8" t="s">
        <v>2083</v>
      </c>
      <c r="T894" s="8" t="s">
        <v>44</v>
      </c>
    </row>
    <row r="895" spans="1:20">
      <c r="A895" s="11">
        <v>888</v>
      </c>
      <c r="B895" s="11" t="s">
        <v>1196</v>
      </c>
      <c r="C895" s="11" t="s">
        <v>1085</v>
      </c>
      <c r="D895" s="11" t="s">
        <v>655</v>
      </c>
      <c r="E895" s="11" t="s">
        <v>34</v>
      </c>
      <c r="F895" s="11" t="s">
        <v>35</v>
      </c>
      <c r="G895" s="9" t="s">
        <v>41</v>
      </c>
      <c r="H895" s="13">
        <v>1</v>
      </c>
      <c r="I895" s="13">
        <v>1</v>
      </c>
      <c r="J895" s="16">
        <v>8000.0</v>
      </c>
      <c r="K895" s="16"/>
      <c r="L895" s="18">
        <f>IF(J895&gt;0, K895/J895, 0)</f>
        <v>0</v>
      </c>
      <c r="M895" s="16">
        <v>8000.0</v>
      </c>
      <c r="N895" s="16"/>
      <c r="O895" s="16">
        <f>M895-N895</f>
        <v>8000</v>
      </c>
      <c r="P895" s="11" t="s">
        <v>42</v>
      </c>
      <c r="Q895" s="11" t="s">
        <v>43</v>
      </c>
      <c r="R895" s="11" t="s">
        <v>44</v>
      </c>
      <c r="S895" s="9" t="s">
        <v>2030</v>
      </c>
      <c r="T895" s="9" t="s">
        <v>44</v>
      </c>
    </row>
    <row r="896" spans="1:20">
      <c r="A896" s="10">
        <v>889</v>
      </c>
      <c r="B896" s="10" t="s">
        <v>1197</v>
      </c>
      <c r="C896" s="10" t="s">
        <v>1085</v>
      </c>
      <c r="D896" s="10" t="s">
        <v>655</v>
      </c>
      <c r="E896" s="10" t="s">
        <v>34</v>
      </c>
      <c r="F896" s="10" t="s">
        <v>35</v>
      </c>
      <c r="G896" s="8" t="s">
        <v>41</v>
      </c>
      <c r="H896" s="12">
        <v>1</v>
      </c>
      <c r="I896" s="12">
        <v>1</v>
      </c>
      <c r="J896" s="15">
        <v>7000.0</v>
      </c>
      <c r="K896" s="15"/>
      <c r="L896" s="17">
        <f>IF(J896&gt;0, K896/J896, 0)</f>
        <v>0</v>
      </c>
      <c r="M896" s="15">
        <v>7000.0</v>
      </c>
      <c r="N896" s="15"/>
      <c r="O896" s="15">
        <f>M896-N896</f>
        <v>7000</v>
      </c>
      <c r="P896" s="10" t="s">
        <v>42</v>
      </c>
      <c r="Q896" s="10" t="s">
        <v>43</v>
      </c>
      <c r="R896" s="10" t="s">
        <v>44</v>
      </c>
      <c r="S896" s="8" t="s">
        <v>2055</v>
      </c>
      <c r="T896" s="8" t="s">
        <v>44</v>
      </c>
    </row>
    <row r="897" spans="1:20">
      <c r="A897" s="11">
        <v>890</v>
      </c>
      <c r="B897" s="11" t="s">
        <v>1198</v>
      </c>
      <c r="C897" s="11" t="s">
        <v>1085</v>
      </c>
      <c r="D897" s="11" t="s">
        <v>655</v>
      </c>
      <c r="E897" s="11" t="s">
        <v>34</v>
      </c>
      <c r="F897" s="11" t="s">
        <v>35</v>
      </c>
      <c r="G897" s="9" t="s">
        <v>41</v>
      </c>
      <c r="H897" s="13">
        <v>1</v>
      </c>
      <c r="I897" s="13">
        <v>1</v>
      </c>
      <c r="J897" s="16">
        <v>9000.0</v>
      </c>
      <c r="K897" s="16"/>
      <c r="L897" s="18">
        <f>IF(J897&gt;0, K897/J897, 0)</f>
        <v>0</v>
      </c>
      <c r="M897" s="16">
        <v>9000.0</v>
      </c>
      <c r="N897" s="16"/>
      <c r="O897" s="16">
        <f>M897-N897</f>
        <v>9000</v>
      </c>
      <c r="P897" s="11" t="s">
        <v>42</v>
      </c>
      <c r="Q897" s="11" t="s">
        <v>43</v>
      </c>
      <c r="R897" s="11" t="s">
        <v>44</v>
      </c>
      <c r="S897" s="9" t="s">
        <v>2148</v>
      </c>
      <c r="T897" s="9" t="s">
        <v>44</v>
      </c>
    </row>
    <row r="898" spans="1:20">
      <c r="A898" s="10">
        <v>891</v>
      </c>
      <c r="B898" s="10" t="s">
        <v>1199</v>
      </c>
      <c r="C898" s="10" t="s">
        <v>1085</v>
      </c>
      <c r="D898" s="10" t="s">
        <v>655</v>
      </c>
      <c r="E898" s="10" t="s">
        <v>34</v>
      </c>
      <c r="F898" s="10" t="s">
        <v>35</v>
      </c>
      <c r="G898" s="8" t="s">
        <v>41</v>
      </c>
      <c r="H898" s="12">
        <v>1</v>
      </c>
      <c r="I898" s="12">
        <v>1</v>
      </c>
      <c r="J898" s="15">
        <v>8000.0</v>
      </c>
      <c r="K898" s="15"/>
      <c r="L898" s="17">
        <f>IF(J898&gt;0, K898/J898, 0)</f>
        <v>0</v>
      </c>
      <c r="M898" s="15">
        <v>8000.0</v>
      </c>
      <c r="N898" s="15"/>
      <c r="O898" s="15">
        <f>M898-N898</f>
        <v>8000</v>
      </c>
      <c r="P898" s="10" t="s">
        <v>42</v>
      </c>
      <c r="Q898" s="10" t="s">
        <v>43</v>
      </c>
      <c r="R898" s="10" t="s">
        <v>44</v>
      </c>
      <c r="S898" s="8" t="s">
        <v>2068</v>
      </c>
      <c r="T898" s="8" t="s">
        <v>44</v>
      </c>
    </row>
    <row r="899" spans="1:20">
      <c r="A899" s="11">
        <v>892</v>
      </c>
      <c r="B899" s="11" t="s">
        <v>1200</v>
      </c>
      <c r="C899" s="11" t="s">
        <v>1085</v>
      </c>
      <c r="D899" s="11" t="s">
        <v>655</v>
      </c>
      <c r="E899" s="11" t="s">
        <v>34</v>
      </c>
      <c r="F899" s="11" t="s">
        <v>35</v>
      </c>
      <c r="G899" s="9" t="s">
        <v>41</v>
      </c>
      <c r="H899" s="13">
        <v>1</v>
      </c>
      <c r="I899" s="13">
        <v>1</v>
      </c>
      <c r="J899" s="16">
        <v>7000.0</v>
      </c>
      <c r="K899" s="16"/>
      <c r="L899" s="18">
        <f>IF(J899&gt;0, K899/J899, 0)</f>
        <v>0</v>
      </c>
      <c r="M899" s="16">
        <v>7000.0</v>
      </c>
      <c r="N899" s="16"/>
      <c r="O899" s="16">
        <f>M899-N899</f>
        <v>7000</v>
      </c>
      <c r="P899" s="11" t="s">
        <v>42</v>
      </c>
      <c r="Q899" s="11" t="s">
        <v>43</v>
      </c>
      <c r="R899" s="11" t="s">
        <v>44</v>
      </c>
      <c r="S899" s="9" t="s">
        <v>2053</v>
      </c>
      <c r="T899" s="9" t="s">
        <v>44</v>
      </c>
    </row>
    <row r="900" spans="1:20">
      <c r="A900" s="10">
        <v>893</v>
      </c>
      <c r="B900" s="10" t="s">
        <v>1201</v>
      </c>
      <c r="C900" s="10" t="s">
        <v>1085</v>
      </c>
      <c r="D900" s="10" t="s">
        <v>655</v>
      </c>
      <c r="E900" s="10" t="s">
        <v>34</v>
      </c>
      <c r="F900" s="10" t="s">
        <v>35</v>
      </c>
      <c r="G900" s="8" t="s">
        <v>41</v>
      </c>
      <c r="H900" s="12">
        <v>1</v>
      </c>
      <c r="I900" s="12">
        <v>1</v>
      </c>
      <c r="J900" s="15">
        <v>8500.0</v>
      </c>
      <c r="K900" s="15"/>
      <c r="L900" s="17">
        <f>IF(J900&gt;0, K900/J900, 0)</f>
        <v>0</v>
      </c>
      <c r="M900" s="15">
        <v>8500.0</v>
      </c>
      <c r="N900" s="15"/>
      <c r="O900" s="15">
        <f>M900-N900</f>
        <v>8500</v>
      </c>
      <c r="P900" s="10" t="s">
        <v>42</v>
      </c>
      <c r="Q900" s="10" t="s">
        <v>43</v>
      </c>
      <c r="R900" s="10" t="s">
        <v>44</v>
      </c>
      <c r="S900" s="8" t="s">
        <v>2024</v>
      </c>
      <c r="T900" s="8" t="s">
        <v>44</v>
      </c>
    </row>
    <row r="901" spans="1:20">
      <c r="A901" s="11">
        <v>894</v>
      </c>
      <c r="B901" s="11" t="s">
        <v>1202</v>
      </c>
      <c r="C901" s="11" t="s">
        <v>1085</v>
      </c>
      <c r="D901" s="11" t="s">
        <v>655</v>
      </c>
      <c r="E901" s="11" t="s">
        <v>34</v>
      </c>
      <c r="F901" s="11" t="s">
        <v>35</v>
      </c>
      <c r="G901" s="9" t="s">
        <v>41</v>
      </c>
      <c r="H901" s="13">
        <v>1</v>
      </c>
      <c r="I901" s="13">
        <v>1</v>
      </c>
      <c r="J901" s="16">
        <v>8000.0</v>
      </c>
      <c r="K901" s="16"/>
      <c r="L901" s="18">
        <f>IF(J901&gt;0, K901/J901, 0)</f>
        <v>0</v>
      </c>
      <c r="M901" s="16">
        <v>8000.0</v>
      </c>
      <c r="N901" s="16"/>
      <c r="O901" s="16">
        <f>M901-N901</f>
        <v>8000</v>
      </c>
      <c r="P901" s="11" t="s">
        <v>42</v>
      </c>
      <c r="Q901" s="11" t="s">
        <v>43</v>
      </c>
      <c r="R901" s="11" t="s">
        <v>44</v>
      </c>
      <c r="S901" s="9" t="s">
        <v>2028</v>
      </c>
      <c r="T901" s="9" t="s">
        <v>44</v>
      </c>
    </row>
    <row r="902" spans="1:20">
      <c r="A902" s="10">
        <v>895</v>
      </c>
      <c r="B902" s="10" t="s">
        <v>1203</v>
      </c>
      <c r="C902" s="10" t="s">
        <v>1085</v>
      </c>
      <c r="D902" s="10" t="s">
        <v>655</v>
      </c>
      <c r="E902" s="10" t="s">
        <v>34</v>
      </c>
      <c r="F902" s="10" t="s">
        <v>35</v>
      </c>
      <c r="G902" s="8" t="s">
        <v>41</v>
      </c>
      <c r="H902" s="12">
        <v>1</v>
      </c>
      <c r="I902" s="12">
        <v>1</v>
      </c>
      <c r="J902" s="15">
        <v>7000.0</v>
      </c>
      <c r="K902" s="15"/>
      <c r="L902" s="17">
        <f>IF(J902&gt;0, K902/J902, 0)</f>
        <v>0</v>
      </c>
      <c r="M902" s="15">
        <v>7000.0</v>
      </c>
      <c r="N902" s="15"/>
      <c r="O902" s="15">
        <f>M902-N902</f>
        <v>7000</v>
      </c>
      <c r="P902" s="10" t="s">
        <v>42</v>
      </c>
      <c r="Q902" s="10" t="s">
        <v>43</v>
      </c>
      <c r="R902" s="10" t="s">
        <v>44</v>
      </c>
      <c r="S902" s="8" t="s">
        <v>2077</v>
      </c>
      <c r="T902" s="8" t="s">
        <v>44</v>
      </c>
    </row>
    <row r="903" spans="1:20">
      <c r="A903" s="11">
        <v>896</v>
      </c>
      <c r="B903" s="11" t="s">
        <v>1204</v>
      </c>
      <c r="C903" s="11" t="s">
        <v>1085</v>
      </c>
      <c r="D903" s="11" t="s">
        <v>655</v>
      </c>
      <c r="E903" s="11" t="s">
        <v>34</v>
      </c>
      <c r="F903" s="11" t="s">
        <v>35</v>
      </c>
      <c r="G903" s="9" t="s">
        <v>41</v>
      </c>
      <c r="H903" s="13">
        <v>1</v>
      </c>
      <c r="I903" s="13">
        <v>1</v>
      </c>
      <c r="J903" s="16">
        <v>16000.0</v>
      </c>
      <c r="K903" s="16"/>
      <c r="L903" s="18">
        <f>IF(J903&gt;0, K903/J903, 0)</f>
        <v>0</v>
      </c>
      <c r="M903" s="16">
        <v>16000.0</v>
      </c>
      <c r="N903" s="16"/>
      <c r="O903" s="16">
        <f>M903-N903</f>
        <v>16000</v>
      </c>
      <c r="P903" s="11" t="s">
        <v>42</v>
      </c>
      <c r="Q903" s="11" t="s">
        <v>43</v>
      </c>
      <c r="R903" s="11" t="s">
        <v>44</v>
      </c>
      <c r="S903" s="9" t="s">
        <v>2040</v>
      </c>
      <c r="T903" s="9" t="s">
        <v>44</v>
      </c>
    </row>
    <row r="904" spans="1:20">
      <c r="A904" s="10">
        <v>897</v>
      </c>
      <c r="B904" s="10" t="s">
        <v>1205</v>
      </c>
      <c r="C904" s="10" t="s">
        <v>1085</v>
      </c>
      <c r="D904" s="10" t="s">
        <v>655</v>
      </c>
      <c r="E904" s="10" t="s">
        <v>34</v>
      </c>
      <c r="F904" s="10" t="s">
        <v>35</v>
      </c>
      <c r="G904" s="8" t="s">
        <v>41</v>
      </c>
      <c r="H904" s="12">
        <v>1</v>
      </c>
      <c r="I904" s="12">
        <v>1</v>
      </c>
      <c r="J904" s="15">
        <v>18000.0</v>
      </c>
      <c r="K904" s="15"/>
      <c r="L904" s="17">
        <f>IF(J904&gt;0, K904/J904, 0)</f>
        <v>0</v>
      </c>
      <c r="M904" s="15">
        <v>18000.0</v>
      </c>
      <c r="N904" s="15"/>
      <c r="O904" s="15">
        <f>M904-N904</f>
        <v>18000</v>
      </c>
      <c r="P904" s="10" t="s">
        <v>42</v>
      </c>
      <c r="Q904" s="10" t="s">
        <v>43</v>
      </c>
      <c r="R904" s="10" t="s">
        <v>44</v>
      </c>
      <c r="S904" s="8" t="s">
        <v>2066</v>
      </c>
      <c r="T904" s="8" t="s">
        <v>44</v>
      </c>
    </row>
    <row r="905" spans="1:20">
      <c r="A905" s="11">
        <v>898</v>
      </c>
      <c r="B905" s="11" t="s">
        <v>1206</v>
      </c>
      <c r="C905" s="11" t="s">
        <v>1085</v>
      </c>
      <c r="D905" s="11" t="s">
        <v>655</v>
      </c>
      <c r="E905" s="11" t="s">
        <v>34</v>
      </c>
      <c r="F905" s="11" t="s">
        <v>35</v>
      </c>
      <c r="G905" s="9" t="s">
        <v>41</v>
      </c>
      <c r="H905" s="13">
        <v>1</v>
      </c>
      <c r="I905" s="13">
        <v>1</v>
      </c>
      <c r="J905" s="16">
        <v>9000.0</v>
      </c>
      <c r="K905" s="16"/>
      <c r="L905" s="18">
        <f>IF(J905&gt;0, K905/J905, 0)</f>
        <v>0</v>
      </c>
      <c r="M905" s="16">
        <v>9000.0</v>
      </c>
      <c r="N905" s="16"/>
      <c r="O905" s="16">
        <f>M905-N905</f>
        <v>9000</v>
      </c>
      <c r="P905" s="11" t="s">
        <v>42</v>
      </c>
      <c r="Q905" s="11" t="s">
        <v>43</v>
      </c>
      <c r="R905" s="11" t="s">
        <v>44</v>
      </c>
      <c r="S905" s="9" t="s">
        <v>2083</v>
      </c>
      <c r="T905" s="9" t="s">
        <v>44</v>
      </c>
    </row>
    <row r="906" spans="1:20">
      <c r="A906" s="10">
        <v>899</v>
      </c>
      <c r="B906" s="10" t="s">
        <v>1207</v>
      </c>
      <c r="C906" s="10" t="s">
        <v>1085</v>
      </c>
      <c r="D906" s="10" t="s">
        <v>655</v>
      </c>
      <c r="E906" s="10" t="s">
        <v>34</v>
      </c>
      <c r="F906" s="10" t="s">
        <v>35</v>
      </c>
      <c r="G906" s="8" t="s">
        <v>41</v>
      </c>
      <c r="H906" s="12">
        <v>1</v>
      </c>
      <c r="I906" s="12">
        <v>1</v>
      </c>
      <c r="J906" s="15">
        <v>8000.0</v>
      </c>
      <c r="K906" s="15"/>
      <c r="L906" s="17">
        <f>IF(J906&gt;0, K906/J906, 0)</f>
        <v>0</v>
      </c>
      <c r="M906" s="15">
        <v>8000.0</v>
      </c>
      <c r="N906" s="15"/>
      <c r="O906" s="15">
        <f>M906-N906</f>
        <v>8000</v>
      </c>
      <c r="P906" s="10" t="s">
        <v>42</v>
      </c>
      <c r="Q906" s="10" t="s">
        <v>43</v>
      </c>
      <c r="R906" s="10" t="s">
        <v>44</v>
      </c>
      <c r="S906" s="8" t="s">
        <v>2030</v>
      </c>
      <c r="T906" s="8" t="s">
        <v>44</v>
      </c>
    </row>
    <row r="907" spans="1:20">
      <c r="A907" s="11">
        <v>900</v>
      </c>
      <c r="B907" s="11" t="s">
        <v>1208</v>
      </c>
      <c r="C907" s="11" t="s">
        <v>1085</v>
      </c>
      <c r="D907" s="11" t="s">
        <v>655</v>
      </c>
      <c r="E907" s="11" t="s">
        <v>34</v>
      </c>
      <c r="F907" s="11" t="s">
        <v>35</v>
      </c>
      <c r="G907" s="9" t="s">
        <v>41</v>
      </c>
      <c r="H907" s="13">
        <v>1</v>
      </c>
      <c r="I907" s="13">
        <v>2</v>
      </c>
      <c r="J907" s="16">
        <v>14000.0</v>
      </c>
      <c r="K907" s="16"/>
      <c r="L907" s="18">
        <f>IF(J907&gt;0, K907/J907, 0)</f>
        <v>0</v>
      </c>
      <c r="M907" s="16">
        <v>14000.0</v>
      </c>
      <c r="N907" s="16"/>
      <c r="O907" s="16">
        <f>M907-N907</f>
        <v>14000</v>
      </c>
      <c r="P907" s="11" t="s">
        <v>42</v>
      </c>
      <c r="Q907" s="11" t="s">
        <v>43</v>
      </c>
      <c r="R907" s="11" t="s">
        <v>44</v>
      </c>
      <c r="S907" s="9" t="s">
        <v>2182</v>
      </c>
      <c r="T907" s="9" t="s">
        <v>44</v>
      </c>
    </row>
    <row r="908" spans="1:20">
      <c r="A908" s="10">
        <v>901</v>
      </c>
      <c r="B908" s="10" t="s">
        <v>1209</v>
      </c>
      <c r="C908" s="10" t="s">
        <v>1085</v>
      </c>
      <c r="D908" s="10" t="s">
        <v>655</v>
      </c>
      <c r="E908" s="10" t="s">
        <v>34</v>
      </c>
      <c r="F908" s="10" t="s">
        <v>35</v>
      </c>
      <c r="G908" s="8" t="s">
        <v>41</v>
      </c>
      <c r="H908" s="12">
        <v>1</v>
      </c>
      <c r="I908" s="12">
        <v>1</v>
      </c>
      <c r="J908" s="15">
        <v>16500.0</v>
      </c>
      <c r="K908" s="15"/>
      <c r="L908" s="17">
        <f>IF(J908&gt;0, K908/J908, 0)</f>
        <v>0</v>
      </c>
      <c r="M908" s="15">
        <v>16500.0</v>
      </c>
      <c r="N908" s="15"/>
      <c r="O908" s="15">
        <f>M908-N908</f>
        <v>16500</v>
      </c>
      <c r="P908" s="10" t="s">
        <v>42</v>
      </c>
      <c r="Q908" s="10" t="s">
        <v>43</v>
      </c>
      <c r="R908" s="10" t="s">
        <v>44</v>
      </c>
      <c r="S908" s="8" t="s">
        <v>2070</v>
      </c>
      <c r="T908" s="8" t="s">
        <v>44</v>
      </c>
    </row>
    <row r="909" spans="1:20">
      <c r="A909" s="11">
        <v>902</v>
      </c>
      <c r="B909" s="11" t="s">
        <v>1210</v>
      </c>
      <c r="C909" s="11" t="s">
        <v>1085</v>
      </c>
      <c r="D909" s="11" t="s">
        <v>655</v>
      </c>
      <c r="E909" s="11" t="s">
        <v>34</v>
      </c>
      <c r="F909" s="11" t="s">
        <v>35</v>
      </c>
      <c r="G909" s="9" t="s">
        <v>41</v>
      </c>
      <c r="H909" s="13">
        <v>1</v>
      </c>
      <c r="I909" s="13">
        <v>1</v>
      </c>
      <c r="J909" s="16">
        <v>8000.0</v>
      </c>
      <c r="K909" s="16"/>
      <c r="L909" s="18">
        <f>IF(J909&gt;0, K909/J909, 0)</f>
        <v>0</v>
      </c>
      <c r="M909" s="16">
        <v>8000.0</v>
      </c>
      <c r="N909" s="16"/>
      <c r="O909" s="16">
        <f>M909-N909</f>
        <v>8000</v>
      </c>
      <c r="P909" s="11" t="s">
        <v>42</v>
      </c>
      <c r="Q909" s="11" t="s">
        <v>43</v>
      </c>
      <c r="R909" s="11" t="s">
        <v>44</v>
      </c>
      <c r="S909" s="9" t="s">
        <v>2119</v>
      </c>
      <c r="T909" s="9" t="s">
        <v>44</v>
      </c>
    </row>
    <row r="910" spans="1:20">
      <c r="A910" s="10">
        <v>903</v>
      </c>
      <c r="B910" s="10" t="s">
        <v>1211</v>
      </c>
      <c r="C910" s="10" t="s">
        <v>1085</v>
      </c>
      <c r="D910" s="10" t="s">
        <v>655</v>
      </c>
      <c r="E910" s="10" t="s">
        <v>34</v>
      </c>
      <c r="F910" s="10" t="s">
        <v>35</v>
      </c>
      <c r="G910" s="8" t="s">
        <v>41</v>
      </c>
      <c r="H910" s="12">
        <v>1</v>
      </c>
      <c r="I910" s="12">
        <v>1</v>
      </c>
      <c r="J910" s="15">
        <v>18000.0</v>
      </c>
      <c r="K910" s="15"/>
      <c r="L910" s="17">
        <f>IF(J910&gt;0, K910/J910, 0)</f>
        <v>0</v>
      </c>
      <c r="M910" s="15">
        <v>18000.0</v>
      </c>
      <c r="N910" s="15"/>
      <c r="O910" s="15">
        <f>M910-N910</f>
        <v>18000</v>
      </c>
      <c r="P910" s="10" t="s">
        <v>42</v>
      </c>
      <c r="Q910" s="10" t="s">
        <v>43</v>
      </c>
      <c r="R910" s="10" t="s">
        <v>44</v>
      </c>
      <c r="S910" s="8" t="s">
        <v>2122</v>
      </c>
      <c r="T910" s="8" t="s">
        <v>44</v>
      </c>
    </row>
    <row r="911" spans="1:20">
      <c r="A911" s="11">
        <v>904</v>
      </c>
      <c r="B911" s="11" t="s">
        <v>1212</v>
      </c>
      <c r="C911" s="11" t="s">
        <v>1085</v>
      </c>
      <c r="D911" s="11" t="s">
        <v>655</v>
      </c>
      <c r="E911" s="11" t="s">
        <v>34</v>
      </c>
      <c r="F911" s="11" t="s">
        <v>35</v>
      </c>
      <c r="G911" s="9" t="s">
        <v>41</v>
      </c>
      <c r="H911" s="13">
        <v>1</v>
      </c>
      <c r="I911" s="13">
        <v>1</v>
      </c>
      <c r="J911" s="16">
        <v>9500.0</v>
      </c>
      <c r="K911" s="16"/>
      <c r="L911" s="18">
        <f>IF(J911&gt;0, K911/J911, 0)</f>
        <v>0</v>
      </c>
      <c r="M911" s="16">
        <v>9500.0</v>
      </c>
      <c r="N911" s="16"/>
      <c r="O911" s="16">
        <f>M911-N911</f>
        <v>9500</v>
      </c>
      <c r="P911" s="11" t="s">
        <v>42</v>
      </c>
      <c r="Q911" s="11" t="s">
        <v>43</v>
      </c>
      <c r="R911" s="11" t="s">
        <v>44</v>
      </c>
      <c r="S911" s="9" t="s">
        <v>2052</v>
      </c>
      <c r="T911" s="9" t="s">
        <v>44</v>
      </c>
    </row>
    <row r="912" spans="1:20">
      <c r="A912" s="10">
        <v>905</v>
      </c>
      <c r="B912" s="10" t="s">
        <v>1213</v>
      </c>
      <c r="C912" s="10" t="s">
        <v>1085</v>
      </c>
      <c r="D912" s="10" t="s">
        <v>655</v>
      </c>
      <c r="E912" s="10" t="s">
        <v>34</v>
      </c>
      <c r="F912" s="10" t="s">
        <v>35</v>
      </c>
      <c r="G912" s="8" t="s">
        <v>41</v>
      </c>
      <c r="H912" s="12">
        <v>1</v>
      </c>
      <c r="I912" s="12">
        <v>2</v>
      </c>
      <c r="J912" s="15">
        <v>16000.0</v>
      </c>
      <c r="K912" s="15"/>
      <c r="L912" s="17">
        <f>IF(J912&gt;0, K912/J912, 0)</f>
        <v>0</v>
      </c>
      <c r="M912" s="15">
        <v>16000.0</v>
      </c>
      <c r="N912" s="15"/>
      <c r="O912" s="15">
        <f>M912-N912</f>
        <v>16000</v>
      </c>
      <c r="P912" s="10" t="s">
        <v>42</v>
      </c>
      <c r="Q912" s="10" t="s">
        <v>43</v>
      </c>
      <c r="R912" s="10" t="s">
        <v>44</v>
      </c>
      <c r="S912" s="8" t="s">
        <v>2132</v>
      </c>
      <c r="T912" s="8" t="s">
        <v>44</v>
      </c>
    </row>
    <row r="913" spans="1:20">
      <c r="A913" s="11">
        <v>906</v>
      </c>
      <c r="B913" s="11" t="s">
        <v>1214</v>
      </c>
      <c r="C913" s="11" t="s">
        <v>1085</v>
      </c>
      <c r="D913" s="11" t="s">
        <v>655</v>
      </c>
      <c r="E913" s="11" t="s">
        <v>70</v>
      </c>
      <c r="F913" s="11" t="s">
        <v>35</v>
      </c>
      <c r="G913" s="9" t="s">
        <v>41</v>
      </c>
      <c r="H913" s="13">
        <v>1</v>
      </c>
      <c r="I913" s="13">
        <v>1</v>
      </c>
      <c r="J913" s="16">
        <v>9000.0</v>
      </c>
      <c r="K913" s="16"/>
      <c r="L913" s="18">
        <f>IF(J913&gt;0, K913/J913, 0)</f>
        <v>0</v>
      </c>
      <c r="M913" s="16">
        <v>9000.0</v>
      </c>
      <c r="N913" s="16"/>
      <c r="O913" s="16">
        <f>M913-N913</f>
        <v>9000</v>
      </c>
      <c r="P913" s="11" t="s">
        <v>42</v>
      </c>
      <c r="Q913" s="11" t="s">
        <v>73</v>
      </c>
      <c r="R913" s="11" t="s">
        <v>44</v>
      </c>
      <c r="S913" s="9" t="s">
        <v>2164</v>
      </c>
      <c r="T913" s="9" t="s">
        <v>44</v>
      </c>
    </row>
    <row r="914" spans="1:20">
      <c r="A914" s="10">
        <v>907</v>
      </c>
      <c r="B914" s="10" t="s">
        <v>1215</v>
      </c>
      <c r="C914" s="10" t="s">
        <v>1085</v>
      </c>
      <c r="D914" s="10" t="s">
        <v>655</v>
      </c>
      <c r="E914" s="10" t="s">
        <v>34</v>
      </c>
      <c r="F914" s="10" t="s">
        <v>35</v>
      </c>
      <c r="G914" s="8" t="s">
        <v>41</v>
      </c>
      <c r="H914" s="12">
        <v>1</v>
      </c>
      <c r="I914" s="12">
        <v>1</v>
      </c>
      <c r="J914" s="15">
        <v>18000.0</v>
      </c>
      <c r="K914" s="15"/>
      <c r="L914" s="17">
        <f>IF(J914&gt;0, K914/J914, 0)</f>
        <v>0</v>
      </c>
      <c r="M914" s="15">
        <v>18000.0</v>
      </c>
      <c r="N914" s="15"/>
      <c r="O914" s="15">
        <f>M914-N914</f>
        <v>18000</v>
      </c>
      <c r="P914" s="10" t="s">
        <v>42</v>
      </c>
      <c r="Q914" s="10" t="s">
        <v>43</v>
      </c>
      <c r="R914" s="10" t="s">
        <v>44</v>
      </c>
      <c r="S914" s="8" t="s">
        <v>2021</v>
      </c>
      <c r="T914" s="8" t="s">
        <v>44</v>
      </c>
    </row>
    <row r="915" spans="1:20">
      <c r="A915" s="11">
        <v>908</v>
      </c>
      <c r="B915" s="11" t="s">
        <v>1216</v>
      </c>
      <c r="C915" s="11" t="s">
        <v>1085</v>
      </c>
      <c r="D915" s="11" t="s">
        <v>655</v>
      </c>
      <c r="E915" s="11" t="s">
        <v>34</v>
      </c>
      <c r="F915" s="11" t="s">
        <v>35</v>
      </c>
      <c r="G915" s="9" t="s">
        <v>41</v>
      </c>
      <c r="H915" s="13">
        <v>1</v>
      </c>
      <c r="I915" s="13">
        <v>1</v>
      </c>
      <c r="J915" s="16">
        <v>8500.0</v>
      </c>
      <c r="K915" s="16"/>
      <c r="L915" s="18">
        <f>IF(J915&gt;0, K915/J915, 0)</f>
        <v>0</v>
      </c>
      <c r="M915" s="16">
        <v>8500.0</v>
      </c>
      <c r="N915" s="16"/>
      <c r="O915" s="16">
        <f>M915-N915</f>
        <v>8500</v>
      </c>
      <c r="P915" s="11" t="s">
        <v>42</v>
      </c>
      <c r="Q915" s="11" t="s">
        <v>43</v>
      </c>
      <c r="R915" s="11" t="s">
        <v>44</v>
      </c>
      <c r="S915" s="9" t="s">
        <v>2045</v>
      </c>
      <c r="T915" s="9" t="s">
        <v>44</v>
      </c>
    </row>
    <row r="916" spans="1:20">
      <c r="A916" s="10">
        <v>909</v>
      </c>
      <c r="B916" s="10" t="s">
        <v>1217</v>
      </c>
      <c r="C916" s="10" t="s">
        <v>1085</v>
      </c>
      <c r="D916" s="10" t="s">
        <v>655</v>
      </c>
      <c r="E916" s="10" t="s">
        <v>34</v>
      </c>
      <c r="F916" s="10" t="s">
        <v>35</v>
      </c>
      <c r="G916" s="8" t="s">
        <v>41</v>
      </c>
      <c r="H916" s="12">
        <v>1</v>
      </c>
      <c r="I916" s="12">
        <v>1</v>
      </c>
      <c r="J916" s="15">
        <v>16000.0</v>
      </c>
      <c r="K916" s="15"/>
      <c r="L916" s="17">
        <f>IF(J916&gt;0, K916/J916, 0)</f>
        <v>0</v>
      </c>
      <c r="M916" s="15">
        <v>16000.0</v>
      </c>
      <c r="N916" s="15"/>
      <c r="O916" s="15">
        <f>M916-N916</f>
        <v>16000</v>
      </c>
      <c r="P916" s="10" t="s">
        <v>42</v>
      </c>
      <c r="Q916" s="10" t="s">
        <v>43</v>
      </c>
      <c r="R916" s="10" t="s">
        <v>44</v>
      </c>
      <c r="S916" s="8" t="s">
        <v>2072</v>
      </c>
      <c r="T916" s="8" t="s">
        <v>44</v>
      </c>
    </row>
    <row r="917" spans="1:20">
      <c r="A917" s="11">
        <v>910</v>
      </c>
      <c r="B917" s="11" t="s">
        <v>1218</v>
      </c>
      <c r="C917" s="11" t="s">
        <v>1085</v>
      </c>
      <c r="D917" s="11" t="s">
        <v>655</v>
      </c>
      <c r="E917" s="11" t="s">
        <v>34</v>
      </c>
      <c r="F917" s="11" t="s">
        <v>35</v>
      </c>
      <c r="G917" s="9" t="s">
        <v>41</v>
      </c>
      <c r="H917" s="13">
        <v>1</v>
      </c>
      <c r="I917" s="13">
        <v>1</v>
      </c>
      <c r="J917" s="16">
        <v>17000.0</v>
      </c>
      <c r="K917" s="16"/>
      <c r="L917" s="18">
        <f>IF(J917&gt;0, K917/J917, 0)</f>
        <v>0</v>
      </c>
      <c r="M917" s="16">
        <v>17000.0</v>
      </c>
      <c r="N917" s="16"/>
      <c r="O917" s="16">
        <f>M917-N917</f>
        <v>17000</v>
      </c>
      <c r="P917" s="11" t="s">
        <v>42</v>
      </c>
      <c r="Q917" s="11" t="s">
        <v>43</v>
      </c>
      <c r="R917" s="11" t="s">
        <v>44</v>
      </c>
      <c r="S917" s="9" t="s">
        <v>2070</v>
      </c>
      <c r="T917" s="9" t="s">
        <v>44</v>
      </c>
    </row>
    <row r="918" spans="1:20">
      <c r="A918" s="10">
        <v>911</v>
      </c>
      <c r="B918" s="10" t="s">
        <v>1219</v>
      </c>
      <c r="C918" s="10" t="s">
        <v>1085</v>
      </c>
      <c r="D918" s="10" t="s">
        <v>655</v>
      </c>
      <c r="E918" s="10" t="s">
        <v>34</v>
      </c>
      <c r="F918" s="10" t="s">
        <v>35</v>
      </c>
      <c r="G918" s="8" t="s">
        <v>41</v>
      </c>
      <c r="H918" s="12">
        <v>1</v>
      </c>
      <c r="I918" s="12">
        <v>1</v>
      </c>
      <c r="J918" s="15">
        <v>7000.0</v>
      </c>
      <c r="K918" s="15"/>
      <c r="L918" s="17">
        <f>IF(J918&gt;0, K918/J918, 0)</f>
        <v>0</v>
      </c>
      <c r="M918" s="15">
        <v>7000.0</v>
      </c>
      <c r="N918" s="15"/>
      <c r="O918" s="15">
        <f>M918-N918</f>
        <v>7000</v>
      </c>
      <c r="P918" s="10" t="s">
        <v>42</v>
      </c>
      <c r="Q918" s="10" t="s">
        <v>43</v>
      </c>
      <c r="R918" s="10" t="s">
        <v>44</v>
      </c>
      <c r="S918" s="8" t="s">
        <v>2034</v>
      </c>
      <c r="T918" s="8" t="s">
        <v>44</v>
      </c>
    </row>
    <row r="919" spans="1:20">
      <c r="A919" s="11">
        <v>912</v>
      </c>
      <c r="B919" s="11" t="s">
        <v>1220</v>
      </c>
      <c r="C919" s="11" t="s">
        <v>1085</v>
      </c>
      <c r="D919" s="11" t="s">
        <v>655</v>
      </c>
      <c r="E919" s="11" t="s">
        <v>34</v>
      </c>
      <c r="F919" s="11" t="s">
        <v>35</v>
      </c>
      <c r="G919" s="9" t="s">
        <v>41</v>
      </c>
      <c r="H919" s="13">
        <v>1</v>
      </c>
      <c r="I919" s="13">
        <v>2</v>
      </c>
      <c r="J919" s="16">
        <v>16000.0</v>
      </c>
      <c r="K919" s="16"/>
      <c r="L919" s="18">
        <f>IF(J919&gt;0, K919/J919, 0)</f>
        <v>0</v>
      </c>
      <c r="M919" s="16">
        <v>16000.0</v>
      </c>
      <c r="N919" s="16"/>
      <c r="O919" s="16">
        <f>M919-N919</f>
        <v>16000</v>
      </c>
      <c r="P919" s="11" t="s">
        <v>42</v>
      </c>
      <c r="Q919" s="11" t="s">
        <v>43</v>
      </c>
      <c r="R919" s="11" t="s">
        <v>44</v>
      </c>
      <c r="S919" s="9" t="s">
        <v>2050</v>
      </c>
      <c r="T919" s="9" t="s">
        <v>44</v>
      </c>
    </row>
    <row r="920" spans="1:20">
      <c r="A920" s="10">
        <v>913</v>
      </c>
      <c r="B920" s="10" t="s">
        <v>1221</v>
      </c>
      <c r="C920" s="10" t="s">
        <v>1085</v>
      </c>
      <c r="D920" s="10" t="s">
        <v>655</v>
      </c>
      <c r="E920" s="10" t="s">
        <v>34</v>
      </c>
      <c r="F920" s="10" t="s">
        <v>35</v>
      </c>
      <c r="G920" s="8" t="s">
        <v>41</v>
      </c>
      <c r="H920" s="12">
        <v>1</v>
      </c>
      <c r="I920" s="12">
        <v>2</v>
      </c>
      <c r="J920" s="15">
        <v>16000.0</v>
      </c>
      <c r="K920" s="15"/>
      <c r="L920" s="17">
        <f>IF(J920&gt;0, K920/J920, 0)</f>
        <v>0</v>
      </c>
      <c r="M920" s="15">
        <v>16000.0</v>
      </c>
      <c r="N920" s="15"/>
      <c r="O920" s="15">
        <f>M920-N920</f>
        <v>16000</v>
      </c>
      <c r="P920" s="10" t="s">
        <v>42</v>
      </c>
      <c r="Q920" s="10" t="s">
        <v>43</v>
      </c>
      <c r="R920" s="10" t="s">
        <v>44</v>
      </c>
      <c r="S920" s="8" t="s">
        <v>2091</v>
      </c>
      <c r="T920" s="8" t="s">
        <v>44</v>
      </c>
    </row>
    <row r="921" spans="1:20">
      <c r="A921" s="11">
        <v>914</v>
      </c>
      <c r="B921" s="11" t="s">
        <v>1222</v>
      </c>
      <c r="C921" s="11" t="s">
        <v>1085</v>
      </c>
      <c r="D921" s="11" t="s">
        <v>655</v>
      </c>
      <c r="E921" s="11" t="s">
        <v>34</v>
      </c>
      <c r="F921" s="11" t="s">
        <v>35</v>
      </c>
      <c r="G921" s="9" t="s">
        <v>41</v>
      </c>
      <c r="H921" s="13">
        <v>1</v>
      </c>
      <c r="I921" s="13">
        <v>1</v>
      </c>
      <c r="J921" s="16">
        <v>8000.0</v>
      </c>
      <c r="K921" s="16"/>
      <c r="L921" s="18">
        <f>IF(J921&gt;0, K921/J921, 0)</f>
        <v>0</v>
      </c>
      <c r="M921" s="16">
        <v>8000.0</v>
      </c>
      <c r="N921" s="16"/>
      <c r="O921" s="16">
        <f>M921-N921</f>
        <v>8000</v>
      </c>
      <c r="P921" s="11" t="s">
        <v>42</v>
      </c>
      <c r="Q921" s="11" t="s">
        <v>43</v>
      </c>
      <c r="R921" s="11" t="s">
        <v>44</v>
      </c>
      <c r="S921" s="9" t="s">
        <v>2105</v>
      </c>
      <c r="T921" s="9" t="s">
        <v>44</v>
      </c>
    </row>
    <row r="922" spans="1:20">
      <c r="A922" s="10">
        <v>915</v>
      </c>
      <c r="B922" s="10" t="s">
        <v>1223</v>
      </c>
      <c r="C922" s="10" t="s">
        <v>1085</v>
      </c>
      <c r="D922" s="10" t="s">
        <v>655</v>
      </c>
      <c r="E922" s="10" t="s">
        <v>70</v>
      </c>
      <c r="F922" s="10" t="s">
        <v>35</v>
      </c>
      <c r="G922" s="8" t="s">
        <v>41</v>
      </c>
      <c r="H922" s="12">
        <v>1</v>
      </c>
      <c r="I922" s="12">
        <v>1</v>
      </c>
      <c r="J922" s="15">
        <v>8000.0</v>
      </c>
      <c r="K922" s="15"/>
      <c r="L922" s="17">
        <f>IF(J922&gt;0, K922/J922, 0)</f>
        <v>0</v>
      </c>
      <c r="M922" s="15">
        <v>8000.0</v>
      </c>
      <c r="N922" s="15"/>
      <c r="O922" s="15">
        <f>M922-N922</f>
        <v>8000</v>
      </c>
      <c r="P922" s="10" t="s">
        <v>42</v>
      </c>
      <c r="Q922" s="10" t="s">
        <v>73</v>
      </c>
      <c r="R922" s="10" t="s">
        <v>44</v>
      </c>
      <c r="S922" s="8" t="s">
        <v>2138</v>
      </c>
      <c r="T922" s="8" t="s">
        <v>44</v>
      </c>
    </row>
    <row r="923" spans="1:20">
      <c r="A923" s="11">
        <v>916</v>
      </c>
      <c r="B923" s="11" t="s">
        <v>1224</v>
      </c>
      <c r="C923" s="11" t="s">
        <v>1085</v>
      </c>
      <c r="D923" s="11" t="s">
        <v>655</v>
      </c>
      <c r="E923" s="11" t="s">
        <v>70</v>
      </c>
      <c r="F923" s="11" t="s">
        <v>35</v>
      </c>
      <c r="G923" s="9" t="s">
        <v>41</v>
      </c>
      <c r="H923" s="13">
        <v>1</v>
      </c>
      <c r="I923" s="13">
        <v>1</v>
      </c>
      <c r="J923" s="16">
        <v>10000.0</v>
      </c>
      <c r="K923" s="16"/>
      <c r="L923" s="18">
        <f>IF(J923&gt;0, K923/J923, 0)</f>
        <v>0</v>
      </c>
      <c r="M923" s="16">
        <v>10000.0</v>
      </c>
      <c r="N923" s="16"/>
      <c r="O923" s="16">
        <f>M923-N923</f>
        <v>10000</v>
      </c>
      <c r="P923" s="11" t="s">
        <v>42</v>
      </c>
      <c r="Q923" s="11" t="s">
        <v>73</v>
      </c>
      <c r="R923" s="11" t="s">
        <v>44</v>
      </c>
      <c r="S923" s="9" t="s">
        <v>2084</v>
      </c>
      <c r="T923" s="9" t="s">
        <v>44</v>
      </c>
    </row>
    <row r="924" spans="1:20">
      <c r="A924" s="10">
        <v>917</v>
      </c>
      <c r="B924" s="10" t="s">
        <v>1225</v>
      </c>
      <c r="C924" s="10" t="s">
        <v>1085</v>
      </c>
      <c r="D924" s="10" t="s">
        <v>655</v>
      </c>
      <c r="E924" s="10" t="s">
        <v>34</v>
      </c>
      <c r="F924" s="10" t="s">
        <v>35</v>
      </c>
      <c r="G924" s="8" t="s">
        <v>41</v>
      </c>
      <c r="H924" s="12">
        <v>1</v>
      </c>
      <c r="I924" s="12">
        <v>1</v>
      </c>
      <c r="J924" s="15">
        <v>18000.0</v>
      </c>
      <c r="K924" s="15"/>
      <c r="L924" s="17">
        <f>IF(J924&gt;0, K924/J924, 0)</f>
        <v>0</v>
      </c>
      <c r="M924" s="15">
        <v>18000.0</v>
      </c>
      <c r="N924" s="15"/>
      <c r="O924" s="15">
        <f>M924-N924</f>
        <v>18000</v>
      </c>
      <c r="P924" s="10" t="s">
        <v>42</v>
      </c>
      <c r="Q924" s="10" t="s">
        <v>43</v>
      </c>
      <c r="R924" s="10" t="s">
        <v>44</v>
      </c>
      <c r="S924" s="8" t="s">
        <v>2107</v>
      </c>
      <c r="T924" s="8" t="s">
        <v>44</v>
      </c>
    </row>
    <row r="925" spans="1:20">
      <c r="A925" s="11">
        <v>918</v>
      </c>
      <c r="B925" s="11" t="s">
        <v>1226</v>
      </c>
      <c r="C925" s="11" t="s">
        <v>1085</v>
      </c>
      <c r="D925" s="11" t="s">
        <v>655</v>
      </c>
      <c r="E925" s="11" t="s">
        <v>34</v>
      </c>
      <c r="F925" s="11" t="s">
        <v>35</v>
      </c>
      <c r="G925" s="9" t="s">
        <v>41</v>
      </c>
      <c r="H925" s="13">
        <v>1</v>
      </c>
      <c r="I925" s="13">
        <v>1</v>
      </c>
      <c r="J925" s="16">
        <v>9000.0</v>
      </c>
      <c r="K925" s="16"/>
      <c r="L925" s="18">
        <f>IF(J925&gt;0, K925/J925, 0)</f>
        <v>0</v>
      </c>
      <c r="M925" s="16">
        <v>9000.0</v>
      </c>
      <c r="N925" s="16"/>
      <c r="O925" s="16">
        <f>M925-N925</f>
        <v>9000</v>
      </c>
      <c r="P925" s="11" t="s">
        <v>42</v>
      </c>
      <c r="Q925" s="11" t="s">
        <v>43</v>
      </c>
      <c r="R925" s="11" t="s">
        <v>44</v>
      </c>
      <c r="S925" s="9" t="s">
        <v>2071</v>
      </c>
      <c r="T925" s="9" t="s">
        <v>44</v>
      </c>
    </row>
    <row r="926" spans="1:20">
      <c r="A926" s="10">
        <v>919</v>
      </c>
      <c r="B926" s="10" t="s">
        <v>1227</v>
      </c>
      <c r="C926" s="10" t="s">
        <v>1085</v>
      </c>
      <c r="D926" s="10" t="s">
        <v>655</v>
      </c>
      <c r="E926" s="10" t="s">
        <v>34</v>
      </c>
      <c r="F926" s="10" t="s">
        <v>35</v>
      </c>
      <c r="G926" s="8" t="s">
        <v>41</v>
      </c>
      <c r="H926" s="12">
        <v>1</v>
      </c>
      <c r="I926" s="12">
        <v>1</v>
      </c>
      <c r="J926" s="15">
        <v>16000.0</v>
      </c>
      <c r="K926" s="15"/>
      <c r="L926" s="17">
        <f>IF(J926&gt;0, K926/J926, 0)</f>
        <v>0</v>
      </c>
      <c r="M926" s="15">
        <v>16000.0</v>
      </c>
      <c r="N926" s="15"/>
      <c r="O926" s="15">
        <f>M926-N926</f>
        <v>16000</v>
      </c>
      <c r="P926" s="10" t="s">
        <v>42</v>
      </c>
      <c r="Q926" s="10" t="s">
        <v>43</v>
      </c>
      <c r="R926" s="10" t="s">
        <v>44</v>
      </c>
      <c r="S926" s="8" t="s">
        <v>2072</v>
      </c>
      <c r="T926" s="8" t="s">
        <v>44</v>
      </c>
    </row>
    <row r="927" spans="1:20">
      <c r="A927" s="11">
        <v>920</v>
      </c>
      <c r="B927" s="11" t="s">
        <v>1228</v>
      </c>
      <c r="C927" s="11" t="s">
        <v>1085</v>
      </c>
      <c r="D927" s="11" t="s">
        <v>655</v>
      </c>
      <c r="E927" s="11" t="s">
        <v>34</v>
      </c>
      <c r="F927" s="11" t="s">
        <v>35</v>
      </c>
      <c r="G927" s="9" t="s">
        <v>41</v>
      </c>
      <c r="H927" s="13">
        <v>1</v>
      </c>
      <c r="I927" s="13">
        <v>2</v>
      </c>
      <c r="J927" s="16">
        <v>14000.0</v>
      </c>
      <c r="K927" s="16"/>
      <c r="L927" s="18">
        <f>IF(J927&gt;0, K927/J927, 0)</f>
        <v>0</v>
      </c>
      <c r="M927" s="16">
        <v>14000.0</v>
      </c>
      <c r="N927" s="16"/>
      <c r="O927" s="16">
        <f>M927-N927</f>
        <v>14000</v>
      </c>
      <c r="P927" s="11" t="s">
        <v>42</v>
      </c>
      <c r="Q927" s="11" t="s">
        <v>43</v>
      </c>
      <c r="R927" s="11" t="s">
        <v>44</v>
      </c>
      <c r="S927" s="9" t="s">
        <v>2116</v>
      </c>
      <c r="T927" s="9" t="s">
        <v>44</v>
      </c>
    </row>
    <row r="928" spans="1:20">
      <c r="A928" s="10">
        <v>921</v>
      </c>
      <c r="B928" s="10" t="s">
        <v>1229</v>
      </c>
      <c r="C928" s="10" t="s">
        <v>1085</v>
      </c>
      <c r="D928" s="10" t="s">
        <v>655</v>
      </c>
      <c r="E928" s="10" t="s">
        <v>34</v>
      </c>
      <c r="F928" s="10" t="s">
        <v>35</v>
      </c>
      <c r="G928" s="8" t="s">
        <v>41</v>
      </c>
      <c r="H928" s="12">
        <v>1</v>
      </c>
      <c r="I928" s="12">
        <v>1</v>
      </c>
      <c r="J928" s="15">
        <v>8000.0</v>
      </c>
      <c r="K928" s="15"/>
      <c r="L928" s="17">
        <f>IF(J928&gt;0, K928/J928, 0)</f>
        <v>0</v>
      </c>
      <c r="M928" s="15">
        <v>8000.0</v>
      </c>
      <c r="N928" s="15"/>
      <c r="O928" s="15">
        <f>M928-N928</f>
        <v>8000</v>
      </c>
      <c r="P928" s="10" t="s">
        <v>42</v>
      </c>
      <c r="Q928" s="10" t="s">
        <v>43</v>
      </c>
      <c r="R928" s="10" t="s">
        <v>44</v>
      </c>
      <c r="S928" s="8" t="s">
        <v>2087</v>
      </c>
      <c r="T928" s="8" t="s">
        <v>44</v>
      </c>
    </row>
    <row r="929" spans="1:20">
      <c r="A929" s="11">
        <v>922</v>
      </c>
      <c r="B929" s="11" t="s">
        <v>1230</v>
      </c>
      <c r="C929" s="11" t="s">
        <v>1085</v>
      </c>
      <c r="D929" s="11" t="s">
        <v>655</v>
      </c>
      <c r="E929" s="11" t="s">
        <v>34</v>
      </c>
      <c r="F929" s="11" t="s">
        <v>35</v>
      </c>
      <c r="G929" s="9" t="s">
        <v>41</v>
      </c>
      <c r="H929" s="13">
        <v>1</v>
      </c>
      <c r="I929" s="13">
        <v>1</v>
      </c>
      <c r="J929" s="16">
        <v>8000.0</v>
      </c>
      <c r="K929" s="16"/>
      <c r="L929" s="18">
        <f>IF(J929&gt;0, K929/J929, 0)</f>
        <v>0</v>
      </c>
      <c r="M929" s="16">
        <v>8000.0</v>
      </c>
      <c r="N929" s="16"/>
      <c r="O929" s="16">
        <f>M929-N929</f>
        <v>8000</v>
      </c>
      <c r="P929" s="11" t="s">
        <v>42</v>
      </c>
      <c r="Q929" s="11" t="s">
        <v>43</v>
      </c>
      <c r="R929" s="11" t="s">
        <v>44</v>
      </c>
      <c r="S929" s="9" t="s">
        <v>2106</v>
      </c>
      <c r="T929" s="9" t="s">
        <v>44</v>
      </c>
    </row>
    <row r="930" spans="1:20">
      <c r="A930" s="10">
        <v>923</v>
      </c>
      <c r="B930" s="10" t="s">
        <v>1231</v>
      </c>
      <c r="C930" s="10" t="s">
        <v>1085</v>
      </c>
      <c r="D930" s="10" t="s">
        <v>655</v>
      </c>
      <c r="E930" s="10" t="s">
        <v>34</v>
      </c>
      <c r="F930" s="10" t="s">
        <v>35</v>
      </c>
      <c r="G930" s="8" t="s">
        <v>41</v>
      </c>
      <c r="H930" s="12">
        <v>1</v>
      </c>
      <c r="I930" s="12">
        <v>1</v>
      </c>
      <c r="J930" s="15">
        <v>8000.0</v>
      </c>
      <c r="K930" s="15"/>
      <c r="L930" s="17">
        <f>IF(J930&gt;0, K930/J930, 0)</f>
        <v>0</v>
      </c>
      <c r="M930" s="15">
        <v>8000.0</v>
      </c>
      <c r="N930" s="15"/>
      <c r="O930" s="15">
        <f>M930-N930</f>
        <v>8000</v>
      </c>
      <c r="P930" s="10" t="s">
        <v>42</v>
      </c>
      <c r="Q930" s="10" t="s">
        <v>43</v>
      </c>
      <c r="R930" s="10" t="s">
        <v>44</v>
      </c>
      <c r="S930" s="8" t="s">
        <v>2062</v>
      </c>
      <c r="T930" s="8" t="s">
        <v>44</v>
      </c>
    </row>
    <row r="931" spans="1:20">
      <c r="A931" s="11">
        <v>924</v>
      </c>
      <c r="B931" s="11" t="s">
        <v>1232</v>
      </c>
      <c r="C931" s="11" t="s">
        <v>1085</v>
      </c>
      <c r="D931" s="11" t="s">
        <v>655</v>
      </c>
      <c r="E931" s="11" t="s">
        <v>34</v>
      </c>
      <c r="F931" s="11" t="s">
        <v>35</v>
      </c>
      <c r="G931" s="9" t="s">
        <v>41</v>
      </c>
      <c r="H931" s="13">
        <v>1</v>
      </c>
      <c r="I931" s="13">
        <v>1</v>
      </c>
      <c r="J931" s="16">
        <v>16000.0</v>
      </c>
      <c r="K931" s="16"/>
      <c r="L931" s="18">
        <f>IF(J931&gt;0, K931/J931, 0)</f>
        <v>0</v>
      </c>
      <c r="M931" s="16">
        <v>16000.0</v>
      </c>
      <c r="N931" s="16"/>
      <c r="O931" s="16">
        <f>M931-N931</f>
        <v>16000</v>
      </c>
      <c r="P931" s="11" t="s">
        <v>42</v>
      </c>
      <c r="Q931" s="11" t="s">
        <v>43</v>
      </c>
      <c r="R931" s="11" t="s">
        <v>44</v>
      </c>
      <c r="S931" s="9" t="s">
        <v>2073</v>
      </c>
      <c r="T931" s="9" t="s">
        <v>44</v>
      </c>
    </row>
    <row r="932" spans="1:20">
      <c r="A932" s="10">
        <v>925</v>
      </c>
      <c r="B932" s="10" t="s">
        <v>1233</v>
      </c>
      <c r="C932" s="10" t="s">
        <v>1085</v>
      </c>
      <c r="D932" s="10" t="s">
        <v>655</v>
      </c>
      <c r="E932" s="10" t="s">
        <v>34</v>
      </c>
      <c r="F932" s="10" t="s">
        <v>35</v>
      </c>
      <c r="G932" s="8" t="s">
        <v>41</v>
      </c>
      <c r="H932" s="12">
        <v>1</v>
      </c>
      <c r="I932" s="12">
        <v>1</v>
      </c>
      <c r="J932" s="15">
        <v>18000.0</v>
      </c>
      <c r="K932" s="15"/>
      <c r="L932" s="17">
        <f>IF(J932&gt;0, K932/J932, 0)</f>
        <v>0</v>
      </c>
      <c r="M932" s="15">
        <v>18000.0</v>
      </c>
      <c r="N932" s="15"/>
      <c r="O932" s="15">
        <f>M932-N932</f>
        <v>18000</v>
      </c>
      <c r="P932" s="10" t="s">
        <v>42</v>
      </c>
      <c r="Q932" s="10" t="s">
        <v>43</v>
      </c>
      <c r="R932" s="10" t="s">
        <v>44</v>
      </c>
      <c r="S932" s="8" t="s">
        <v>2114</v>
      </c>
      <c r="T932" s="8" t="s">
        <v>44</v>
      </c>
    </row>
    <row r="933" spans="1:20">
      <c r="A933" s="11">
        <v>926</v>
      </c>
      <c r="B933" s="11" t="s">
        <v>1234</v>
      </c>
      <c r="C933" s="11" t="s">
        <v>1085</v>
      </c>
      <c r="D933" s="11" t="s">
        <v>655</v>
      </c>
      <c r="E933" s="11" t="s">
        <v>34</v>
      </c>
      <c r="F933" s="11" t="s">
        <v>35</v>
      </c>
      <c r="G933" s="9" t="s">
        <v>41</v>
      </c>
      <c r="H933" s="13">
        <v>1</v>
      </c>
      <c r="I933" s="13">
        <v>1</v>
      </c>
      <c r="J933" s="16">
        <v>8000.0</v>
      </c>
      <c r="K933" s="16"/>
      <c r="L933" s="18">
        <f>IF(J933&gt;0, K933/J933, 0)</f>
        <v>0</v>
      </c>
      <c r="M933" s="16">
        <v>8000.0</v>
      </c>
      <c r="N933" s="16"/>
      <c r="O933" s="16">
        <f>M933-N933</f>
        <v>8000</v>
      </c>
      <c r="P933" s="11" t="s">
        <v>42</v>
      </c>
      <c r="Q933" s="11" t="s">
        <v>43</v>
      </c>
      <c r="R933" s="11" t="s">
        <v>44</v>
      </c>
      <c r="S933" s="9" t="s">
        <v>2051</v>
      </c>
      <c r="T933" s="9" t="s">
        <v>44</v>
      </c>
    </row>
    <row r="934" spans="1:20">
      <c r="A934" s="10">
        <v>927</v>
      </c>
      <c r="B934" s="10" t="s">
        <v>1235</v>
      </c>
      <c r="C934" s="10" t="s">
        <v>1085</v>
      </c>
      <c r="D934" s="10" t="s">
        <v>655</v>
      </c>
      <c r="E934" s="10" t="s">
        <v>34</v>
      </c>
      <c r="F934" s="10" t="s">
        <v>35</v>
      </c>
      <c r="G934" s="8" t="s">
        <v>41</v>
      </c>
      <c r="H934" s="12">
        <v>1</v>
      </c>
      <c r="I934" s="12">
        <v>2</v>
      </c>
      <c r="J934" s="15">
        <v>14000.0</v>
      </c>
      <c r="K934" s="15"/>
      <c r="L934" s="17">
        <f>IF(J934&gt;0, K934/J934, 0)</f>
        <v>0</v>
      </c>
      <c r="M934" s="15">
        <v>14000.0</v>
      </c>
      <c r="N934" s="15"/>
      <c r="O934" s="15">
        <f>M934-N934</f>
        <v>14000</v>
      </c>
      <c r="P934" s="10" t="s">
        <v>42</v>
      </c>
      <c r="Q934" s="10" t="s">
        <v>43</v>
      </c>
      <c r="R934" s="10" t="s">
        <v>44</v>
      </c>
      <c r="S934" s="8" t="s">
        <v>2063</v>
      </c>
      <c r="T934" s="8" t="s">
        <v>44</v>
      </c>
    </row>
    <row r="935" spans="1:20">
      <c r="A935" s="11">
        <v>928</v>
      </c>
      <c r="B935" s="11" t="s">
        <v>1236</v>
      </c>
      <c r="C935" s="11" t="s">
        <v>1085</v>
      </c>
      <c r="D935" s="11" t="s">
        <v>655</v>
      </c>
      <c r="E935" s="11" t="s">
        <v>34</v>
      </c>
      <c r="F935" s="11" t="s">
        <v>35</v>
      </c>
      <c r="G935" s="9" t="s">
        <v>41</v>
      </c>
      <c r="H935" s="13">
        <v>1</v>
      </c>
      <c r="I935" s="13">
        <v>1</v>
      </c>
      <c r="J935" s="16">
        <v>10000.0</v>
      </c>
      <c r="K935" s="16"/>
      <c r="L935" s="18">
        <f>IF(J935&gt;0, K935/J935, 0)</f>
        <v>0</v>
      </c>
      <c r="M935" s="16">
        <v>10000.0</v>
      </c>
      <c r="N935" s="16"/>
      <c r="O935" s="16">
        <f>M935-N935</f>
        <v>10000</v>
      </c>
      <c r="P935" s="11" t="s">
        <v>42</v>
      </c>
      <c r="Q935" s="11" t="s">
        <v>43</v>
      </c>
      <c r="R935" s="11" t="s">
        <v>44</v>
      </c>
      <c r="S935" s="9" t="s">
        <v>2084</v>
      </c>
      <c r="T935" s="9" t="s">
        <v>44</v>
      </c>
    </row>
    <row r="936" spans="1:20">
      <c r="A936" s="10">
        <v>929</v>
      </c>
      <c r="B936" s="10" t="s">
        <v>1237</v>
      </c>
      <c r="C936" s="10" t="s">
        <v>1085</v>
      </c>
      <c r="D936" s="10" t="s">
        <v>655</v>
      </c>
      <c r="E936" s="10" t="s">
        <v>70</v>
      </c>
      <c r="F936" s="10" t="s">
        <v>35</v>
      </c>
      <c r="G936" s="8" t="s">
        <v>41</v>
      </c>
      <c r="H936" s="12">
        <v>1</v>
      </c>
      <c r="I936" s="12">
        <v>1</v>
      </c>
      <c r="J936" s="15">
        <v>8000.0</v>
      </c>
      <c r="K936" s="15"/>
      <c r="L936" s="17">
        <f>IF(J936&gt;0, K936/J936, 0)</f>
        <v>0</v>
      </c>
      <c r="M936" s="15">
        <v>8000.0</v>
      </c>
      <c r="N936" s="15"/>
      <c r="O936" s="15">
        <f>M936-N936</f>
        <v>8000</v>
      </c>
      <c r="P936" s="10" t="s">
        <v>42</v>
      </c>
      <c r="Q936" s="10" t="s">
        <v>1238</v>
      </c>
      <c r="R936" s="10" t="s">
        <v>44</v>
      </c>
      <c r="S936" s="8" t="s">
        <v>2138</v>
      </c>
      <c r="T936" s="8" t="s">
        <v>44</v>
      </c>
    </row>
    <row r="937" spans="1:20">
      <c r="A937" s="11">
        <v>930</v>
      </c>
      <c r="B937" s="11" t="s">
        <v>1239</v>
      </c>
      <c r="C937" s="11" t="s">
        <v>1085</v>
      </c>
      <c r="D937" s="11" t="s">
        <v>655</v>
      </c>
      <c r="E937" s="11" t="s">
        <v>34</v>
      </c>
      <c r="F937" s="11" t="s">
        <v>35</v>
      </c>
      <c r="G937" s="9" t="s">
        <v>41</v>
      </c>
      <c r="H937" s="13">
        <v>1</v>
      </c>
      <c r="I937" s="13">
        <v>1</v>
      </c>
      <c r="J937" s="16">
        <v>9000.0</v>
      </c>
      <c r="K937" s="16"/>
      <c r="L937" s="18">
        <f>IF(J937&gt;0, K937/J937, 0)</f>
        <v>0</v>
      </c>
      <c r="M937" s="16">
        <v>9000.0</v>
      </c>
      <c r="N937" s="16"/>
      <c r="O937" s="16">
        <f>M937-N937</f>
        <v>9000</v>
      </c>
      <c r="P937" s="11" t="s">
        <v>42</v>
      </c>
      <c r="Q937" s="11" t="s">
        <v>43</v>
      </c>
      <c r="R937" s="11" t="s">
        <v>44</v>
      </c>
      <c r="S937" s="9" t="s">
        <v>2062</v>
      </c>
      <c r="T937" s="9" t="s">
        <v>44</v>
      </c>
    </row>
    <row r="938" spans="1:20">
      <c r="A938" s="10">
        <v>931</v>
      </c>
      <c r="B938" s="10" t="s">
        <v>1240</v>
      </c>
      <c r="C938" s="10" t="s">
        <v>1085</v>
      </c>
      <c r="D938" s="10" t="s">
        <v>655</v>
      </c>
      <c r="E938" s="10" t="s">
        <v>34</v>
      </c>
      <c r="F938" s="10" t="s">
        <v>35</v>
      </c>
      <c r="G938" s="8" t="s">
        <v>41</v>
      </c>
      <c r="H938" s="12">
        <v>1</v>
      </c>
      <c r="I938" s="12">
        <v>1</v>
      </c>
      <c r="J938" s="15">
        <v>16000.0</v>
      </c>
      <c r="K938" s="15"/>
      <c r="L938" s="17">
        <f>IF(J938&gt;0, K938/J938, 0)</f>
        <v>0</v>
      </c>
      <c r="M938" s="15">
        <v>16000.0</v>
      </c>
      <c r="N938" s="15"/>
      <c r="O938" s="15">
        <f>M938-N938</f>
        <v>16000</v>
      </c>
      <c r="P938" s="10" t="s">
        <v>42</v>
      </c>
      <c r="Q938" s="10" t="s">
        <v>43</v>
      </c>
      <c r="R938" s="10" t="s">
        <v>44</v>
      </c>
      <c r="S938" s="8" t="s">
        <v>2078</v>
      </c>
      <c r="T938" s="8" t="s">
        <v>44</v>
      </c>
    </row>
    <row r="939" spans="1:20">
      <c r="A939" s="11">
        <v>932</v>
      </c>
      <c r="B939" s="11" t="s">
        <v>1241</v>
      </c>
      <c r="C939" s="11" t="s">
        <v>1085</v>
      </c>
      <c r="D939" s="11" t="s">
        <v>655</v>
      </c>
      <c r="E939" s="11" t="s">
        <v>34</v>
      </c>
      <c r="F939" s="11" t="s">
        <v>35</v>
      </c>
      <c r="G939" s="9" t="s">
        <v>41</v>
      </c>
      <c r="H939" s="13">
        <v>1</v>
      </c>
      <c r="I939" s="13">
        <v>1</v>
      </c>
      <c r="J939" s="16">
        <v>7000.0</v>
      </c>
      <c r="K939" s="16"/>
      <c r="L939" s="18">
        <f>IF(J939&gt;0, K939/J939, 0)</f>
        <v>0</v>
      </c>
      <c r="M939" s="16">
        <v>7000.0</v>
      </c>
      <c r="N939" s="16"/>
      <c r="O939" s="16">
        <f>M939-N939</f>
        <v>7000</v>
      </c>
      <c r="P939" s="11" t="s">
        <v>42</v>
      </c>
      <c r="Q939" s="11" t="s">
        <v>43</v>
      </c>
      <c r="R939" s="11" t="s">
        <v>44</v>
      </c>
      <c r="S939" s="9" t="s">
        <v>2077</v>
      </c>
      <c r="T939" s="9" t="s">
        <v>44</v>
      </c>
    </row>
    <row r="940" spans="1:20">
      <c r="A940" s="10">
        <v>933</v>
      </c>
      <c r="B940" s="10" t="s">
        <v>1242</v>
      </c>
      <c r="C940" s="10" t="s">
        <v>1085</v>
      </c>
      <c r="D940" s="10" t="s">
        <v>655</v>
      </c>
      <c r="E940" s="10" t="s">
        <v>34</v>
      </c>
      <c r="F940" s="10" t="s">
        <v>35</v>
      </c>
      <c r="G940" s="8" t="s">
        <v>41</v>
      </c>
      <c r="H940" s="12">
        <v>1</v>
      </c>
      <c r="I940" s="12">
        <v>1</v>
      </c>
      <c r="J940" s="15">
        <v>7000.0</v>
      </c>
      <c r="K940" s="15"/>
      <c r="L940" s="17">
        <f>IF(J940&gt;0, K940/J940, 0)</f>
        <v>0</v>
      </c>
      <c r="M940" s="15">
        <v>7000.0</v>
      </c>
      <c r="N940" s="15"/>
      <c r="O940" s="15">
        <f>M940-N940</f>
        <v>7000</v>
      </c>
      <c r="P940" s="10" t="s">
        <v>42</v>
      </c>
      <c r="Q940" s="10" t="s">
        <v>43</v>
      </c>
      <c r="R940" s="10" t="s">
        <v>44</v>
      </c>
      <c r="S940" s="8" t="s">
        <v>2101</v>
      </c>
      <c r="T940" s="8" t="s">
        <v>44</v>
      </c>
    </row>
    <row r="941" spans="1:20">
      <c r="A941" s="11">
        <v>934</v>
      </c>
      <c r="B941" s="11" t="s">
        <v>1243</v>
      </c>
      <c r="C941" s="11" t="s">
        <v>1085</v>
      </c>
      <c r="D941" s="11" t="s">
        <v>655</v>
      </c>
      <c r="E941" s="11" t="s">
        <v>34</v>
      </c>
      <c r="F941" s="11" t="s">
        <v>35</v>
      </c>
      <c r="G941" s="9" t="s">
        <v>41</v>
      </c>
      <c r="H941" s="13">
        <v>1</v>
      </c>
      <c r="I941" s="13">
        <v>2</v>
      </c>
      <c r="J941" s="16">
        <v>16000.0</v>
      </c>
      <c r="K941" s="16"/>
      <c r="L941" s="18">
        <f>IF(J941&gt;0, K941/J941, 0)</f>
        <v>0</v>
      </c>
      <c r="M941" s="16">
        <v>16000.0</v>
      </c>
      <c r="N941" s="16"/>
      <c r="O941" s="16">
        <f>M941-N941</f>
        <v>16000</v>
      </c>
      <c r="P941" s="11" t="s">
        <v>42</v>
      </c>
      <c r="Q941" s="11" t="s">
        <v>43</v>
      </c>
      <c r="R941" s="11" t="s">
        <v>44</v>
      </c>
      <c r="S941" s="9" t="s">
        <v>2174</v>
      </c>
      <c r="T941" s="9" t="s">
        <v>44</v>
      </c>
    </row>
    <row r="942" spans="1:20">
      <c r="A942" s="10">
        <v>935</v>
      </c>
      <c r="B942" s="10" t="s">
        <v>1244</v>
      </c>
      <c r="C942" s="10" t="s">
        <v>1085</v>
      </c>
      <c r="D942" s="10" t="s">
        <v>655</v>
      </c>
      <c r="E942" s="10" t="s">
        <v>34</v>
      </c>
      <c r="F942" s="10" t="s">
        <v>35</v>
      </c>
      <c r="G942" s="8" t="s">
        <v>41</v>
      </c>
      <c r="H942" s="12">
        <v>1</v>
      </c>
      <c r="I942" s="12">
        <v>2</v>
      </c>
      <c r="J942" s="15">
        <v>14000.0</v>
      </c>
      <c r="K942" s="15"/>
      <c r="L942" s="17">
        <f>IF(J942&gt;0, K942/J942, 0)</f>
        <v>0</v>
      </c>
      <c r="M942" s="15">
        <v>14000.0</v>
      </c>
      <c r="N942" s="15"/>
      <c r="O942" s="15">
        <f>M942-N942</f>
        <v>14000</v>
      </c>
      <c r="P942" s="10" t="s">
        <v>42</v>
      </c>
      <c r="Q942" s="10" t="s">
        <v>43</v>
      </c>
      <c r="R942" s="10" t="s">
        <v>44</v>
      </c>
      <c r="S942" s="8" t="s">
        <v>2116</v>
      </c>
      <c r="T942" s="8" t="s">
        <v>44</v>
      </c>
    </row>
    <row r="943" spans="1:20">
      <c r="A943" s="11">
        <v>936</v>
      </c>
      <c r="B943" s="11" t="s">
        <v>1245</v>
      </c>
      <c r="C943" s="11" t="s">
        <v>1085</v>
      </c>
      <c r="D943" s="11" t="s">
        <v>655</v>
      </c>
      <c r="E943" s="11" t="s">
        <v>34</v>
      </c>
      <c r="F943" s="11" t="s">
        <v>35</v>
      </c>
      <c r="G943" s="9" t="s">
        <v>41</v>
      </c>
      <c r="H943" s="13">
        <v>1</v>
      </c>
      <c r="I943" s="13">
        <v>2</v>
      </c>
      <c r="J943" s="16">
        <v>18000.0</v>
      </c>
      <c r="K943" s="16"/>
      <c r="L943" s="18">
        <f>IF(J943&gt;0, K943/J943, 0)</f>
        <v>0</v>
      </c>
      <c r="M943" s="16">
        <v>18000.0</v>
      </c>
      <c r="N943" s="16"/>
      <c r="O943" s="16">
        <f>M943-N943</f>
        <v>18000</v>
      </c>
      <c r="P943" s="11" t="s">
        <v>42</v>
      </c>
      <c r="Q943" s="11" t="s">
        <v>43</v>
      </c>
      <c r="R943" s="11" t="s">
        <v>44</v>
      </c>
      <c r="S943" s="9" t="s">
        <v>2069</v>
      </c>
      <c r="T943" s="9" t="s">
        <v>44</v>
      </c>
    </row>
    <row r="944" spans="1:20">
      <c r="A944" s="10">
        <v>937</v>
      </c>
      <c r="B944" s="10" t="s">
        <v>1246</v>
      </c>
      <c r="C944" s="10" t="s">
        <v>1085</v>
      </c>
      <c r="D944" s="10" t="s">
        <v>655</v>
      </c>
      <c r="E944" s="10" t="s">
        <v>34</v>
      </c>
      <c r="F944" s="10" t="s">
        <v>35</v>
      </c>
      <c r="G944" s="8" t="s">
        <v>41</v>
      </c>
      <c r="H944" s="12">
        <v>1</v>
      </c>
      <c r="I944" s="12">
        <v>1</v>
      </c>
      <c r="J944" s="15">
        <v>7000.0</v>
      </c>
      <c r="K944" s="15"/>
      <c r="L944" s="17">
        <f>IF(J944&gt;0, K944/J944, 0)</f>
        <v>0</v>
      </c>
      <c r="M944" s="15">
        <v>7000.0</v>
      </c>
      <c r="N944" s="15"/>
      <c r="O944" s="15">
        <f>M944-N944</f>
        <v>7000</v>
      </c>
      <c r="P944" s="10" t="s">
        <v>42</v>
      </c>
      <c r="Q944" s="10" t="s">
        <v>43</v>
      </c>
      <c r="R944" s="10" t="s">
        <v>44</v>
      </c>
      <c r="S944" s="8" t="s">
        <v>2100</v>
      </c>
      <c r="T944" s="8" t="s">
        <v>44</v>
      </c>
    </row>
    <row r="945" spans="1:20">
      <c r="A945" s="11">
        <v>938</v>
      </c>
      <c r="B945" s="11" t="s">
        <v>1247</v>
      </c>
      <c r="C945" s="11" t="s">
        <v>1085</v>
      </c>
      <c r="D945" s="11" t="s">
        <v>655</v>
      </c>
      <c r="E945" s="11" t="s">
        <v>34</v>
      </c>
      <c r="F945" s="11" t="s">
        <v>35</v>
      </c>
      <c r="G945" s="9" t="s">
        <v>41</v>
      </c>
      <c r="H945" s="13">
        <v>1</v>
      </c>
      <c r="I945" s="13">
        <v>1</v>
      </c>
      <c r="J945" s="16">
        <v>8000.0</v>
      </c>
      <c r="K945" s="16"/>
      <c r="L945" s="18">
        <f>IF(J945&gt;0, K945/J945, 0)</f>
        <v>0</v>
      </c>
      <c r="M945" s="16">
        <v>8000.0</v>
      </c>
      <c r="N945" s="16"/>
      <c r="O945" s="16">
        <f>M945-N945</f>
        <v>8000</v>
      </c>
      <c r="P945" s="11" t="s">
        <v>42</v>
      </c>
      <c r="Q945" s="11" t="s">
        <v>43</v>
      </c>
      <c r="R945" s="11" t="s">
        <v>44</v>
      </c>
      <c r="S945" s="9" t="s">
        <v>2045</v>
      </c>
      <c r="T945" s="9" t="s">
        <v>44</v>
      </c>
    </row>
    <row r="946" spans="1:20">
      <c r="A946" s="10">
        <v>939</v>
      </c>
      <c r="B946" s="10" t="s">
        <v>1248</v>
      </c>
      <c r="C946" s="10" t="s">
        <v>1085</v>
      </c>
      <c r="D946" s="10" t="s">
        <v>655</v>
      </c>
      <c r="E946" s="10" t="s">
        <v>34</v>
      </c>
      <c r="F946" s="10" t="s">
        <v>35</v>
      </c>
      <c r="G946" s="8" t="s">
        <v>41</v>
      </c>
      <c r="H946" s="12">
        <v>1</v>
      </c>
      <c r="I946" s="12">
        <v>2</v>
      </c>
      <c r="J946" s="15">
        <v>14000.0</v>
      </c>
      <c r="K946" s="15"/>
      <c r="L946" s="17">
        <f>IF(J946&gt;0, K946/J946, 0)</f>
        <v>0</v>
      </c>
      <c r="M946" s="15">
        <v>14000.0</v>
      </c>
      <c r="N946" s="15"/>
      <c r="O946" s="15">
        <f>M946-N946</f>
        <v>14000</v>
      </c>
      <c r="P946" s="10" t="s">
        <v>42</v>
      </c>
      <c r="Q946" s="10" t="s">
        <v>43</v>
      </c>
      <c r="R946" s="10" t="s">
        <v>44</v>
      </c>
      <c r="S946" s="8" t="s">
        <v>2044</v>
      </c>
      <c r="T946" s="8" t="s">
        <v>44</v>
      </c>
    </row>
    <row r="947" spans="1:20">
      <c r="A947" s="11">
        <v>940</v>
      </c>
      <c r="B947" s="11" t="s">
        <v>1249</v>
      </c>
      <c r="C947" s="11" t="s">
        <v>1085</v>
      </c>
      <c r="D947" s="11" t="s">
        <v>655</v>
      </c>
      <c r="E947" s="11" t="s">
        <v>34</v>
      </c>
      <c r="F947" s="11" t="s">
        <v>35</v>
      </c>
      <c r="G947" s="9" t="s">
        <v>41</v>
      </c>
      <c r="H947" s="13">
        <v>1</v>
      </c>
      <c r="I947" s="13">
        <v>1</v>
      </c>
      <c r="J947" s="16">
        <v>8000.0</v>
      </c>
      <c r="K947" s="16"/>
      <c r="L947" s="18">
        <f>IF(J947&gt;0, K947/J947, 0)</f>
        <v>0</v>
      </c>
      <c r="M947" s="16">
        <v>8000.0</v>
      </c>
      <c r="N947" s="16"/>
      <c r="O947" s="16">
        <f>M947-N947</f>
        <v>8000</v>
      </c>
      <c r="P947" s="11" t="s">
        <v>42</v>
      </c>
      <c r="Q947" s="11" t="s">
        <v>43</v>
      </c>
      <c r="R947" s="11" t="s">
        <v>44</v>
      </c>
      <c r="S947" s="9" t="s">
        <v>2062</v>
      </c>
      <c r="T947" s="9" t="s">
        <v>44</v>
      </c>
    </row>
    <row r="948" spans="1:20">
      <c r="A948" s="10">
        <v>941</v>
      </c>
      <c r="B948" s="10" t="s">
        <v>1250</v>
      </c>
      <c r="C948" s="10" t="s">
        <v>1085</v>
      </c>
      <c r="D948" s="10" t="s">
        <v>655</v>
      </c>
      <c r="E948" s="10" t="s">
        <v>34</v>
      </c>
      <c r="F948" s="10" t="s">
        <v>35</v>
      </c>
      <c r="G948" s="8" t="s">
        <v>41</v>
      </c>
      <c r="H948" s="12">
        <v>1</v>
      </c>
      <c r="I948" s="12">
        <v>2</v>
      </c>
      <c r="J948" s="15">
        <v>14000.0</v>
      </c>
      <c r="K948" s="15"/>
      <c r="L948" s="17">
        <f>IF(J948&gt;0, K948/J948, 0)</f>
        <v>0</v>
      </c>
      <c r="M948" s="15">
        <v>14000.0</v>
      </c>
      <c r="N948" s="15"/>
      <c r="O948" s="15">
        <f>M948-N948</f>
        <v>14000</v>
      </c>
      <c r="P948" s="10" t="s">
        <v>42</v>
      </c>
      <c r="Q948" s="10" t="s">
        <v>43</v>
      </c>
      <c r="R948" s="10" t="s">
        <v>44</v>
      </c>
      <c r="S948" s="8" t="s">
        <v>2063</v>
      </c>
      <c r="T948" s="8" t="s">
        <v>44</v>
      </c>
    </row>
    <row r="949" spans="1:20">
      <c r="A949" s="11">
        <v>942</v>
      </c>
      <c r="B949" s="11" t="s">
        <v>1251</v>
      </c>
      <c r="C949" s="11" t="s">
        <v>1085</v>
      </c>
      <c r="D949" s="11" t="s">
        <v>655</v>
      </c>
      <c r="E949" s="11" t="s">
        <v>70</v>
      </c>
      <c r="F949" s="11" t="s">
        <v>35</v>
      </c>
      <c r="G949" s="9" t="s">
        <v>41</v>
      </c>
      <c r="H949" s="13">
        <v>1</v>
      </c>
      <c r="I949" s="13">
        <v>1</v>
      </c>
      <c r="J949" s="16">
        <v>17000.0</v>
      </c>
      <c r="K949" s="16"/>
      <c r="L949" s="18">
        <f>IF(J949&gt;0, K949/J949, 0)</f>
        <v>0</v>
      </c>
      <c r="M949" s="16">
        <v>17000.0</v>
      </c>
      <c r="N949" s="16"/>
      <c r="O949" s="16">
        <f>M949-N949</f>
        <v>17000</v>
      </c>
      <c r="P949" s="11" t="s">
        <v>42</v>
      </c>
      <c r="Q949" s="11" t="s">
        <v>1238</v>
      </c>
      <c r="R949" s="11" t="s">
        <v>44</v>
      </c>
      <c r="S949" s="9" t="s">
        <v>2039</v>
      </c>
      <c r="T949" s="9" t="s">
        <v>44</v>
      </c>
    </row>
    <row r="950" spans="1:20">
      <c r="A950" s="10">
        <v>943</v>
      </c>
      <c r="B950" s="10" t="s">
        <v>1252</v>
      </c>
      <c r="C950" s="10" t="s">
        <v>1085</v>
      </c>
      <c r="D950" s="10" t="s">
        <v>655</v>
      </c>
      <c r="E950" s="10" t="s">
        <v>70</v>
      </c>
      <c r="F950" s="10" t="s">
        <v>35</v>
      </c>
      <c r="G950" s="8" t="s">
        <v>41</v>
      </c>
      <c r="H950" s="12">
        <v>1</v>
      </c>
      <c r="I950" s="12">
        <v>2</v>
      </c>
      <c r="J950" s="15">
        <v>20000.0</v>
      </c>
      <c r="K950" s="15"/>
      <c r="L950" s="17">
        <f>IF(J950&gt;0, K950/J950, 0)</f>
        <v>0</v>
      </c>
      <c r="M950" s="15">
        <v>20000.0</v>
      </c>
      <c r="N950" s="15"/>
      <c r="O950" s="15">
        <f>M950-N950</f>
        <v>20000</v>
      </c>
      <c r="P950" s="10" t="s">
        <v>42</v>
      </c>
      <c r="Q950" s="10" t="s">
        <v>1238</v>
      </c>
      <c r="R950" s="10" t="s">
        <v>44</v>
      </c>
      <c r="S950" s="8" t="s">
        <v>2189</v>
      </c>
      <c r="T950" s="8" t="s">
        <v>44</v>
      </c>
    </row>
    <row r="951" spans="1:20">
      <c r="A951" s="11">
        <v>944</v>
      </c>
      <c r="B951" s="11" t="s">
        <v>1253</v>
      </c>
      <c r="C951" s="11" t="s">
        <v>1085</v>
      </c>
      <c r="D951" s="11" t="s">
        <v>655</v>
      </c>
      <c r="E951" s="11" t="s">
        <v>70</v>
      </c>
      <c r="F951" s="11" t="s">
        <v>35</v>
      </c>
      <c r="G951" s="9" t="s">
        <v>41</v>
      </c>
      <c r="H951" s="13">
        <v>1</v>
      </c>
      <c r="I951" s="13">
        <v>1</v>
      </c>
      <c r="J951" s="16">
        <v>8000.0</v>
      </c>
      <c r="K951" s="16"/>
      <c r="L951" s="18">
        <f>IF(J951&gt;0, K951/J951, 0)</f>
        <v>0</v>
      </c>
      <c r="M951" s="16">
        <v>8000.0</v>
      </c>
      <c r="N951" s="16"/>
      <c r="O951" s="16">
        <f>M951-N951</f>
        <v>8000</v>
      </c>
      <c r="P951" s="11" t="s">
        <v>42</v>
      </c>
      <c r="Q951" s="11" t="s">
        <v>1238</v>
      </c>
      <c r="R951" s="11" t="s">
        <v>44</v>
      </c>
      <c r="S951" s="9" t="s">
        <v>2138</v>
      </c>
      <c r="T951" s="9" t="s">
        <v>44</v>
      </c>
    </row>
    <row r="952" spans="1:20">
      <c r="A952" s="10">
        <v>945</v>
      </c>
      <c r="B952" s="10" t="s">
        <v>1254</v>
      </c>
      <c r="C952" s="10" t="s">
        <v>1085</v>
      </c>
      <c r="D952" s="10" t="s">
        <v>655</v>
      </c>
      <c r="E952" s="10" t="s">
        <v>70</v>
      </c>
      <c r="F952" s="10" t="s">
        <v>35</v>
      </c>
      <c r="G952" s="8" t="s">
        <v>41</v>
      </c>
      <c r="H952" s="12">
        <v>1</v>
      </c>
      <c r="I952" s="12">
        <v>2</v>
      </c>
      <c r="J952" s="15">
        <v>20000.0</v>
      </c>
      <c r="K952" s="15"/>
      <c r="L952" s="17">
        <f>IF(J952&gt;0, K952/J952, 0)</f>
        <v>0</v>
      </c>
      <c r="M952" s="15">
        <v>20000.0</v>
      </c>
      <c r="N952" s="15"/>
      <c r="O952" s="15">
        <f>M952-N952</f>
        <v>20000</v>
      </c>
      <c r="P952" s="10" t="s">
        <v>42</v>
      </c>
      <c r="Q952" s="10" t="s">
        <v>73</v>
      </c>
      <c r="R952" s="10" t="s">
        <v>44</v>
      </c>
      <c r="S952" s="8" t="s">
        <v>2201</v>
      </c>
      <c r="T952" s="8" t="s">
        <v>44</v>
      </c>
    </row>
    <row r="953" spans="1:20">
      <c r="A953" s="11">
        <v>946</v>
      </c>
      <c r="B953" s="11" t="s">
        <v>1255</v>
      </c>
      <c r="C953" s="11" t="s">
        <v>1085</v>
      </c>
      <c r="D953" s="11" t="s">
        <v>655</v>
      </c>
      <c r="E953" s="11" t="s">
        <v>34</v>
      </c>
      <c r="F953" s="11" t="s">
        <v>35</v>
      </c>
      <c r="G953" s="9" t="s">
        <v>41</v>
      </c>
      <c r="H953" s="13">
        <v>1</v>
      </c>
      <c r="I953" s="13">
        <v>2</v>
      </c>
      <c r="J953" s="16">
        <v>32000.0</v>
      </c>
      <c r="K953" s="16"/>
      <c r="L953" s="18">
        <f>IF(J953&gt;0, K953/J953, 0)</f>
        <v>0</v>
      </c>
      <c r="M953" s="16">
        <v>32000.0</v>
      </c>
      <c r="N953" s="16"/>
      <c r="O953" s="16">
        <f>M953-N953</f>
        <v>32000</v>
      </c>
      <c r="P953" s="11" t="s">
        <v>42</v>
      </c>
      <c r="Q953" s="11" t="s">
        <v>43</v>
      </c>
      <c r="R953" s="11" t="s">
        <v>44</v>
      </c>
      <c r="S953" s="9" t="s">
        <v>2202</v>
      </c>
      <c r="T953" s="9" t="s">
        <v>44</v>
      </c>
    </row>
    <row r="954" spans="1:20">
      <c r="A954" s="10">
        <v>947</v>
      </c>
      <c r="B954" s="10" t="s">
        <v>1256</v>
      </c>
      <c r="C954" s="10" t="s">
        <v>1085</v>
      </c>
      <c r="D954" s="10" t="s">
        <v>655</v>
      </c>
      <c r="E954" s="10" t="s">
        <v>34</v>
      </c>
      <c r="F954" s="10" t="s">
        <v>35</v>
      </c>
      <c r="G954" s="8" t="s">
        <v>41</v>
      </c>
      <c r="H954" s="12">
        <v>1</v>
      </c>
      <c r="I954" s="12">
        <v>1</v>
      </c>
      <c r="J954" s="15">
        <v>7000.0</v>
      </c>
      <c r="K954" s="15"/>
      <c r="L954" s="17">
        <f>IF(J954&gt;0, K954/J954, 0)</f>
        <v>0</v>
      </c>
      <c r="M954" s="15">
        <v>7000.0</v>
      </c>
      <c r="N954" s="15"/>
      <c r="O954" s="15">
        <f>M954-N954</f>
        <v>7000</v>
      </c>
      <c r="P954" s="10" t="s">
        <v>42</v>
      </c>
      <c r="Q954" s="10" t="s">
        <v>43</v>
      </c>
      <c r="R954" s="10" t="s">
        <v>44</v>
      </c>
      <c r="S954" s="8" t="s">
        <v>2055</v>
      </c>
      <c r="T954" s="8" t="s">
        <v>44</v>
      </c>
    </row>
    <row r="955" spans="1:20">
      <c r="A955" s="11">
        <v>948</v>
      </c>
      <c r="B955" s="11" t="s">
        <v>1257</v>
      </c>
      <c r="C955" s="11" t="s">
        <v>1085</v>
      </c>
      <c r="D955" s="11" t="s">
        <v>655</v>
      </c>
      <c r="E955" s="11" t="s">
        <v>34</v>
      </c>
      <c r="F955" s="11" t="s">
        <v>35</v>
      </c>
      <c r="G955" s="9" t="s">
        <v>41</v>
      </c>
      <c r="H955" s="13">
        <v>1</v>
      </c>
      <c r="I955" s="13">
        <v>1</v>
      </c>
      <c r="J955" s="16">
        <v>9000.0</v>
      </c>
      <c r="K955" s="16"/>
      <c r="L955" s="18">
        <f>IF(J955&gt;0, K955/J955, 0)</f>
        <v>0</v>
      </c>
      <c r="M955" s="16">
        <v>9000.0</v>
      </c>
      <c r="N955" s="16"/>
      <c r="O955" s="16">
        <f>M955-N955</f>
        <v>9000</v>
      </c>
      <c r="P955" s="11" t="s">
        <v>42</v>
      </c>
      <c r="Q955" s="11" t="s">
        <v>43</v>
      </c>
      <c r="R955" s="11" t="s">
        <v>44</v>
      </c>
      <c r="S955" s="9" t="s">
        <v>2203</v>
      </c>
      <c r="T955" s="9" t="s">
        <v>44</v>
      </c>
    </row>
    <row r="956" spans="1:20">
      <c r="A956" s="10">
        <v>949</v>
      </c>
      <c r="B956" s="10" t="s">
        <v>1259</v>
      </c>
      <c r="C956" s="10" t="s">
        <v>1085</v>
      </c>
      <c r="D956" s="10" t="s">
        <v>655</v>
      </c>
      <c r="E956" s="10" t="s">
        <v>70</v>
      </c>
      <c r="F956" s="10" t="s">
        <v>35</v>
      </c>
      <c r="G956" s="8" t="s">
        <v>41</v>
      </c>
      <c r="H956" s="12">
        <v>1</v>
      </c>
      <c r="I956" s="12">
        <v>2</v>
      </c>
      <c r="J956" s="15">
        <v>22000.0</v>
      </c>
      <c r="K956" s="15"/>
      <c r="L956" s="17">
        <f>IF(J956&gt;0, K956/J956, 0)</f>
        <v>0</v>
      </c>
      <c r="M956" s="15">
        <v>22000.0</v>
      </c>
      <c r="N956" s="15"/>
      <c r="O956" s="15">
        <f>M956-N956</f>
        <v>22000</v>
      </c>
      <c r="P956" s="10" t="s">
        <v>42</v>
      </c>
      <c r="Q956" s="10" t="s">
        <v>73</v>
      </c>
      <c r="R956" s="10" t="s">
        <v>44</v>
      </c>
      <c r="S956" s="8" t="s">
        <v>2124</v>
      </c>
      <c r="T956" s="8" t="s">
        <v>44</v>
      </c>
    </row>
    <row r="957" spans="1:20">
      <c r="A957" s="11">
        <v>950</v>
      </c>
      <c r="B957" s="11" t="s">
        <v>1260</v>
      </c>
      <c r="C957" s="11" t="s">
        <v>1085</v>
      </c>
      <c r="D957" s="11" t="s">
        <v>655</v>
      </c>
      <c r="E957" s="11" t="s">
        <v>34</v>
      </c>
      <c r="F957" s="11" t="s">
        <v>35</v>
      </c>
      <c r="G957" s="9" t="s">
        <v>41</v>
      </c>
      <c r="H957" s="13">
        <v>1</v>
      </c>
      <c r="I957" s="13">
        <v>1</v>
      </c>
      <c r="J957" s="16">
        <v>8500.0</v>
      </c>
      <c r="K957" s="16"/>
      <c r="L957" s="18">
        <f>IF(J957&gt;0, K957/J957, 0)</f>
        <v>0</v>
      </c>
      <c r="M957" s="16">
        <v>8500.0</v>
      </c>
      <c r="N957" s="16"/>
      <c r="O957" s="16">
        <f>M957-N957</f>
        <v>8500</v>
      </c>
      <c r="P957" s="11" t="s">
        <v>42</v>
      </c>
      <c r="Q957" s="11" t="s">
        <v>43</v>
      </c>
      <c r="R957" s="11" t="s">
        <v>44</v>
      </c>
      <c r="S957" s="9" t="s">
        <v>2024</v>
      </c>
      <c r="T957" s="9" t="s">
        <v>44</v>
      </c>
    </row>
    <row r="958" spans="1:20">
      <c r="A958" s="10">
        <v>951</v>
      </c>
      <c r="B958" s="10" t="s">
        <v>1261</v>
      </c>
      <c r="C958" s="10" t="s">
        <v>1085</v>
      </c>
      <c r="D958" s="10" t="s">
        <v>655</v>
      </c>
      <c r="E958" s="10" t="s">
        <v>34</v>
      </c>
      <c r="F958" s="10" t="s">
        <v>35</v>
      </c>
      <c r="G958" s="8" t="s">
        <v>41</v>
      </c>
      <c r="H958" s="12">
        <v>1</v>
      </c>
      <c r="I958" s="12">
        <v>1</v>
      </c>
      <c r="J958" s="15">
        <v>18000.0</v>
      </c>
      <c r="K958" s="15"/>
      <c r="L958" s="17">
        <f>IF(J958&gt;0, K958/J958, 0)</f>
        <v>0</v>
      </c>
      <c r="M958" s="15">
        <v>18000.0</v>
      </c>
      <c r="N958" s="15"/>
      <c r="O958" s="15">
        <f>M958-N958</f>
        <v>18000</v>
      </c>
      <c r="P958" s="10" t="s">
        <v>42</v>
      </c>
      <c r="Q958" s="10" t="s">
        <v>43</v>
      </c>
      <c r="R958" s="10" t="s">
        <v>44</v>
      </c>
      <c r="S958" s="8" t="s">
        <v>2021</v>
      </c>
      <c r="T958" s="8" t="s">
        <v>44</v>
      </c>
    </row>
    <row r="959" spans="1:20">
      <c r="A959" s="11">
        <v>952</v>
      </c>
      <c r="B959" s="11" t="s">
        <v>1262</v>
      </c>
      <c r="C959" s="11" t="s">
        <v>1085</v>
      </c>
      <c r="D959" s="11" t="s">
        <v>655</v>
      </c>
      <c r="E959" s="11" t="s">
        <v>34</v>
      </c>
      <c r="F959" s="11" t="s">
        <v>35</v>
      </c>
      <c r="G959" s="9" t="s">
        <v>41</v>
      </c>
      <c r="H959" s="13">
        <v>1</v>
      </c>
      <c r="I959" s="13">
        <v>1</v>
      </c>
      <c r="J959" s="16">
        <v>8000.0</v>
      </c>
      <c r="K959" s="16"/>
      <c r="L959" s="18">
        <f>IF(J959&gt;0, K959/J959, 0)</f>
        <v>0</v>
      </c>
      <c r="M959" s="16">
        <v>8000.0</v>
      </c>
      <c r="N959" s="16"/>
      <c r="O959" s="16">
        <f>M959-N959</f>
        <v>8000</v>
      </c>
      <c r="P959" s="11" t="s">
        <v>42</v>
      </c>
      <c r="Q959" s="11" t="s">
        <v>43</v>
      </c>
      <c r="R959" s="11" t="s">
        <v>44</v>
      </c>
      <c r="S959" s="9" t="s">
        <v>2028</v>
      </c>
      <c r="T959" s="9" t="s">
        <v>44</v>
      </c>
    </row>
    <row r="960" spans="1:20">
      <c r="A960" s="10">
        <v>953</v>
      </c>
      <c r="B960" s="10" t="s">
        <v>1263</v>
      </c>
      <c r="C960" s="10" t="s">
        <v>1085</v>
      </c>
      <c r="D960" s="10" t="s">
        <v>655</v>
      </c>
      <c r="E960" s="10" t="s">
        <v>70</v>
      </c>
      <c r="F960" s="10" t="s">
        <v>35</v>
      </c>
      <c r="G960" s="8" t="s">
        <v>41</v>
      </c>
      <c r="H960" s="12">
        <v>1</v>
      </c>
      <c r="I960" s="12">
        <v>2</v>
      </c>
      <c r="J960" s="15">
        <v>22000.0</v>
      </c>
      <c r="K960" s="15"/>
      <c r="L960" s="17">
        <f>IF(J960&gt;0, K960/J960, 0)</f>
        <v>0</v>
      </c>
      <c r="M960" s="15">
        <v>22000.0</v>
      </c>
      <c r="N960" s="15"/>
      <c r="O960" s="15">
        <f>M960-N960</f>
        <v>22000</v>
      </c>
      <c r="P960" s="10" t="s">
        <v>42</v>
      </c>
      <c r="Q960" s="10" t="s">
        <v>73</v>
      </c>
      <c r="R960" s="10" t="s">
        <v>44</v>
      </c>
      <c r="S960" s="8" t="s">
        <v>2198</v>
      </c>
      <c r="T960" s="8" t="s">
        <v>44</v>
      </c>
    </row>
    <row r="961" spans="1:20">
      <c r="A961" s="11">
        <v>954</v>
      </c>
      <c r="B961" s="11" t="s">
        <v>1264</v>
      </c>
      <c r="C961" s="11" t="s">
        <v>1085</v>
      </c>
      <c r="D961" s="11" t="s">
        <v>655</v>
      </c>
      <c r="E961" s="11" t="s">
        <v>70</v>
      </c>
      <c r="F961" s="11" t="s">
        <v>35</v>
      </c>
      <c r="G961" s="9" t="s">
        <v>41</v>
      </c>
      <c r="H961" s="13">
        <v>1</v>
      </c>
      <c r="I961" s="13">
        <v>1</v>
      </c>
      <c r="J961" s="16">
        <v>18000.0</v>
      </c>
      <c r="K961" s="16"/>
      <c r="L961" s="18">
        <f>IF(J961&gt;0, K961/J961, 0)</f>
        <v>0</v>
      </c>
      <c r="M961" s="16">
        <v>18000.0</v>
      </c>
      <c r="N961" s="16"/>
      <c r="O961" s="16">
        <f>M961-N961</f>
        <v>18000</v>
      </c>
      <c r="P961" s="11" t="s">
        <v>42</v>
      </c>
      <c r="Q961" s="11" t="s">
        <v>73</v>
      </c>
      <c r="R961" s="11" t="s">
        <v>44</v>
      </c>
      <c r="S961" s="9" t="s">
        <v>2026</v>
      </c>
      <c r="T961" s="9" t="s">
        <v>44</v>
      </c>
    </row>
    <row r="962" spans="1:20">
      <c r="A962" s="10">
        <v>955</v>
      </c>
      <c r="B962" s="10" t="s">
        <v>1265</v>
      </c>
      <c r="C962" s="10" t="s">
        <v>1085</v>
      </c>
      <c r="D962" s="10" t="s">
        <v>655</v>
      </c>
      <c r="E962" s="10" t="s">
        <v>34</v>
      </c>
      <c r="F962" s="10" t="s">
        <v>35</v>
      </c>
      <c r="G962" s="8" t="s">
        <v>41</v>
      </c>
      <c r="H962" s="12">
        <v>1</v>
      </c>
      <c r="I962" s="12">
        <v>1</v>
      </c>
      <c r="J962" s="15">
        <v>8500.0</v>
      </c>
      <c r="K962" s="15"/>
      <c r="L962" s="17">
        <f>IF(J962&gt;0, K962/J962, 0)</f>
        <v>0</v>
      </c>
      <c r="M962" s="15">
        <v>8500.0</v>
      </c>
      <c r="N962" s="15"/>
      <c r="O962" s="15">
        <f>M962-N962</f>
        <v>8500</v>
      </c>
      <c r="P962" s="10" t="s">
        <v>42</v>
      </c>
      <c r="Q962" s="10" t="s">
        <v>43</v>
      </c>
      <c r="R962" s="10" t="s">
        <v>44</v>
      </c>
      <c r="S962" s="8" t="s">
        <v>2024</v>
      </c>
      <c r="T962" s="8" t="s">
        <v>44</v>
      </c>
    </row>
    <row r="963" spans="1:20">
      <c r="A963" s="11">
        <v>956</v>
      </c>
      <c r="B963" s="11" t="s">
        <v>1266</v>
      </c>
      <c r="C963" s="11" t="s">
        <v>1085</v>
      </c>
      <c r="D963" s="11" t="s">
        <v>655</v>
      </c>
      <c r="E963" s="11" t="s">
        <v>34</v>
      </c>
      <c r="F963" s="11" t="s">
        <v>35</v>
      </c>
      <c r="G963" s="9" t="s">
        <v>41</v>
      </c>
      <c r="H963" s="13">
        <v>1</v>
      </c>
      <c r="I963" s="13">
        <v>2</v>
      </c>
      <c r="J963" s="16">
        <v>16000.0</v>
      </c>
      <c r="K963" s="16"/>
      <c r="L963" s="18">
        <f>IF(J963&gt;0, K963/J963, 0)</f>
        <v>0</v>
      </c>
      <c r="M963" s="16">
        <v>16000.0</v>
      </c>
      <c r="N963" s="16"/>
      <c r="O963" s="16">
        <f>M963-N963</f>
        <v>16000</v>
      </c>
      <c r="P963" s="11" t="s">
        <v>42</v>
      </c>
      <c r="Q963" s="11" t="s">
        <v>43</v>
      </c>
      <c r="R963" s="11" t="s">
        <v>44</v>
      </c>
      <c r="S963" s="9" t="s">
        <v>2091</v>
      </c>
      <c r="T963" s="9" t="s">
        <v>44</v>
      </c>
    </row>
    <row r="964" spans="1:20">
      <c r="A964" s="10">
        <v>957</v>
      </c>
      <c r="B964" s="10" t="s">
        <v>1267</v>
      </c>
      <c r="C964" s="10" t="s">
        <v>1085</v>
      </c>
      <c r="D964" s="10" t="s">
        <v>655</v>
      </c>
      <c r="E964" s="10" t="s">
        <v>34</v>
      </c>
      <c r="F964" s="10" t="s">
        <v>35</v>
      </c>
      <c r="G964" s="8" t="s">
        <v>41</v>
      </c>
      <c r="H964" s="12">
        <v>1</v>
      </c>
      <c r="I964" s="12">
        <v>1</v>
      </c>
      <c r="J964" s="15">
        <v>16500.0</v>
      </c>
      <c r="K964" s="15"/>
      <c r="L964" s="17">
        <f>IF(J964&gt;0, K964/J964, 0)</f>
        <v>0</v>
      </c>
      <c r="M964" s="15">
        <v>16500.0</v>
      </c>
      <c r="N964" s="15"/>
      <c r="O964" s="15">
        <f>M964-N964</f>
        <v>16500</v>
      </c>
      <c r="P964" s="10" t="s">
        <v>42</v>
      </c>
      <c r="Q964" s="10" t="s">
        <v>43</v>
      </c>
      <c r="R964" s="10" t="s">
        <v>44</v>
      </c>
      <c r="S964" s="8" t="s">
        <v>2072</v>
      </c>
      <c r="T964" s="8" t="s">
        <v>44</v>
      </c>
    </row>
    <row r="965" spans="1:20">
      <c r="A965" s="11">
        <v>958</v>
      </c>
      <c r="B965" s="11" t="s">
        <v>1268</v>
      </c>
      <c r="C965" s="11" t="s">
        <v>1085</v>
      </c>
      <c r="D965" s="11" t="s">
        <v>655</v>
      </c>
      <c r="E965" s="11" t="s">
        <v>34</v>
      </c>
      <c r="F965" s="11" t="s">
        <v>35</v>
      </c>
      <c r="G965" s="9" t="s">
        <v>41</v>
      </c>
      <c r="H965" s="13">
        <v>1</v>
      </c>
      <c r="I965" s="13">
        <v>1</v>
      </c>
      <c r="J965" s="16">
        <v>8000.0</v>
      </c>
      <c r="K965" s="16"/>
      <c r="L965" s="18">
        <f>IF(J965&gt;0, K965/J965, 0)</f>
        <v>0</v>
      </c>
      <c r="M965" s="16">
        <v>8000.0</v>
      </c>
      <c r="N965" s="16"/>
      <c r="O965" s="16">
        <f>M965-N965</f>
        <v>8000</v>
      </c>
      <c r="P965" s="11" t="s">
        <v>42</v>
      </c>
      <c r="Q965" s="11" t="s">
        <v>43</v>
      </c>
      <c r="R965" s="11" t="s">
        <v>44</v>
      </c>
      <c r="S965" s="9" t="s">
        <v>2062</v>
      </c>
      <c r="T965" s="9" t="s">
        <v>44</v>
      </c>
    </row>
    <row r="966" spans="1:20">
      <c r="A966" s="10">
        <v>959</v>
      </c>
      <c r="B966" s="10" t="s">
        <v>1269</v>
      </c>
      <c r="C966" s="10" t="s">
        <v>1085</v>
      </c>
      <c r="D966" s="10" t="s">
        <v>655</v>
      </c>
      <c r="E966" s="10" t="s">
        <v>34</v>
      </c>
      <c r="F966" s="10" t="s">
        <v>35</v>
      </c>
      <c r="G966" s="8" t="s">
        <v>41</v>
      </c>
      <c r="H966" s="12">
        <v>1</v>
      </c>
      <c r="I966" s="12">
        <v>1</v>
      </c>
      <c r="J966" s="15">
        <v>7000.0</v>
      </c>
      <c r="K966" s="15"/>
      <c r="L966" s="17">
        <f>IF(J966&gt;0, K966/J966, 0)</f>
        <v>0</v>
      </c>
      <c r="M966" s="15">
        <v>7000.0</v>
      </c>
      <c r="N966" s="15"/>
      <c r="O966" s="15">
        <f>M966-N966</f>
        <v>7000</v>
      </c>
      <c r="P966" s="10" t="s">
        <v>42</v>
      </c>
      <c r="Q966" s="10" t="s">
        <v>43</v>
      </c>
      <c r="R966" s="10" t="s">
        <v>44</v>
      </c>
      <c r="S966" s="8" t="s">
        <v>2101</v>
      </c>
      <c r="T966" s="8" t="s">
        <v>44</v>
      </c>
    </row>
    <row r="967" spans="1:20">
      <c r="A967" s="11">
        <v>960</v>
      </c>
      <c r="B967" s="11" t="s">
        <v>1270</v>
      </c>
      <c r="C967" s="11" t="s">
        <v>1085</v>
      </c>
      <c r="D967" s="11" t="s">
        <v>655</v>
      </c>
      <c r="E967" s="11" t="s">
        <v>34</v>
      </c>
      <c r="F967" s="11" t="s">
        <v>35</v>
      </c>
      <c r="G967" s="9" t="s">
        <v>41</v>
      </c>
      <c r="H967" s="13">
        <v>1</v>
      </c>
      <c r="I967" s="13">
        <v>1</v>
      </c>
      <c r="J967" s="16">
        <v>16000.0</v>
      </c>
      <c r="K967" s="16"/>
      <c r="L967" s="18">
        <f>IF(J967&gt;0, K967/J967, 0)</f>
        <v>0</v>
      </c>
      <c r="M967" s="16">
        <v>16000.0</v>
      </c>
      <c r="N967" s="16"/>
      <c r="O967" s="16">
        <f>M967-N967</f>
        <v>16000</v>
      </c>
      <c r="P967" s="11" t="s">
        <v>42</v>
      </c>
      <c r="Q967" s="11" t="s">
        <v>43</v>
      </c>
      <c r="R967" s="11" t="s">
        <v>44</v>
      </c>
      <c r="S967" s="9" t="s">
        <v>2073</v>
      </c>
      <c r="T967" s="9" t="s">
        <v>44</v>
      </c>
    </row>
    <row r="968" spans="1:20">
      <c r="A968" s="10">
        <v>961</v>
      </c>
      <c r="B968" s="10" t="s">
        <v>1271</v>
      </c>
      <c r="C968" s="10" t="s">
        <v>1085</v>
      </c>
      <c r="D968" s="10" t="s">
        <v>655</v>
      </c>
      <c r="E968" s="10" t="s">
        <v>34</v>
      </c>
      <c r="F968" s="10" t="s">
        <v>35</v>
      </c>
      <c r="G968" s="8" t="s">
        <v>41</v>
      </c>
      <c r="H968" s="12">
        <v>1</v>
      </c>
      <c r="I968" s="12">
        <v>1</v>
      </c>
      <c r="J968" s="15">
        <v>18000.0</v>
      </c>
      <c r="K968" s="15"/>
      <c r="L968" s="17">
        <f>IF(J968&gt;0, K968/J968, 0)</f>
        <v>0</v>
      </c>
      <c r="M968" s="15">
        <v>18000.0</v>
      </c>
      <c r="N968" s="15"/>
      <c r="O968" s="15">
        <f>M968-N968</f>
        <v>18000</v>
      </c>
      <c r="P968" s="10" t="s">
        <v>42</v>
      </c>
      <c r="Q968" s="10" t="s">
        <v>43</v>
      </c>
      <c r="R968" s="10" t="s">
        <v>44</v>
      </c>
      <c r="S968" s="8" t="s">
        <v>2128</v>
      </c>
      <c r="T968" s="8" t="s">
        <v>44</v>
      </c>
    </row>
    <row r="969" spans="1:20">
      <c r="A969" s="11">
        <v>962</v>
      </c>
      <c r="B969" s="11" t="s">
        <v>1272</v>
      </c>
      <c r="C969" s="11" t="s">
        <v>1085</v>
      </c>
      <c r="D969" s="11" t="s">
        <v>655</v>
      </c>
      <c r="E969" s="11" t="s">
        <v>34</v>
      </c>
      <c r="F969" s="11" t="s">
        <v>35</v>
      </c>
      <c r="G969" s="9" t="s">
        <v>41</v>
      </c>
      <c r="H969" s="13">
        <v>1</v>
      </c>
      <c r="I969" s="13">
        <v>1</v>
      </c>
      <c r="J969" s="16">
        <v>9000.0</v>
      </c>
      <c r="K969" s="16"/>
      <c r="L969" s="18">
        <f>IF(J969&gt;0, K969/J969, 0)</f>
        <v>0</v>
      </c>
      <c r="M969" s="16">
        <v>9000.0</v>
      </c>
      <c r="N969" s="16"/>
      <c r="O969" s="16">
        <f>M969-N969</f>
        <v>9000</v>
      </c>
      <c r="P969" s="11" t="s">
        <v>42</v>
      </c>
      <c r="Q969" s="11" t="s">
        <v>43</v>
      </c>
      <c r="R969" s="11" t="s">
        <v>44</v>
      </c>
      <c r="S969" s="9" t="s">
        <v>2083</v>
      </c>
      <c r="T969" s="9" t="s">
        <v>44</v>
      </c>
    </row>
    <row r="970" spans="1:20">
      <c r="A970" s="10">
        <v>963</v>
      </c>
      <c r="B970" s="10" t="s">
        <v>1273</v>
      </c>
      <c r="C970" s="10" t="s">
        <v>1085</v>
      </c>
      <c r="D970" s="10" t="s">
        <v>655</v>
      </c>
      <c r="E970" s="10" t="s">
        <v>34</v>
      </c>
      <c r="F970" s="10" t="s">
        <v>35</v>
      </c>
      <c r="G970" s="8" t="s">
        <v>41</v>
      </c>
      <c r="H970" s="12">
        <v>1</v>
      </c>
      <c r="I970" s="12">
        <v>1</v>
      </c>
      <c r="J970" s="15">
        <v>8000.0</v>
      </c>
      <c r="K970" s="15"/>
      <c r="L970" s="17">
        <f>IF(J970&gt;0, K970/J970, 0)</f>
        <v>0</v>
      </c>
      <c r="M970" s="15">
        <v>8000.0</v>
      </c>
      <c r="N970" s="15"/>
      <c r="O970" s="15">
        <f>M970-N970</f>
        <v>8000</v>
      </c>
      <c r="P970" s="10" t="s">
        <v>42</v>
      </c>
      <c r="Q970" s="10" t="s">
        <v>43</v>
      </c>
      <c r="R970" s="10" t="s">
        <v>44</v>
      </c>
      <c r="S970" s="8" t="s">
        <v>2030</v>
      </c>
      <c r="T970" s="8" t="s">
        <v>44</v>
      </c>
    </row>
    <row r="971" spans="1:20">
      <c r="A971" s="11">
        <v>964</v>
      </c>
      <c r="B971" s="11" t="s">
        <v>1274</v>
      </c>
      <c r="C971" s="11" t="s">
        <v>1085</v>
      </c>
      <c r="D971" s="11" t="s">
        <v>655</v>
      </c>
      <c r="E971" s="11" t="s">
        <v>34</v>
      </c>
      <c r="F971" s="11" t="s">
        <v>35</v>
      </c>
      <c r="G971" s="9" t="s">
        <v>41</v>
      </c>
      <c r="H971" s="13">
        <v>1</v>
      </c>
      <c r="I971" s="13">
        <v>1</v>
      </c>
      <c r="J971" s="16">
        <v>7000.0</v>
      </c>
      <c r="K971" s="16"/>
      <c r="L971" s="18">
        <f>IF(J971&gt;0, K971/J971, 0)</f>
        <v>0</v>
      </c>
      <c r="M971" s="16">
        <v>7000.0</v>
      </c>
      <c r="N971" s="16"/>
      <c r="O971" s="16">
        <f>M971-N971</f>
        <v>7000</v>
      </c>
      <c r="P971" s="11" t="s">
        <v>42</v>
      </c>
      <c r="Q971" s="11" t="s">
        <v>43</v>
      </c>
      <c r="R971" s="11" t="s">
        <v>44</v>
      </c>
      <c r="S971" s="9" t="s">
        <v>2038</v>
      </c>
      <c r="T971" s="9" t="s">
        <v>44</v>
      </c>
    </row>
    <row r="972" spans="1:20">
      <c r="A972" s="10">
        <v>965</v>
      </c>
      <c r="B972" s="10" t="s">
        <v>1275</v>
      </c>
      <c r="C972" s="10" t="s">
        <v>1085</v>
      </c>
      <c r="D972" s="10" t="s">
        <v>655</v>
      </c>
      <c r="E972" s="10" t="s">
        <v>34</v>
      </c>
      <c r="F972" s="10" t="s">
        <v>35</v>
      </c>
      <c r="G972" s="8" t="s">
        <v>41</v>
      </c>
      <c r="H972" s="12">
        <v>1</v>
      </c>
      <c r="I972" s="12">
        <v>1</v>
      </c>
      <c r="J972" s="15">
        <v>8000.0</v>
      </c>
      <c r="K972" s="15"/>
      <c r="L972" s="17">
        <f>IF(J972&gt;0, K972/J972, 0)</f>
        <v>0</v>
      </c>
      <c r="M972" s="15">
        <v>8000.0</v>
      </c>
      <c r="N972" s="15"/>
      <c r="O972" s="15">
        <f>M972-N972</f>
        <v>8000</v>
      </c>
      <c r="P972" s="10" t="s">
        <v>42</v>
      </c>
      <c r="Q972" s="10" t="s">
        <v>43</v>
      </c>
      <c r="R972" s="10" t="s">
        <v>44</v>
      </c>
      <c r="S972" s="8" t="s">
        <v>2037</v>
      </c>
      <c r="T972" s="8" t="s">
        <v>44</v>
      </c>
    </row>
    <row r="973" spans="1:20">
      <c r="A973" s="11">
        <v>966</v>
      </c>
      <c r="B973" s="11" t="s">
        <v>1276</v>
      </c>
      <c r="C973" s="11" t="s">
        <v>1085</v>
      </c>
      <c r="D973" s="11" t="s">
        <v>655</v>
      </c>
      <c r="E973" s="11" t="s">
        <v>34</v>
      </c>
      <c r="F973" s="11" t="s">
        <v>35</v>
      </c>
      <c r="G973" s="9" t="s">
        <v>41</v>
      </c>
      <c r="H973" s="13">
        <v>1</v>
      </c>
      <c r="I973" s="13">
        <v>1</v>
      </c>
      <c r="J973" s="16">
        <v>18000.0</v>
      </c>
      <c r="K973" s="16"/>
      <c r="L973" s="18">
        <f>IF(J973&gt;0, K973/J973, 0)</f>
        <v>0</v>
      </c>
      <c r="M973" s="16">
        <v>18000.0</v>
      </c>
      <c r="N973" s="16"/>
      <c r="O973" s="16">
        <f>M973-N973</f>
        <v>18000</v>
      </c>
      <c r="P973" s="11" t="s">
        <v>42</v>
      </c>
      <c r="Q973" s="11" t="s">
        <v>43</v>
      </c>
      <c r="R973" s="11" t="s">
        <v>44</v>
      </c>
      <c r="S973" s="9" t="s">
        <v>2122</v>
      </c>
      <c r="T973" s="9" t="s">
        <v>44</v>
      </c>
    </row>
    <row r="974" spans="1:20">
      <c r="A974" s="10">
        <v>967</v>
      </c>
      <c r="B974" s="10" t="s">
        <v>1277</v>
      </c>
      <c r="C974" s="10" t="s">
        <v>1085</v>
      </c>
      <c r="D974" s="10" t="s">
        <v>655</v>
      </c>
      <c r="E974" s="10" t="s">
        <v>34</v>
      </c>
      <c r="F974" s="10" t="s">
        <v>35</v>
      </c>
      <c r="G974" s="8" t="s">
        <v>41</v>
      </c>
      <c r="H974" s="12">
        <v>1</v>
      </c>
      <c r="I974" s="12">
        <v>1</v>
      </c>
      <c r="J974" s="15">
        <v>16500.0</v>
      </c>
      <c r="K974" s="15"/>
      <c r="L974" s="17">
        <f>IF(J974&gt;0, K974/J974, 0)</f>
        <v>0</v>
      </c>
      <c r="M974" s="15">
        <v>16500.0</v>
      </c>
      <c r="N974" s="15"/>
      <c r="O974" s="15">
        <f>M974-N974</f>
        <v>16500</v>
      </c>
      <c r="P974" s="10" t="s">
        <v>42</v>
      </c>
      <c r="Q974" s="10" t="s">
        <v>43</v>
      </c>
      <c r="R974" s="10" t="s">
        <v>44</v>
      </c>
      <c r="S974" s="8" t="s">
        <v>2070</v>
      </c>
      <c r="T974" s="8" t="s">
        <v>44</v>
      </c>
    </row>
    <row r="975" spans="1:20">
      <c r="A975" s="11">
        <v>968</v>
      </c>
      <c r="B975" s="11" t="s">
        <v>1278</v>
      </c>
      <c r="C975" s="11" t="s">
        <v>1085</v>
      </c>
      <c r="D975" s="11" t="s">
        <v>655</v>
      </c>
      <c r="E975" s="11" t="s">
        <v>34</v>
      </c>
      <c r="F975" s="11" t="s">
        <v>35</v>
      </c>
      <c r="G975" s="9" t="s">
        <v>41</v>
      </c>
      <c r="H975" s="13">
        <v>1</v>
      </c>
      <c r="I975" s="13">
        <v>1</v>
      </c>
      <c r="J975" s="16">
        <v>9500.0</v>
      </c>
      <c r="K975" s="16"/>
      <c r="L975" s="18">
        <f>IF(J975&gt;0, K975/J975, 0)</f>
        <v>0</v>
      </c>
      <c r="M975" s="16">
        <v>9500.0</v>
      </c>
      <c r="N975" s="16"/>
      <c r="O975" s="16">
        <f>M975-N975</f>
        <v>9500</v>
      </c>
      <c r="P975" s="11" t="s">
        <v>42</v>
      </c>
      <c r="Q975" s="11" t="s">
        <v>43</v>
      </c>
      <c r="R975" s="11" t="s">
        <v>44</v>
      </c>
      <c r="S975" s="9" t="s">
        <v>2081</v>
      </c>
      <c r="T975" s="9" t="s">
        <v>44</v>
      </c>
    </row>
    <row r="976" spans="1:20">
      <c r="A976" s="10">
        <v>969</v>
      </c>
      <c r="B976" s="10" t="s">
        <v>1279</v>
      </c>
      <c r="C976" s="10" t="s">
        <v>1085</v>
      </c>
      <c r="D976" s="10" t="s">
        <v>655</v>
      </c>
      <c r="E976" s="10" t="s">
        <v>34</v>
      </c>
      <c r="F976" s="10" t="s">
        <v>35</v>
      </c>
      <c r="G976" s="8" t="s">
        <v>41</v>
      </c>
      <c r="H976" s="12">
        <v>1</v>
      </c>
      <c r="I976" s="12">
        <v>1</v>
      </c>
      <c r="J976" s="15">
        <v>8500.0</v>
      </c>
      <c r="K976" s="15"/>
      <c r="L976" s="17">
        <f>IF(J976&gt;0, K976/J976, 0)</f>
        <v>0</v>
      </c>
      <c r="M976" s="15">
        <v>8500.0</v>
      </c>
      <c r="N976" s="15"/>
      <c r="O976" s="15">
        <f>M976-N976</f>
        <v>8500</v>
      </c>
      <c r="P976" s="10" t="s">
        <v>42</v>
      </c>
      <c r="Q976" s="10" t="s">
        <v>43</v>
      </c>
      <c r="R976" s="10" t="s">
        <v>44</v>
      </c>
      <c r="S976" s="8" t="s">
        <v>2119</v>
      </c>
      <c r="T976" s="8" t="s">
        <v>44</v>
      </c>
    </row>
    <row r="977" spans="1:20">
      <c r="A977" s="11">
        <v>970</v>
      </c>
      <c r="B977" s="11" t="s">
        <v>1280</v>
      </c>
      <c r="C977" s="11" t="s">
        <v>1085</v>
      </c>
      <c r="D977" s="11" t="s">
        <v>655</v>
      </c>
      <c r="E977" s="11" t="s">
        <v>34</v>
      </c>
      <c r="F977" s="11" t="s">
        <v>35</v>
      </c>
      <c r="G977" s="9" t="s">
        <v>41</v>
      </c>
      <c r="H977" s="13">
        <v>1</v>
      </c>
      <c r="I977" s="13">
        <v>1</v>
      </c>
      <c r="J977" s="16">
        <v>9000.0</v>
      </c>
      <c r="K977" s="16"/>
      <c r="L977" s="18">
        <f>IF(J977&gt;0, K977/J977, 0)</f>
        <v>0</v>
      </c>
      <c r="M977" s="16">
        <v>9000.0</v>
      </c>
      <c r="N977" s="16"/>
      <c r="O977" s="16">
        <f>M977-N977</f>
        <v>9000</v>
      </c>
      <c r="P977" s="11" t="s">
        <v>42</v>
      </c>
      <c r="Q977" s="11" t="s">
        <v>43</v>
      </c>
      <c r="R977" s="11" t="s">
        <v>44</v>
      </c>
      <c r="S977" s="9" t="s">
        <v>2148</v>
      </c>
      <c r="T977" s="9" t="s">
        <v>44</v>
      </c>
    </row>
    <row r="978" spans="1:20">
      <c r="A978" s="10">
        <v>971</v>
      </c>
      <c r="B978" s="10" t="s">
        <v>1281</v>
      </c>
      <c r="C978" s="10" t="s">
        <v>1085</v>
      </c>
      <c r="D978" s="10" t="s">
        <v>655</v>
      </c>
      <c r="E978" s="10" t="s">
        <v>34</v>
      </c>
      <c r="F978" s="10" t="s">
        <v>35</v>
      </c>
      <c r="G978" s="8" t="s">
        <v>41</v>
      </c>
      <c r="H978" s="12">
        <v>1</v>
      </c>
      <c r="I978" s="12">
        <v>1</v>
      </c>
      <c r="J978" s="15">
        <v>8000.0</v>
      </c>
      <c r="K978" s="15"/>
      <c r="L978" s="17">
        <f>IF(J978&gt;0, K978/J978, 0)</f>
        <v>0</v>
      </c>
      <c r="M978" s="15">
        <v>8000.0</v>
      </c>
      <c r="N978" s="15"/>
      <c r="O978" s="15">
        <f>M978-N978</f>
        <v>8000</v>
      </c>
      <c r="P978" s="10" t="s">
        <v>42</v>
      </c>
      <c r="Q978" s="10" t="s">
        <v>43</v>
      </c>
      <c r="R978" s="10" t="s">
        <v>44</v>
      </c>
      <c r="S978" s="8" t="s">
        <v>2068</v>
      </c>
      <c r="T978" s="8" t="s">
        <v>44</v>
      </c>
    </row>
    <row r="979" spans="1:20">
      <c r="A979" s="11">
        <v>972</v>
      </c>
      <c r="B979" s="11" t="s">
        <v>1282</v>
      </c>
      <c r="C979" s="11" t="s">
        <v>1085</v>
      </c>
      <c r="D979" s="11" t="s">
        <v>655</v>
      </c>
      <c r="E979" s="11" t="s">
        <v>34</v>
      </c>
      <c r="F979" s="11" t="s">
        <v>35</v>
      </c>
      <c r="G979" s="9" t="s">
        <v>41</v>
      </c>
      <c r="H979" s="13">
        <v>1</v>
      </c>
      <c r="I979" s="13">
        <v>2</v>
      </c>
      <c r="J979" s="16">
        <v>14400.0</v>
      </c>
      <c r="K979" s="16"/>
      <c r="L979" s="18">
        <f>IF(J979&gt;0, K979/J979, 0)</f>
        <v>0</v>
      </c>
      <c r="M979" s="16">
        <v>14400.0</v>
      </c>
      <c r="N979" s="16"/>
      <c r="O979" s="16">
        <f>M979-N979</f>
        <v>14400</v>
      </c>
      <c r="P979" s="11" t="s">
        <v>42</v>
      </c>
      <c r="Q979" s="11" t="s">
        <v>43</v>
      </c>
      <c r="R979" s="11" t="s">
        <v>44</v>
      </c>
      <c r="S979" s="9" t="s">
        <v>2140</v>
      </c>
      <c r="T979" s="9" t="s">
        <v>44</v>
      </c>
    </row>
    <row r="980" spans="1:20">
      <c r="A980" s="10">
        <v>973</v>
      </c>
      <c r="B980" s="10" t="s">
        <v>1283</v>
      </c>
      <c r="C980" s="10" t="s">
        <v>1085</v>
      </c>
      <c r="D980" s="10" t="s">
        <v>655</v>
      </c>
      <c r="E980" s="10" t="s">
        <v>34</v>
      </c>
      <c r="F980" s="10" t="s">
        <v>35</v>
      </c>
      <c r="G980" s="8" t="s">
        <v>41</v>
      </c>
      <c r="H980" s="12">
        <v>1</v>
      </c>
      <c r="I980" s="12">
        <v>2</v>
      </c>
      <c r="J980" s="15">
        <v>12600.0</v>
      </c>
      <c r="K980" s="15"/>
      <c r="L980" s="17">
        <f>IF(J980&gt;0, K980/J980, 0)</f>
        <v>0</v>
      </c>
      <c r="M980" s="15">
        <v>12600.0</v>
      </c>
      <c r="N980" s="15"/>
      <c r="O980" s="15">
        <f>M980-N980</f>
        <v>12600</v>
      </c>
      <c r="P980" s="10" t="s">
        <v>42</v>
      </c>
      <c r="Q980" s="10" t="s">
        <v>43</v>
      </c>
      <c r="R980" s="10" t="s">
        <v>44</v>
      </c>
      <c r="S980" s="8" t="s">
        <v>2093</v>
      </c>
      <c r="T980" s="8" t="s">
        <v>44</v>
      </c>
    </row>
    <row r="981" spans="1:20">
      <c r="A981" s="11">
        <v>974</v>
      </c>
      <c r="B981" s="11" t="s">
        <v>1284</v>
      </c>
      <c r="C981" s="11" t="s">
        <v>1085</v>
      </c>
      <c r="D981" s="11" t="s">
        <v>655</v>
      </c>
      <c r="E981" s="11" t="s">
        <v>34</v>
      </c>
      <c r="F981" s="11" t="s">
        <v>35</v>
      </c>
      <c r="G981" s="9" t="s">
        <v>41</v>
      </c>
      <c r="H981" s="13">
        <v>1</v>
      </c>
      <c r="I981" s="13">
        <v>1</v>
      </c>
      <c r="J981" s="16">
        <v>7500.0</v>
      </c>
      <c r="K981" s="16"/>
      <c r="L981" s="18">
        <f>IF(J981&gt;0, K981/J981, 0)</f>
        <v>0</v>
      </c>
      <c r="M981" s="16">
        <v>7500.0</v>
      </c>
      <c r="N981" s="16"/>
      <c r="O981" s="16">
        <f>M981-N981</f>
        <v>7500</v>
      </c>
      <c r="P981" s="11" t="s">
        <v>42</v>
      </c>
      <c r="Q981" s="11" t="s">
        <v>43</v>
      </c>
      <c r="R981" s="11" t="s">
        <v>44</v>
      </c>
      <c r="S981" s="9" t="s">
        <v>2151</v>
      </c>
      <c r="T981" s="9" t="s">
        <v>44</v>
      </c>
    </row>
    <row r="982" spans="1:20">
      <c r="A982" s="10">
        <v>975</v>
      </c>
      <c r="B982" s="10" t="s">
        <v>1285</v>
      </c>
      <c r="C982" s="10" t="s">
        <v>1085</v>
      </c>
      <c r="D982" s="10" t="s">
        <v>655</v>
      </c>
      <c r="E982" s="10" t="s">
        <v>34</v>
      </c>
      <c r="F982" s="10" t="s">
        <v>35</v>
      </c>
      <c r="G982" s="8" t="s">
        <v>41</v>
      </c>
      <c r="H982" s="12">
        <v>1</v>
      </c>
      <c r="I982" s="12">
        <v>1</v>
      </c>
      <c r="J982" s="15">
        <v>9500.0</v>
      </c>
      <c r="K982" s="15"/>
      <c r="L982" s="17">
        <f>IF(J982&gt;0, K982/J982, 0)</f>
        <v>0</v>
      </c>
      <c r="M982" s="15">
        <v>9500.0</v>
      </c>
      <c r="N982" s="15"/>
      <c r="O982" s="15">
        <f>M982-N982</f>
        <v>9500</v>
      </c>
      <c r="P982" s="10" t="s">
        <v>42</v>
      </c>
      <c r="Q982" s="10" t="s">
        <v>43</v>
      </c>
      <c r="R982" s="10" t="s">
        <v>44</v>
      </c>
      <c r="S982" s="8" t="s">
        <v>2081</v>
      </c>
      <c r="T982" s="8" t="s">
        <v>44</v>
      </c>
    </row>
    <row r="983" spans="1:20">
      <c r="A983" s="11">
        <v>976</v>
      </c>
      <c r="B983" s="11" t="s">
        <v>1286</v>
      </c>
      <c r="C983" s="11" t="s">
        <v>1085</v>
      </c>
      <c r="D983" s="11" t="s">
        <v>655</v>
      </c>
      <c r="E983" s="11" t="s">
        <v>34</v>
      </c>
      <c r="F983" s="11" t="s">
        <v>35</v>
      </c>
      <c r="G983" s="9" t="s">
        <v>41</v>
      </c>
      <c r="H983" s="13">
        <v>1</v>
      </c>
      <c r="I983" s="13">
        <v>1</v>
      </c>
      <c r="J983" s="16">
        <v>9500.0</v>
      </c>
      <c r="K983" s="16"/>
      <c r="L983" s="18">
        <f>IF(J983&gt;0, K983/J983, 0)</f>
        <v>0</v>
      </c>
      <c r="M983" s="16">
        <v>9500.0</v>
      </c>
      <c r="N983" s="16"/>
      <c r="O983" s="16">
        <f>M983-N983</f>
        <v>9500</v>
      </c>
      <c r="P983" s="11" t="s">
        <v>42</v>
      </c>
      <c r="Q983" s="11" t="s">
        <v>43</v>
      </c>
      <c r="R983" s="11" t="s">
        <v>44</v>
      </c>
      <c r="S983" s="9" t="s">
        <v>2052</v>
      </c>
      <c r="T983" s="9" t="s">
        <v>44</v>
      </c>
    </row>
    <row r="984" spans="1:20">
      <c r="A984" s="10">
        <v>977</v>
      </c>
      <c r="B984" s="10" t="s">
        <v>1287</v>
      </c>
      <c r="C984" s="10" t="s">
        <v>1085</v>
      </c>
      <c r="D984" s="10" t="s">
        <v>655</v>
      </c>
      <c r="E984" s="10" t="s">
        <v>34</v>
      </c>
      <c r="F984" s="10" t="s">
        <v>35</v>
      </c>
      <c r="G984" s="8" t="s">
        <v>41</v>
      </c>
      <c r="H984" s="12">
        <v>1</v>
      </c>
      <c r="I984" s="12">
        <v>3</v>
      </c>
      <c r="J984" s="15">
        <v>24000.0</v>
      </c>
      <c r="K984" s="15"/>
      <c r="L984" s="17">
        <f>IF(J984&gt;0, K984/J984, 0)</f>
        <v>0</v>
      </c>
      <c r="M984" s="15">
        <v>24000.0</v>
      </c>
      <c r="N984" s="15"/>
      <c r="O984" s="15">
        <f>M984-N984</f>
        <v>24000</v>
      </c>
      <c r="P984" s="10" t="s">
        <v>42</v>
      </c>
      <c r="Q984" s="10" t="s">
        <v>43</v>
      </c>
      <c r="R984" s="10" t="s">
        <v>44</v>
      </c>
      <c r="S984" s="8" t="s">
        <v>2204</v>
      </c>
      <c r="T984" s="8" t="s">
        <v>44</v>
      </c>
    </row>
    <row r="985" spans="1:20">
      <c r="A985" s="11">
        <v>978</v>
      </c>
      <c r="B985" s="11" t="s">
        <v>1288</v>
      </c>
      <c r="C985" s="11" t="s">
        <v>1085</v>
      </c>
      <c r="D985" s="11" t="s">
        <v>655</v>
      </c>
      <c r="E985" s="11" t="s">
        <v>34</v>
      </c>
      <c r="F985" s="11" t="s">
        <v>35</v>
      </c>
      <c r="G985" s="9" t="s">
        <v>41</v>
      </c>
      <c r="H985" s="13">
        <v>1</v>
      </c>
      <c r="I985" s="13">
        <v>2</v>
      </c>
      <c r="J985" s="16">
        <v>18000.0</v>
      </c>
      <c r="K985" s="16"/>
      <c r="L985" s="18">
        <f>IF(J985&gt;0, K985/J985, 0)</f>
        <v>0</v>
      </c>
      <c r="M985" s="16">
        <v>18000.0</v>
      </c>
      <c r="N985" s="16"/>
      <c r="O985" s="16">
        <f>M985-N985</f>
        <v>18000</v>
      </c>
      <c r="P985" s="11" t="s">
        <v>42</v>
      </c>
      <c r="Q985" s="11" t="s">
        <v>43</v>
      </c>
      <c r="R985" s="11" t="s">
        <v>44</v>
      </c>
      <c r="S985" s="9" t="s">
        <v>2131</v>
      </c>
      <c r="T985" s="9" t="s">
        <v>44</v>
      </c>
    </row>
    <row r="986" spans="1:20">
      <c r="A986" s="10">
        <v>979</v>
      </c>
      <c r="B986" s="10" t="s">
        <v>1289</v>
      </c>
      <c r="C986" s="10" t="s">
        <v>1085</v>
      </c>
      <c r="D986" s="10" t="s">
        <v>655</v>
      </c>
      <c r="E986" s="10" t="s">
        <v>34</v>
      </c>
      <c r="F986" s="10" t="s">
        <v>35</v>
      </c>
      <c r="G986" s="8" t="s">
        <v>41</v>
      </c>
      <c r="H986" s="12">
        <v>1</v>
      </c>
      <c r="I986" s="12">
        <v>1</v>
      </c>
      <c r="J986" s="15">
        <v>8000.0</v>
      </c>
      <c r="K986" s="15"/>
      <c r="L986" s="17">
        <f>IF(J986&gt;0, K986/J986, 0)</f>
        <v>0</v>
      </c>
      <c r="M986" s="15">
        <v>8000.0</v>
      </c>
      <c r="N986" s="15"/>
      <c r="O986" s="15">
        <f>M986-N986</f>
        <v>8000</v>
      </c>
      <c r="P986" s="10" t="s">
        <v>42</v>
      </c>
      <c r="Q986" s="10" t="s">
        <v>43</v>
      </c>
      <c r="R986" s="10" t="s">
        <v>44</v>
      </c>
      <c r="S986" s="8" t="s">
        <v>2108</v>
      </c>
      <c r="T986" s="8" t="s">
        <v>44</v>
      </c>
    </row>
    <row r="987" spans="1:20">
      <c r="A987" s="11">
        <v>980</v>
      </c>
      <c r="B987" s="11" t="s">
        <v>1290</v>
      </c>
      <c r="C987" s="11" t="s">
        <v>1085</v>
      </c>
      <c r="D987" s="11" t="s">
        <v>655</v>
      </c>
      <c r="E987" s="11" t="s">
        <v>70</v>
      </c>
      <c r="F987" s="11" t="s">
        <v>35</v>
      </c>
      <c r="G987" s="9" t="s">
        <v>41</v>
      </c>
      <c r="H987" s="13">
        <v>1</v>
      </c>
      <c r="I987" s="13">
        <v>1</v>
      </c>
      <c r="J987" s="16">
        <v>11000.0</v>
      </c>
      <c r="K987" s="16"/>
      <c r="L987" s="18">
        <f>IF(J987&gt;0, K987/J987, 0)</f>
        <v>0</v>
      </c>
      <c r="M987" s="16">
        <v>11000.0</v>
      </c>
      <c r="N987" s="16"/>
      <c r="O987" s="16">
        <f>M987-N987</f>
        <v>11000</v>
      </c>
      <c r="P987" s="11" t="s">
        <v>42</v>
      </c>
      <c r="Q987" s="11" t="s">
        <v>73</v>
      </c>
      <c r="R987" s="11" t="s">
        <v>44</v>
      </c>
      <c r="S987" s="9" t="s">
        <v>2086</v>
      </c>
      <c r="T987" s="9" t="s">
        <v>44</v>
      </c>
    </row>
    <row r="988" spans="1:20">
      <c r="A988" s="10">
        <v>981</v>
      </c>
      <c r="B988" s="10" t="s">
        <v>1291</v>
      </c>
      <c r="C988" s="10" t="s">
        <v>1292</v>
      </c>
      <c r="D988" s="10" t="s">
        <v>655</v>
      </c>
      <c r="E988" s="10" t="s">
        <v>70</v>
      </c>
      <c r="F988" s="10" t="s">
        <v>35</v>
      </c>
      <c r="G988" s="8" t="s">
        <v>41</v>
      </c>
      <c r="H988" s="12">
        <v>1</v>
      </c>
      <c r="I988" s="12">
        <v>3</v>
      </c>
      <c r="J988" s="15">
        <v>30000.0</v>
      </c>
      <c r="K988" s="15"/>
      <c r="L988" s="17">
        <f>IF(J988&gt;0, K988/J988, 0)</f>
        <v>0</v>
      </c>
      <c r="M988" s="15">
        <v>30000.0</v>
      </c>
      <c r="N988" s="15"/>
      <c r="O988" s="15">
        <f>M988-N988</f>
        <v>30000</v>
      </c>
      <c r="P988" s="10" t="s">
        <v>42</v>
      </c>
      <c r="Q988" s="10" t="s">
        <v>73</v>
      </c>
      <c r="R988" s="10" t="s">
        <v>44</v>
      </c>
      <c r="S988" s="8" t="s">
        <v>2205</v>
      </c>
      <c r="T988" s="8" t="s">
        <v>44</v>
      </c>
    </row>
    <row r="989" spans="1:20">
      <c r="A989" s="11">
        <v>982</v>
      </c>
      <c r="B989" s="11" t="s">
        <v>1293</v>
      </c>
      <c r="C989" s="11" t="s">
        <v>1292</v>
      </c>
      <c r="D989" s="11" t="s">
        <v>655</v>
      </c>
      <c r="E989" s="11" t="s">
        <v>34</v>
      </c>
      <c r="F989" s="11" t="s">
        <v>35</v>
      </c>
      <c r="G989" s="9" t="s">
        <v>41</v>
      </c>
      <c r="H989" s="13">
        <v>1</v>
      </c>
      <c r="I989" s="13">
        <v>1</v>
      </c>
      <c r="J989" s="16">
        <v>16500.0</v>
      </c>
      <c r="K989" s="16"/>
      <c r="L989" s="18">
        <f>IF(J989&gt;0, K989/J989, 0)</f>
        <v>0</v>
      </c>
      <c r="M989" s="16">
        <v>16500.0</v>
      </c>
      <c r="N989" s="16"/>
      <c r="O989" s="16">
        <f>M989-N989</f>
        <v>16500</v>
      </c>
      <c r="P989" s="11" t="s">
        <v>42</v>
      </c>
      <c r="Q989" s="11" t="s">
        <v>43</v>
      </c>
      <c r="R989" s="11" t="s">
        <v>44</v>
      </c>
      <c r="S989" s="9" t="s">
        <v>2070</v>
      </c>
      <c r="T989" s="9" t="s">
        <v>44</v>
      </c>
    </row>
    <row r="990" spans="1:20">
      <c r="A990" s="10">
        <v>983</v>
      </c>
      <c r="B990" s="10" t="s">
        <v>1294</v>
      </c>
      <c r="C990" s="10" t="s">
        <v>1292</v>
      </c>
      <c r="D990" s="10" t="s">
        <v>655</v>
      </c>
      <c r="E990" s="10" t="s">
        <v>34</v>
      </c>
      <c r="F990" s="10" t="s">
        <v>35</v>
      </c>
      <c r="G990" s="8" t="s">
        <v>41</v>
      </c>
      <c r="H990" s="12">
        <v>1</v>
      </c>
      <c r="I990" s="12">
        <v>1</v>
      </c>
      <c r="J990" s="15">
        <v>7500.0</v>
      </c>
      <c r="K990" s="15"/>
      <c r="L990" s="17">
        <f>IF(J990&gt;0, K990/J990, 0)</f>
        <v>0</v>
      </c>
      <c r="M990" s="15">
        <v>7500.0</v>
      </c>
      <c r="N990" s="15"/>
      <c r="O990" s="15">
        <f>M990-N990</f>
        <v>7500</v>
      </c>
      <c r="P990" s="10" t="s">
        <v>42</v>
      </c>
      <c r="Q990" s="10" t="s">
        <v>43</v>
      </c>
      <c r="R990" s="10" t="s">
        <v>44</v>
      </c>
      <c r="S990" s="8" t="s">
        <v>2074</v>
      </c>
      <c r="T990" s="8" t="s">
        <v>44</v>
      </c>
    </row>
    <row r="991" spans="1:20">
      <c r="A991" s="11">
        <v>984</v>
      </c>
      <c r="B991" s="11" t="s">
        <v>1295</v>
      </c>
      <c r="C991" s="11" t="s">
        <v>1292</v>
      </c>
      <c r="D991" s="11" t="s">
        <v>655</v>
      </c>
      <c r="E991" s="11" t="s">
        <v>34</v>
      </c>
      <c r="F991" s="11" t="s">
        <v>35</v>
      </c>
      <c r="G991" s="9" t="s">
        <v>41</v>
      </c>
      <c r="H991" s="13">
        <v>1</v>
      </c>
      <c r="I991" s="13">
        <v>1</v>
      </c>
      <c r="J991" s="16">
        <v>8500.0</v>
      </c>
      <c r="K991" s="16"/>
      <c r="L991" s="18">
        <f>IF(J991&gt;0, K991/J991, 0)</f>
        <v>0</v>
      </c>
      <c r="M991" s="16">
        <v>8500.0</v>
      </c>
      <c r="N991" s="16"/>
      <c r="O991" s="16">
        <f>M991-N991</f>
        <v>8500</v>
      </c>
      <c r="P991" s="11" t="s">
        <v>42</v>
      </c>
      <c r="Q991" s="11" t="s">
        <v>43</v>
      </c>
      <c r="R991" s="11" t="s">
        <v>44</v>
      </c>
      <c r="S991" s="9" t="s">
        <v>2119</v>
      </c>
      <c r="T991" s="9" t="s">
        <v>44</v>
      </c>
    </row>
    <row r="992" spans="1:20">
      <c r="A992" s="10">
        <v>985</v>
      </c>
      <c r="B992" s="10" t="s">
        <v>1296</v>
      </c>
      <c r="C992" s="10" t="s">
        <v>1292</v>
      </c>
      <c r="D992" s="10" t="s">
        <v>655</v>
      </c>
      <c r="E992" s="10" t="s">
        <v>34</v>
      </c>
      <c r="F992" s="10" t="s">
        <v>35</v>
      </c>
      <c r="G992" s="8" t="s">
        <v>41</v>
      </c>
      <c r="H992" s="12">
        <v>1</v>
      </c>
      <c r="I992" s="12">
        <v>1</v>
      </c>
      <c r="J992" s="15">
        <v>9500.0</v>
      </c>
      <c r="K992" s="15"/>
      <c r="L992" s="17">
        <f>IF(J992&gt;0, K992/J992, 0)</f>
        <v>0</v>
      </c>
      <c r="M992" s="15">
        <v>9500.0</v>
      </c>
      <c r="N992" s="15"/>
      <c r="O992" s="15">
        <f>M992-N992</f>
        <v>9500</v>
      </c>
      <c r="P992" s="10" t="s">
        <v>42</v>
      </c>
      <c r="Q992" s="10" t="s">
        <v>43</v>
      </c>
      <c r="R992" s="10" t="s">
        <v>44</v>
      </c>
      <c r="S992" s="8" t="s">
        <v>2052</v>
      </c>
      <c r="T992" s="8" t="s">
        <v>44</v>
      </c>
    </row>
    <row r="993" spans="1:20">
      <c r="A993" s="11">
        <v>986</v>
      </c>
      <c r="B993" s="11" t="s">
        <v>1297</v>
      </c>
      <c r="C993" s="11" t="s">
        <v>1292</v>
      </c>
      <c r="D993" s="11" t="s">
        <v>655</v>
      </c>
      <c r="E993" s="11" t="s">
        <v>34</v>
      </c>
      <c r="F993" s="11" t="s">
        <v>35</v>
      </c>
      <c r="G993" s="9" t="s">
        <v>41</v>
      </c>
      <c r="H993" s="13">
        <v>1</v>
      </c>
      <c r="I993" s="13">
        <v>1</v>
      </c>
      <c r="J993" s="16">
        <v>9000.0</v>
      </c>
      <c r="K993" s="16"/>
      <c r="L993" s="18">
        <f>IF(J993&gt;0, K993/J993, 0)</f>
        <v>0</v>
      </c>
      <c r="M993" s="16">
        <v>9000.0</v>
      </c>
      <c r="N993" s="16"/>
      <c r="O993" s="16">
        <f>M993-N993</f>
        <v>9000</v>
      </c>
      <c r="P993" s="11" t="s">
        <v>42</v>
      </c>
      <c r="Q993" s="11" t="s">
        <v>43</v>
      </c>
      <c r="R993" s="11" t="s">
        <v>44</v>
      </c>
      <c r="S993" s="9" t="s">
        <v>2120</v>
      </c>
      <c r="T993" s="9" t="s">
        <v>44</v>
      </c>
    </row>
    <row r="994" spans="1:20">
      <c r="A994" s="10">
        <v>987</v>
      </c>
      <c r="B994" s="10" t="s">
        <v>1298</v>
      </c>
      <c r="C994" s="10" t="s">
        <v>1292</v>
      </c>
      <c r="D994" s="10" t="s">
        <v>655</v>
      </c>
      <c r="E994" s="10" t="s">
        <v>34</v>
      </c>
      <c r="F994" s="10" t="s">
        <v>35</v>
      </c>
      <c r="G994" s="8" t="s">
        <v>41</v>
      </c>
      <c r="H994" s="12">
        <v>1</v>
      </c>
      <c r="I994" s="12">
        <v>2</v>
      </c>
      <c r="J994" s="15">
        <v>16000.0</v>
      </c>
      <c r="K994" s="15"/>
      <c r="L994" s="17">
        <f>IF(J994&gt;0, K994/J994, 0)</f>
        <v>0</v>
      </c>
      <c r="M994" s="15">
        <v>16000.0</v>
      </c>
      <c r="N994" s="15"/>
      <c r="O994" s="15">
        <f>M994-N994</f>
        <v>16000</v>
      </c>
      <c r="P994" s="10" t="s">
        <v>42</v>
      </c>
      <c r="Q994" s="10" t="s">
        <v>43</v>
      </c>
      <c r="R994" s="10" t="s">
        <v>44</v>
      </c>
      <c r="S994" s="8" t="s">
        <v>2132</v>
      </c>
      <c r="T994" s="8" t="s">
        <v>44</v>
      </c>
    </row>
    <row r="995" spans="1:20">
      <c r="A995" s="11">
        <v>988</v>
      </c>
      <c r="B995" s="11" t="s">
        <v>1299</v>
      </c>
      <c r="C995" s="11" t="s">
        <v>1292</v>
      </c>
      <c r="D995" s="11" t="s">
        <v>655</v>
      </c>
      <c r="E995" s="11" t="s">
        <v>70</v>
      </c>
      <c r="F995" s="11" t="s">
        <v>35</v>
      </c>
      <c r="G995" s="9" t="s">
        <v>41</v>
      </c>
      <c r="H995" s="13">
        <v>1</v>
      </c>
      <c r="I995" s="13">
        <v>1</v>
      </c>
      <c r="J995" s="16">
        <v>10000.0</v>
      </c>
      <c r="K995" s="16"/>
      <c r="L995" s="18">
        <f>IF(J995&gt;0, K995/J995, 0)</f>
        <v>0</v>
      </c>
      <c r="M995" s="16">
        <v>10000.0</v>
      </c>
      <c r="N995" s="16"/>
      <c r="O995" s="16">
        <f>M995-N995</f>
        <v>10000</v>
      </c>
      <c r="P995" s="11" t="s">
        <v>42</v>
      </c>
      <c r="Q995" s="11" t="s">
        <v>73</v>
      </c>
      <c r="R995" s="11" t="s">
        <v>44</v>
      </c>
      <c r="S995" s="9" t="s">
        <v>2087</v>
      </c>
      <c r="T995" s="9" t="s">
        <v>44</v>
      </c>
    </row>
    <row r="996" spans="1:20">
      <c r="A996" s="10">
        <v>989</v>
      </c>
      <c r="B996" s="10" t="s">
        <v>1300</v>
      </c>
      <c r="C996" s="10" t="s">
        <v>1292</v>
      </c>
      <c r="D996" s="10" t="s">
        <v>655</v>
      </c>
      <c r="E996" s="10" t="s">
        <v>34</v>
      </c>
      <c r="F996" s="10" t="s">
        <v>35</v>
      </c>
      <c r="G996" s="8" t="s">
        <v>41</v>
      </c>
      <c r="H996" s="12">
        <v>1</v>
      </c>
      <c r="I996" s="12">
        <v>1</v>
      </c>
      <c r="J996" s="15">
        <v>7000.0</v>
      </c>
      <c r="K996" s="15"/>
      <c r="L996" s="17">
        <f>IF(J996&gt;0, K996/J996, 0)</f>
        <v>0</v>
      </c>
      <c r="M996" s="15">
        <v>7000.0</v>
      </c>
      <c r="N996" s="15"/>
      <c r="O996" s="15">
        <f>M996-N996</f>
        <v>7000</v>
      </c>
      <c r="P996" s="10" t="s">
        <v>42</v>
      </c>
      <c r="Q996" s="10" t="s">
        <v>43</v>
      </c>
      <c r="R996" s="10" t="s">
        <v>44</v>
      </c>
      <c r="S996" s="8" t="s">
        <v>2152</v>
      </c>
      <c r="T996" s="8" t="s">
        <v>44</v>
      </c>
    </row>
    <row r="997" spans="1:20">
      <c r="A997" s="11">
        <v>990</v>
      </c>
      <c r="B997" s="11" t="s">
        <v>1302</v>
      </c>
      <c r="C997" s="11" t="s">
        <v>1292</v>
      </c>
      <c r="D997" s="11" t="s">
        <v>655</v>
      </c>
      <c r="E997" s="11" t="s">
        <v>34</v>
      </c>
      <c r="F997" s="11" t="s">
        <v>35</v>
      </c>
      <c r="G997" s="9" t="s">
        <v>41</v>
      </c>
      <c r="H997" s="13">
        <v>1</v>
      </c>
      <c r="I997" s="13">
        <v>1</v>
      </c>
      <c r="J997" s="16">
        <v>18000.0</v>
      </c>
      <c r="K997" s="16"/>
      <c r="L997" s="18">
        <f>IF(J997&gt;0, K997/J997, 0)</f>
        <v>0</v>
      </c>
      <c r="M997" s="16">
        <v>18000.0</v>
      </c>
      <c r="N997" s="16"/>
      <c r="O997" s="16">
        <f>M997-N997</f>
        <v>18000</v>
      </c>
      <c r="P997" s="11" t="s">
        <v>42</v>
      </c>
      <c r="Q997" s="11" t="s">
        <v>43</v>
      </c>
      <c r="R997" s="11" t="s">
        <v>44</v>
      </c>
      <c r="S997" s="9" t="s">
        <v>2049</v>
      </c>
      <c r="T997" s="9" t="s">
        <v>44</v>
      </c>
    </row>
    <row r="998" spans="1:20">
      <c r="A998" s="10">
        <v>991</v>
      </c>
      <c r="B998" s="10" t="s">
        <v>1303</v>
      </c>
      <c r="C998" s="10" t="s">
        <v>1292</v>
      </c>
      <c r="D998" s="10" t="s">
        <v>655</v>
      </c>
      <c r="E998" s="10" t="s">
        <v>34</v>
      </c>
      <c r="F998" s="10" t="s">
        <v>35</v>
      </c>
      <c r="G998" s="8" t="s">
        <v>41</v>
      </c>
      <c r="H998" s="12">
        <v>1</v>
      </c>
      <c r="I998" s="12">
        <v>1</v>
      </c>
      <c r="J998" s="15">
        <v>16500.0</v>
      </c>
      <c r="K998" s="15"/>
      <c r="L998" s="17">
        <f>IF(J998&gt;0, K998/J998, 0)</f>
        <v>0</v>
      </c>
      <c r="M998" s="15">
        <v>16500.0</v>
      </c>
      <c r="N998" s="15"/>
      <c r="O998" s="15">
        <f>M998-N998</f>
        <v>16500</v>
      </c>
      <c r="P998" s="10" t="s">
        <v>42</v>
      </c>
      <c r="Q998" s="10" t="s">
        <v>43</v>
      </c>
      <c r="R998" s="10" t="s">
        <v>44</v>
      </c>
      <c r="S998" s="8" t="s">
        <v>2090</v>
      </c>
      <c r="T998" s="8" t="s">
        <v>44</v>
      </c>
    </row>
    <row r="999" spans="1:20">
      <c r="A999" s="11">
        <v>992</v>
      </c>
      <c r="B999" s="11" t="s">
        <v>1304</v>
      </c>
      <c r="C999" s="11" t="s">
        <v>1292</v>
      </c>
      <c r="D999" s="11" t="s">
        <v>655</v>
      </c>
      <c r="E999" s="11" t="s">
        <v>70</v>
      </c>
      <c r="F999" s="11" t="s">
        <v>35</v>
      </c>
      <c r="G999" s="9" t="s">
        <v>41</v>
      </c>
      <c r="H999" s="13">
        <v>1</v>
      </c>
      <c r="I999" s="13">
        <v>1</v>
      </c>
      <c r="J999" s="16">
        <v>10000.0</v>
      </c>
      <c r="K999" s="16"/>
      <c r="L999" s="18">
        <f>IF(J999&gt;0, K999/J999, 0)</f>
        <v>0</v>
      </c>
      <c r="M999" s="16">
        <v>10000.0</v>
      </c>
      <c r="N999" s="16"/>
      <c r="O999" s="16">
        <f>M999-N999</f>
        <v>10000</v>
      </c>
      <c r="P999" s="11" t="s">
        <v>42</v>
      </c>
      <c r="Q999" s="11" t="s">
        <v>73</v>
      </c>
      <c r="R999" s="11" t="s">
        <v>44</v>
      </c>
      <c r="S999" s="9" t="s">
        <v>2059</v>
      </c>
      <c r="T999" s="9" t="s">
        <v>44</v>
      </c>
    </row>
    <row r="1000" spans="1:20">
      <c r="A1000" s="10">
        <v>993</v>
      </c>
      <c r="B1000" s="10" t="s">
        <v>1305</v>
      </c>
      <c r="C1000" s="10" t="s">
        <v>1292</v>
      </c>
      <c r="D1000" s="10" t="s">
        <v>655</v>
      </c>
      <c r="E1000" s="10" t="s">
        <v>70</v>
      </c>
      <c r="F1000" s="10" t="s">
        <v>35</v>
      </c>
      <c r="G1000" s="8" t="s">
        <v>41</v>
      </c>
      <c r="H1000" s="12">
        <v>1</v>
      </c>
      <c r="I1000" s="12">
        <v>1</v>
      </c>
      <c r="J1000" s="15">
        <v>8000.0</v>
      </c>
      <c r="K1000" s="15"/>
      <c r="L1000" s="17">
        <f>IF(J1000&gt;0, K1000/J1000, 0)</f>
        <v>0</v>
      </c>
      <c r="M1000" s="15">
        <v>8000.0</v>
      </c>
      <c r="N1000" s="15"/>
      <c r="O1000" s="15">
        <f>M1000-N1000</f>
        <v>8000</v>
      </c>
      <c r="P1000" s="10" t="s">
        <v>42</v>
      </c>
      <c r="Q1000" s="10" t="s">
        <v>73</v>
      </c>
      <c r="R1000" s="10" t="s">
        <v>44</v>
      </c>
      <c r="S1000" s="8" t="s">
        <v>2164</v>
      </c>
      <c r="T1000" s="8" t="s">
        <v>44</v>
      </c>
    </row>
    <row r="1001" spans="1:20">
      <c r="A1001" s="11">
        <v>994</v>
      </c>
      <c r="B1001" s="11" t="s">
        <v>1306</v>
      </c>
      <c r="C1001" s="11" t="s">
        <v>1292</v>
      </c>
      <c r="D1001" s="11" t="s">
        <v>655</v>
      </c>
      <c r="E1001" s="11" t="s">
        <v>34</v>
      </c>
      <c r="F1001" s="11" t="s">
        <v>35</v>
      </c>
      <c r="G1001" s="9" t="s">
        <v>41</v>
      </c>
      <c r="H1001" s="13">
        <v>1</v>
      </c>
      <c r="I1001" s="13">
        <v>1</v>
      </c>
      <c r="J1001" s="16">
        <v>16000.0</v>
      </c>
      <c r="K1001" s="16"/>
      <c r="L1001" s="18">
        <f>IF(J1001&gt;0, K1001/J1001, 0)</f>
        <v>0</v>
      </c>
      <c r="M1001" s="16">
        <v>16000.0</v>
      </c>
      <c r="N1001" s="16"/>
      <c r="O1001" s="16">
        <f>M1001-N1001</f>
        <v>16000</v>
      </c>
      <c r="P1001" s="11" t="s">
        <v>42</v>
      </c>
      <c r="Q1001" s="11" t="s">
        <v>43</v>
      </c>
      <c r="R1001" s="11" t="s">
        <v>44</v>
      </c>
      <c r="S1001" s="9" t="s">
        <v>2072</v>
      </c>
      <c r="T1001" s="9" t="s">
        <v>44</v>
      </c>
    </row>
    <row r="1002" spans="1:20">
      <c r="A1002" s="10">
        <v>995</v>
      </c>
      <c r="B1002" s="10" t="s">
        <v>1307</v>
      </c>
      <c r="C1002" s="10" t="s">
        <v>1292</v>
      </c>
      <c r="D1002" s="10" t="s">
        <v>655</v>
      </c>
      <c r="E1002" s="10" t="s">
        <v>34</v>
      </c>
      <c r="F1002" s="10" t="s">
        <v>35</v>
      </c>
      <c r="G1002" s="8" t="s">
        <v>41</v>
      </c>
      <c r="H1002" s="12">
        <v>1</v>
      </c>
      <c r="I1002" s="12">
        <v>1</v>
      </c>
      <c r="J1002" s="15">
        <v>8000.0</v>
      </c>
      <c r="K1002" s="15"/>
      <c r="L1002" s="17">
        <f>IF(J1002&gt;0, K1002/J1002, 0)</f>
        <v>0</v>
      </c>
      <c r="M1002" s="15">
        <v>8000.0</v>
      </c>
      <c r="N1002" s="15"/>
      <c r="O1002" s="15">
        <f>M1002-N1002</f>
        <v>8000</v>
      </c>
      <c r="P1002" s="10" t="s">
        <v>42</v>
      </c>
      <c r="Q1002" s="10" t="s">
        <v>43</v>
      </c>
      <c r="R1002" s="10" t="s">
        <v>44</v>
      </c>
      <c r="S1002" s="8" t="s">
        <v>2087</v>
      </c>
      <c r="T1002" s="8" t="s">
        <v>44</v>
      </c>
    </row>
    <row r="1003" spans="1:20">
      <c r="A1003" s="11">
        <v>996</v>
      </c>
      <c r="B1003" s="11" t="s">
        <v>1308</v>
      </c>
      <c r="C1003" s="11" t="s">
        <v>1292</v>
      </c>
      <c r="D1003" s="11" t="s">
        <v>655</v>
      </c>
      <c r="E1003" s="11" t="s">
        <v>34</v>
      </c>
      <c r="F1003" s="11" t="s">
        <v>35</v>
      </c>
      <c r="G1003" s="9" t="s">
        <v>41</v>
      </c>
      <c r="H1003" s="13">
        <v>1</v>
      </c>
      <c r="I1003" s="13">
        <v>1</v>
      </c>
      <c r="J1003" s="16">
        <v>7000.0</v>
      </c>
      <c r="K1003" s="16"/>
      <c r="L1003" s="18">
        <f>IF(J1003&gt;0, K1003/J1003, 0)</f>
        <v>0</v>
      </c>
      <c r="M1003" s="16">
        <v>7000.0</v>
      </c>
      <c r="N1003" s="16"/>
      <c r="O1003" s="16">
        <f>M1003-N1003</f>
        <v>7000</v>
      </c>
      <c r="P1003" s="11" t="s">
        <v>42</v>
      </c>
      <c r="Q1003" s="11" t="s">
        <v>43</v>
      </c>
      <c r="R1003" s="11" t="s">
        <v>44</v>
      </c>
      <c r="S1003" s="9" t="s">
        <v>2053</v>
      </c>
      <c r="T1003" s="9" t="s">
        <v>44</v>
      </c>
    </row>
    <row r="1004" spans="1:20">
      <c r="A1004" s="10">
        <v>997</v>
      </c>
      <c r="B1004" s="10" t="s">
        <v>1309</v>
      </c>
      <c r="C1004" s="10" t="s">
        <v>1292</v>
      </c>
      <c r="D1004" s="10" t="s">
        <v>655</v>
      </c>
      <c r="E1004" s="10" t="s">
        <v>70</v>
      </c>
      <c r="F1004" s="10" t="s">
        <v>35</v>
      </c>
      <c r="G1004" s="8" t="s">
        <v>41</v>
      </c>
      <c r="H1004" s="12">
        <v>1</v>
      </c>
      <c r="I1004" s="12">
        <v>1</v>
      </c>
      <c r="J1004" s="15">
        <v>18000.0</v>
      </c>
      <c r="K1004" s="15"/>
      <c r="L1004" s="17">
        <f>IF(J1004&gt;0, K1004/J1004, 0)</f>
        <v>0</v>
      </c>
      <c r="M1004" s="15">
        <v>18000.0</v>
      </c>
      <c r="N1004" s="15"/>
      <c r="O1004" s="15">
        <f>M1004-N1004</f>
        <v>18000</v>
      </c>
      <c r="P1004" s="10" t="s">
        <v>42</v>
      </c>
      <c r="Q1004" s="10" t="s">
        <v>73</v>
      </c>
      <c r="R1004" s="10" t="s">
        <v>44</v>
      </c>
      <c r="S1004" s="8" t="s">
        <v>2039</v>
      </c>
      <c r="T1004" s="8" t="s">
        <v>44</v>
      </c>
    </row>
    <row r="1005" spans="1:20">
      <c r="A1005" s="11">
        <v>998</v>
      </c>
      <c r="B1005" s="11" t="s">
        <v>1310</v>
      </c>
      <c r="C1005" s="11" t="s">
        <v>1292</v>
      </c>
      <c r="D1005" s="11" t="s">
        <v>655</v>
      </c>
      <c r="E1005" s="11" t="s">
        <v>34</v>
      </c>
      <c r="F1005" s="11" t="s">
        <v>35</v>
      </c>
      <c r="G1005" s="9" t="s">
        <v>41</v>
      </c>
      <c r="H1005" s="13">
        <v>1</v>
      </c>
      <c r="I1005" s="13">
        <v>1</v>
      </c>
      <c r="J1005" s="16">
        <v>7500.0</v>
      </c>
      <c r="K1005" s="16"/>
      <c r="L1005" s="18">
        <f>IF(J1005&gt;0, K1005/J1005, 0)</f>
        <v>0</v>
      </c>
      <c r="M1005" s="16">
        <v>7500.0</v>
      </c>
      <c r="N1005" s="16"/>
      <c r="O1005" s="16">
        <f>M1005-N1005</f>
        <v>7500</v>
      </c>
      <c r="P1005" s="11" t="s">
        <v>42</v>
      </c>
      <c r="Q1005" s="11" t="s">
        <v>43</v>
      </c>
      <c r="R1005" s="11" t="s">
        <v>44</v>
      </c>
      <c r="S1005" s="9" t="s">
        <v>2046</v>
      </c>
      <c r="T1005" s="9" t="s">
        <v>44</v>
      </c>
    </row>
    <row r="1006" spans="1:20">
      <c r="A1006" s="10">
        <v>999</v>
      </c>
      <c r="B1006" s="10" t="s">
        <v>1311</v>
      </c>
      <c r="C1006" s="10" t="s">
        <v>1292</v>
      </c>
      <c r="D1006" s="10" t="s">
        <v>655</v>
      </c>
      <c r="E1006" s="10" t="s">
        <v>34</v>
      </c>
      <c r="F1006" s="10" t="s">
        <v>35</v>
      </c>
      <c r="G1006" s="8" t="s">
        <v>41</v>
      </c>
      <c r="H1006" s="12">
        <v>1</v>
      </c>
      <c r="I1006" s="12">
        <v>1</v>
      </c>
      <c r="J1006" s="15">
        <v>8000.0</v>
      </c>
      <c r="K1006" s="15"/>
      <c r="L1006" s="17">
        <f>IF(J1006&gt;0, K1006/J1006, 0)</f>
        <v>0</v>
      </c>
      <c r="M1006" s="15">
        <v>8000.0</v>
      </c>
      <c r="N1006" s="15"/>
      <c r="O1006" s="15">
        <f>M1006-N1006</f>
        <v>8000</v>
      </c>
      <c r="P1006" s="10" t="s">
        <v>42</v>
      </c>
      <c r="Q1006" s="10" t="s">
        <v>43</v>
      </c>
      <c r="R1006" s="10" t="s">
        <v>44</v>
      </c>
      <c r="S1006" s="8" t="s">
        <v>2028</v>
      </c>
      <c r="T1006" s="8" t="s">
        <v>44</v>
      </c>
    </row>
    <row r="1007" spans="1:20">
      <c r="A1007" s="11">
        <v>1000</v>
      </c>
      <c r="B1007" s="11" t="s">
        <v>1312</v>
      </c>
      <c r="C1007" s="11" t="s">
        <v>1292</v>
      </c>
      <c r="D1007" s="11" t="s">
        <v>655</v>
      </c>
      <c r="E1007" s="11" t="s">
        <v>34</v>
      </c>
      <c r="F1007" s="11" t="s">
        <v>35</v>
      </c>
      <c r="G1007" s="9" t="s">
        <v>41</v>
      </c>
      <c r="H1007" s="13">
        <v>1</v>
      </c>
      <c r="I1007" s="13">
        <v>1</v>
      </c>
      <c r="J1007" s="16">
        <v>8500.0</v>
      </c>
      <c r="K1007" s="16"/>
      <c r="L1007" s="18">
        <f>IF(J1007&gt;0, K1007/J1007, 0)</f>
        <v>0</v>
      </c>
      <c r="M1007" s="16">
        <v>8500.0</v>
      </c>
      <c r="N1007" s="16"/>
      <c r="O1007" s="16">
        <f>M1007-N1007</f>
        <v>8500</v>
      </c>
      <c r="P1007" s="11" t="s">
        <v>42</v>
      </c>
      <c r="Q1007" s="11" t="s">
        <v>43</v>
      </c>
      <c r="R1007" s="11" t="s">
        <v>44</v>
      </c>
      <c r="S1007" s="9" t="s">
        <v>2045</v>
      </c>
      <c r="T1007" s="9" t="s">
        <v>44</v>
      </c>
    </row>
    <row r="1008" spans="1:20">
      <c r="A1008" s="10">
        <v>1001</v>
      </c>
      <c r="B1008" s="10" t="s">
        <v>1313</v>
      </c>
      <c r="C1008" s="10" t="s">
        <v>1292</v>
      </c>
      <c r="D1008" s="10" t="s">
        <v>655</v>
      </c>
      <c r="E1008" s="10" t="s">
        <v>34</v>
      </c>
      <c r="F1008" s="10" t="s">
        <v>35</v>
      </c>
      <c r="G1008" s="8" t="s">
        <v>41</v>
      </c>
      <c r="H1008" s="12">
        <v>1</v>
      </c>
      <c r="I1008" s="12">
        <v>1</v>
      </c>
      <c r="J1008" s="15">
        <v>8500.0</v>
      </c>
      <c r="K1008" s="15"/>
      <c r="L1008" s="17">
        <f>IF(J1008&gt;0, K1008/J1008, 0)</f>
        <v>0</v>
      </c>
      <c r="M1008" s="15">
        <v>8500.0</v>
      </c>
      <c r="N1008" s="15"/>
      <c r="O1008" s="15">
        <f>M1008-N1008</f>
        <v>8500</v>
      </c>
      <c r="P1008" s="10" t="s">
        <v>42</v>
      </c>
      <c r="Q1008" s="10" t="s">
        <v>43</v>
      </c>
      <c r="R1008" s="10" t="s">
        <v>44</v>
      </c>
      <c r="S1008" s="8" t="s">
        <v>2024</v>
      </c>
      <c r="T1008" s="8" t="s">
        <v>44</v>
      </c>
    </row>
    <row r="1009" spans="1:20">
      <c r="A1009" s="11">
        <v>1002</v>
      </c>
      <c r="B1009" s="11" t="s">
        <v>1314</v>
      </c>
      <c r="C1009" s="11" t="s">
        <v>1292</v>
      </c>
      <c r="D1009" s="11" t="s">
        <v>655</v>
      </c>
      <c r="E1009" s="11" t="s">
        <v>34</v>
      </c>
      <c r="F1009" s="11" t="s">
        <v>35</v>
      </c>
      <c r="G1009" s="9" t="s">
        <v>41</v>
      </c>
      <c r="H1009" s="13">
        <v>1</v>
      </c>
      <c r="I1009" s="13">
        <v>1</v>
      </c>
      <c r="J1009" s="16">
        <v>7500.0</v>
      </c>
      <c r="K1009" s="16"/>
      <c r="L1009" s="18">
        <f>IF(J1009&gt;0, K1009/J1009, 0)</f>
        <v>0</v>
      </c>
      <c r="M1009" s="16">
        <v>7500.0</v>
      </c>
      <c r="N1009" s="16"/>
      <c r="O1009" s="16">
        <f>M1009-N1009</f>
        <v>7500</v>
      </c>
      <c r="P1009" s="11" t="s">
        <v>42</v>
      </c>
      <c r="Q1009" s="11" t="s">
        <v>43</v>
      </c>
      <c r="R1009" s="11" t="s">
        <v>44</v>
      </c>
      <c r="S1009" s="9" t="s">
        <v>2023</v>
      </c>
      <c r="T1009" s="9" t="s">
        <v>44</v>
      </c>
    </row>
    <row r="1010" spans="1:20">
      <c r="A1010" s="10">
        <v>1003</v>
      </c>
      <c r="B1010" s="10" t="s">
        <v>1315</v>
      </c>
      <c r="C1010" s="10" t="s">
        <v>1292</v>
      </c>
      <c r="D1010" s="10" t="s">
        <v>655</v>
      </c>
      <c r="E1010" s="10" t="s">
        <v>34</v>
      </c>
      <c r="F1010" s="10" t="s">
        <v>35</v>
      </c>
      <c r="G1010" s="8" t="s">
        <v>41</v>
      </c>
      <c r="H1010" s="12">
        <v>1</v>
      </c>
      <c r="I1010" s="12">
        <v>1</v>
      </c>
      <c r="J1010" s="15">
        <v>16500.0</v>
      </c>
      <c r="K1010" s="15"/>
      <c r="L1010" s="17">
        <f>IF(J1010&gt;0, K1010/J1010, 0)</f>
        <v>0</v>
      </c>
      <c r="M1010" s="15">
        <v>16500.0</v>
      </c>
      <c r="N1010" s="15"/>
      <c r="O1010" s="15">
        <f>M1010-N1010</f>
        <v>16500</v>
      </c>
      <c r="P1010" s="10" t="s">
        <v>42</v>
      </c>
      <c r="Q1010" s="10" t="s">
        <v>43</v>
      </c>
      <c r="R1010" s="10" t="s">
        <v>44</v>
      </c>
      <c r="S1010" s="8" t="s">
        <v>2064</v>
      </c>
      <c r="T1010" s="8" t="s">
        <v>44</v>
      </c>
    </row>
    <row r="1011" spans="1:20">
      <c r="A1011" s="11">
        <v>1004</v>
      </c>
      <c r="B1011" s="11" t="s">
        <v>1316</v>
      </c>
      <c r="C1011" s="11" t="s">
        <v>1292</v>
      </c>
      <c r="D1011" s="11" t="s">
        <v>655</v>
      </c>
      <c r="E1011" s="11" t="s">
        <v>34</v>
      </c>
      <c r="F1011" s="11" t="s">
        <v>35</v>
      </c>
      <c r="G1011" s="9" t="s">
        <v>41</v>
      </c>
      <c r="H1011" s="13">
        <v>1</v>
      </c>
      <c r="I1011" s="13">
        <v>1</v>
      </c>
      <c r="J1011" s="16">
        <v>9000.0</v>
      </c>
      <c r="K1011" s="16"/>
      <c r="L1011" s="18">
        <f>IF(J1011&gt;0, K1011/J1011, 0)</f>
        <v>0</v>
      </c>
      <c r="M1011" s="16">
        <v>9000.0</v>
      </c>
      <c r="N1011" s="16"/>
      <c r="O1011" s="16">
        <f>M1011-N1011</f>
        <v>9000</v>
      </c>
      <c r="P1011" s="11" t="s">
        <v>42</v>
      </c>
      <c r="Q1011" s="11" t="s">
        <v>43</v>
      </c>
      <c r="R1011" s="11" t="s">
        <v>44</v>
      </c>
      <c r="S1011" s="9" t="s">
        <v>2148</v>
      </c>
      <c r="T1011" s="9" t="s">
        <v>44</v>
      </c>
    </row>
    <row r="1012" spans="1:20">
      <c r="A1012" s="10">
        <v>1005</v>
      </c>
      <c r="B1012" s="10" t="s">
        <v>1317</v>
      </c>
      <c r="C1012" s="10" t="s">
        <v>1292</v>
      </c>
      <c r="D1012" s="10" t="s">
        <v>655</v>
      </c>
      <c r="E1012" s="10" t="s">
        <v>34</v>
      </c>
      <c r="F1012" s="10" t="s">
        <v>35</v>
      </c>
      <c r="G1012" s="8" t="s">
        <v>41</v>
      </c>
      <c r="H1012" s="12">
        <v>1</v>
      </c>
      <c r="I1012" s="12">
        <v>1</v>
      </c>
      <c r="J1012" s="15">
        <v>8000.0</v>
      </c>
      <c r="K1012" s="15"/>
      <c r="L1012" s="17">
        <f>IF(J1012&gt;0, K1012/J1012, 0)</f>
        <v>0</v>
      </c>
      <c r="M1012" s="15">
        <v>8000.0</v>
      </c>
      <c r="N1012" s="15"/>
      <c r="O1012" s="15">
        <f>M1012-N1012</f>
        <v>8000</v>
      </c>
      <c r="P1012" s="10" t="s">
        <v>42</v>
      </c>
      <c r="Q1012" s="10" t="s">
        <v>43</v>
      </c>
      <c r="R1012" s="10" t="s">
        <v>44</v>
      </c>
      <c r="S1012" s="8" t="s">
        <v>2028</v>
      </c>
      <c r="T1012" s="8" t="s">
        <v>44</v>
      </c>
    </row>
    <row r="1013" spans="1:20">
      <c r="A1013" s="11">
        <v>1006</v>
      </c>
      <c r="B1013" s="11" t="s">
        <v>1318</v>
      </c>
      <c r="C1013" s="11" t="s">
        <v>1292</v>
      </c>
      <c r="D1013" s="11" t="s">
        <v>655</v>
      </c>
      <c r="E1013" s="11" t="s">
        <v>34</v>
      </c>
      <c r="F1013" s="11" t="s">
        <v>35</v>
      </c>
      <c r="G1013" s="9" t="s">
        <v>41</v>
      </c>
      <c r="H1013" s="13">
        <v>1</v>
      </c>
      <c r="I1013" s="13">
        <v>1</v>
      </c>
      <c r="J1013" s="16">
        <v>9500.0</v>
      </c>
      <c r="K1013" s="16"/>
      <c r="L1013" s="18">
        <f>IF(J1013&gt;0, K1013/J1013, 0)</f>
        <v>0</v>
      </c>
      <c r="M1013" s="16">
        <v>9500.0</v>
      </c>
      <c r="N1013" s="16"/>
      <c r="O1013" s="16">
        <f>M1013-N1013</f>
        <v>9500</v>
      </c>
      <c r="P1013" s="11" t="s">
        <v>42</v>
      </c>
      <c r="Q1013" s="11" t="s">
        <v>43</v>
      </c>
      <c r="R1013" s="11" t="s">
        <v>44</v>
      </c>
      <c r="S1013" s="9" t="s">
        <v>2071</v>
      </c>
      <c r="T1013" s="9" t="s">
        <v>44</v>
      </c>
    </row>
    <row r="1014" spans="1:20">
      <c r="A1014" s="10">
        <v>1007</v>
      </c>
      <c r="B1014" s="10" t="s">
        <v>1319</v>
      </c>
      <c r="C1014" s="10" t="s">
        <v>1292</v>
      </c>
      <c r="D1014" s="10" t="s">
        <v>655</v>
      </c>
      <c r="E1014" s="10" t="s">
        <v>34</v>
      </c>
      <c r="F1014" s="10" t="s">
        <v>35</v>
      </c>
      <c r="G1014" s="8" t="s">
        <v>41</v>
      </c>
      <c r="H1014" s="12">
        <v>1</v>
      </c>
      <c r="I1014" s="12">
        <v>1</v>
      </c>
      <c r="J1014" s="15">
        <v>7000.0</v>
      </c>
      <c r="K1014" s="15"/>
      <c r="L1014" s="17">
        <f>IF(J1014&gt;0, K1014/J1014, 0)</f>
        <v>0</v>
      </c>
      <c r="M1014" s="15">
        <v>7000.0</v>
      </c>
      <c r="N1014" s="15"/>
      <c r="O1014" s="15">
        <f>M1014-N1014</f>
        <v>7000</v>
      </c>
      <c r="P1014" s="10" t="s">
        <v>42</v>
      </c>
      <c r="Q1014" s="10" t="s">
        <v>43</v>
      </c>
      <c r="R1014" s="10" t="s">
        <v>44</v>
      </c>
      <c r="S1014" s="8" t="s">
        <v>2053</v>
      </c>
      <c r="T1014" s="8" t="s">
        <v>44</v>
      </c>
    </row>
    <row r="1015" spans="1:20">
      <c r="A1015" s="11">
        <v>1008</v>
      </c>
      <c r="B1015" s="11" t="s">
        <v>1320</v>
      </c>
      <c r="C1015" s="11" t="s">
        <v>1292</v>
      </c>
      <c r="D1015" s="11" t="s">
        <v>655</v>
      </c>
      <c r="E1015" s="11" t="s">
        <v>70</v>
      </c>
      <c r="F1015" s="11" t="s">
        <v>35</v>
      </c>
      <c r="G1015" s="9" t="s">
        <v>41</v>
      </c>
      <c r="H1015" s="13">
        <v>1</v>
      </c>
      <c r="I1015" s="13">
        <v>1</v>
      </c>
      <c r="J1015" s="16">
        <v>17000.0</v>
      </c>
      <c r="K1015" s="16"/>
      <c r="L1015" s="18">
        <f>IF(J1015&gt;0, K1015/J1015, 0)</f>
        <v>0</v>
      </c>
      <c r="M1015" s="16">
        <v>17000.0</v>
      </c>
      <c r="N1015" s="16"/>
      <c r="O1015" s="16">
        <f>M1015-N1015</f>
        <v>17000</v>
      </c>
      <c r="P1015" s="11" t="s">
        <v>42</v>
      </c>
      <c r="Q1015" s="11" t="s">
        <v>73</v>
      </c>
      <c r="R1015" s="11" t="s">
        <v>44</v>
      </c>
      <c r="S1015" s="9" t="s">
        <v>2039</v>
      </c>
      <c r="T1015" s="9" t="s">
        <v>44</v>
      </c>
    </row>
    <row r="1016" spans="1:20">
      <c r="A1016" s="10">
        <v>1009</v>
      </c>
      <c r="B1016" s="10" t="s">
        <v>1321</v>
      </c>
      <c r="C1016" s="10" t="s">
        <v>1292</v>
      </c>
      <c r="D1016" s="10" t="s">
        <v>655</v>
      </c>
      <c r="E1016" s="10" t="s">
        <v>70</v>
      </c>
      <c r="F1016" s="10" t="s">
        <v>35</v>
      </c>
      <c r="G1016" s="8" t="s">
        <v>41</v>
      </c>
      <c r="H1016" s="12">
        <v>1</v>
      </c>
      <c r="I1016" s="12">
        <v>1</v>
      </c>
      <c r="J1016" s="15">
        <v>18000.0</v>
      </c>
      <c r="K1016" s="15"/>
      <c r="L1016" s="17">
        <f>IF(J1016&gt;0, K1016/J1016, 0)</f>
        <v>0</v>
      </c>
      <c r="M1016" s="15">
        <v>18000.0</v>
      </c>
      <c r="N1016" s="15"/>
      <c r="O1016" s="15">
        <f>M1016-N1016</f>
        <v>18000</v>
      </c>
      <c r="P1016" s="10" t="s">
        <v>42</v>
      </c>
      <c r="Q1016" s="10" t="s">
        <v>73</v>
      </c>
      <c r="R1016" s="10" t="s">
        <v>44</v>
      </c>
      <c r="S1016" s="8" t="s">
        <v>2026</v>
      </c>
      <c r="T1016" s="8" t="s">
        <v>44</v>
      </c>
    </row>
    <row r="1017" spans="1:20">
      <c r="A1017" s="11">
        <v>1010</v>
      </c>
      <c r="B1017" s="11" t="s">
        <v>1322</v>
      </c>
      <c r="C1017" s="11" t="s">
        <v>1292</v>
      </c>
      <c r="D1017" s="11" t="s">
        <v>655</v>
      </c>
      <c r="E1017" s="11" t="s">
        <v>34</v>
      </c>
      <c r="F1017" s="11" t="s">
        <v>35</v>
      </c>
      <c r="G1017" s="9" t="s">
        <v>41</v>
      </c>
      <c r="H1017" s="13">
        <v>1</v>
      </c>
      <c r="I1017" s="13">
        <v>3</v>
      </c>
      <c r="J1017" s="16">
        <v>24000.0</v>
      </c>
      <c r="K1017" s="16"/>
      <c r="L1017" s="18">
        <f>IF(J1017&gt;0, K1017/J1017, 0)</f>
        <v>0</v>
      </c>
      <c r="M1017" s="16">
        <v>24000.0</v>
      </c>
      <c r="N1017" s="16"/>
      <c r="O1017" s="16">
        <f>M1017-N1017</f>
        <v>24000</v>
      </c>
      <c r="P1017" s="11" t="s">
        <v>42</v>
      </c>
      <c r="Q1017" s="11" t="s">
        <v>43</v>
      </c>
      <c r="R1017" s="11" t="s">
        <v>44</v>
      </c>
      <c r="S1017" s="9" t="s">
        <v>2163</v>
      </c>
      <c r="T1017" s="9" t="s">
        <v>44</v>
      </c>
    </row>
    <row r="1018" spans="1:20">
      <c r="A1018" s="10">
        <v>1011</v>
      </c>
      <c r="B1018" s="10" t="s">
        <v>1323</v>
      </c>
      <c r="C1018" s="10" t="s">
        <v>1292</v>
      </c>
      <c r="D1018" s="10" t="s">
        <v>655</v>
      </c>
      <c r="E1018" s="10" t="s">
        <v>34</v>
      </c>
      <c r="F1018" s="10" t="s">
        <v>35</v>
      </c>
      <c r="G1018" s="8" t="s">
        <v>41</v>
      </c>
      <c r="H1018" s="12">
        <v>1</v>
      </c>
      <c r="I1018" s="12">
        <v>1</v>
      </c>
      <c r="J1018" s="15">
        <v>16000.0</v>
      </c>
      <c r="K1018" s="15"/>
      <c r="L1018" s="17">
        <f>IF(J1018&gt;0, K1018/J1018, 0)</f>
        <v>0</v>
      </c>
      <c r="M1018" s="15">
        <v>16000.0</v>
      </c>
      <c r="N1018" s="15"/>
      <c r="O1018" s="15">
        <f>M1018-N1018</f>
        <v>16000</v>
      </c>
      <c r="P1018" s="10" t="s">
        <v>42</v>
      </c>
      <c r="Q1018" s="10" t="s">
        <v>43</v>
      </c>
      <c r="R1018" s="10" t="s">
        <v>44</v>
      </c>
      <c r="S1018" s="8" t="s">
        <v>2078</v>
      </c>
      <c r="T1018" s="8" t="s">
        <v>44</v>
      </c>
    </row>
    <row r="1019" spans="1:20">
      <c r="A1019" s="11">
        <v>1012</v>
      </c>
      <c r="B1019" s="11" t="s">
        <v>1324</v>
      </c>
      <c r="C1019" s="11" t="s">
        <v>1292</v>
      </c>
      <c r="D1019" s="11" t="s">
        <v>655</v>
      </c>
      <c r="E1019" s="11" t="s">
        <v>34</v>
      </c>
      <c r="F1019" s="11" t="s">
        <v>35</v>
      </c>
      <c r="G1019" s="9" t="s">
        <v>41</v>
      </c>
      <c r="H1019" s="13">
        <v>1</v>
      </c>
      <c r="I1019" s="13">
        <v>1</v>
      </c>
      <c r="J1019" s="16">
        <v>8000.0</v>
      </c>
      <c r="K1019" s="16"/>
      <c r="L1019" s="18">
        <f>IF(J1019&gt;0, K1019/J1019, 0)</f>
        <v>0</v>
      </c>
      <c r="M1019" s="16">
        <v>8000.0</v>
      </c>
      <c r="N1019" s="16"/>
      <c r="O1019" s="16">
        <f>M1019-N1019</f>
        <v>8000</v>
      </c>
      <c r="P1019" s="11" t="s">
        <v>42</v>
      </c>
      <c r="Q1019" s="11" t="s">
        <v>43</v>
      </c>
      <c r="R1019" s="11" t="s">
        <v>44</v>
      </c>
      <c r="S1019" s="9" t="s">
        <v>2137</v>
      </c>
      <c r="T1019" s="9" t="s">
        <v>44</v>
      </c>
    </row>
    <row r="1020" spans="1:20">
      <c r="A1020" s="10">
        <v>1013</v>
      </c>
      <c r="B1020" s="10" t="s">
        <v>1325</v>
      </c>
      <c r="C1020" s="10" t="s">
        <v>1292</v>
      </c>
      <c r="D1020" s="10" t="s">
        <v>655</v>
      </c>
      <c r="E1020" s="10" t="s">
        <v>34</v>
      </c>
      <c r="F1020" s="10" t="s">
        <v>35</v>
      </c>
      <c r="G1020" s="8" t="s">
        <v>41</v>
      </c>
      <c r="H1020" s="12">
        <v>1</v>
      </c>
      <c r="I1020" s="12">
        <v>1</v>
      </c>
      <c r="J1020" s="15">
        <v>7000.0</v>
      </c>
      <c r="K1020" s="15"/>
      <c r="L1020" s="17">
        <f>IF(J1020&gt;0, K1020/J1020, 0)</f>
        <v>0</v>
      </c>
      <c r="M1020" s="15">
        <v>7000.0</v>
      </c>
      <c r="N1020" s="15"/>
      <c r="O1020" s="15">
        <f>M1020-N1020</f>
        <v>7000</v>
      </c>
      <c r="P1020" s="10" t="s">
        <v>42</v>
      </c>
      <c r="Q1020" s="10" t="s">
        <v>43</v>
      </c>
      <c r="R1020" s="10" t="s">
        <v>44</v>
      </c>
      <c r="S1020" s="8" t="s">
        <v>2077</v>
      </c>
      <c r="T1020" s="8" t="s">
        <v>44</v>
      </c>
    </row>
    <row r="1021" spans="1:20">
      <c r="A1021" s="11">
        <v>1014</v>
      </c>
      <c r="B1021" s="11" t="s">
        <v>1326</v>
      </c>
      <c r="C1021" s="11" t="s">
        <v>1292</v>
      </c>
      <c r="D1021" s="11" t="s">
        <v>655</v>
      </c>
      <c r="E1021" s="11" t="s">
        <v>34</v>
      </c>
      <c r="F1021" s="11" t="s">
        <v>35</v>
      </c>
      <c r="G1021" s="9" t="s">
        <v>41</v>
      </c>
      <c r="H1021" s="13">
        <v>1</v>
      </c>
      <c r="I1021" s="13">
        <v>1</v>
      </c>
      <c r="J1021" s="16">
        <v>8000.0</v>
      </c>
      <c r="K1021" s="16"/>
      <c r="L1021" s="18">
        <f>IF(J1021&gt;0, K1021/J1021, 0)</f>
        <v>0</v>
      </c>
      <c r="M1021" s="16">
        <v>8000.0</v>
      </c>
      <c r="N1021" s="16"/>
      <c r="O1021" s="16">
        <f>M1021-N1021</f>
        <v>8000</v>
      </c>
      <c r="P1021" s="11" t="s">
        <v>42</v>
      </c>
      <c r="Q1021" s="11" t="s">
        <v>43</v>
      </c>
      <c r="R1021" s="11" t="s">
        <v>44</v>
      </c>
      <c r="S1021" s="9" t="s">
        <v>2111</v>
      </c>
      <c r="T1021" s="9" t="s">
        <v>44</v>
      </c>
    </row>
    <row r="1022" spans="1:20">
      <c r="A1022" s="10">
        <v>1015</v>
      </c>
      <c r="B1022" s="10" t="s">
        <v>1327</v>
      </c>
      <c r="C1022" s="10" t="s">
        <v>1292</v>
      </c>
      <c r="D1022" s="10" t="s">
        <v>655</v>
      </c>
      <c r="E1022" s="10" t="s">
        <v>34</v>
      </c>
      <c r="F1022" s="10" t="s">
        <v>35</v>
      </c>
      <c r="G1022" s="8" t="s">
        <v>41</v>
      </c>
      <c r="H1022" s="12">
        <v>1</v>
      </c>
      <c r="I1022" s="12">
        <v>1</v>
      </c>
      <c r="J1022" s="15">
        <v>8000.0</v>
      </c>
      <c r="K1022" s="15"/>
      <c r="L1022" s="17">
        <f>IF(J1022&gt;0, K1022/J1022, 0)</f>
        <v>0</v>
      </c>
      <c r="M1022" s="15">
        <v>8000.0</v>
      </c>
      <c r="N1022" s="15"/>
      <c r="O1022" s="15">
        <f>M1022-N1022</f>
        <v>8000</v>
      </c>
      <c r="P1022" s="10" t="s">
        <v>42</v>
      </c>
      <c r="Q1022" s="10" t="s">
        <v>43</v>
      </c>
      <c r="R1022" s="10" t="s">
        <v>44</v>
      </c>
      <c r="S1022" s="8" t="s">
        <v>2020</v>
      </c>
      <c r="T1022" s="8" t="s">
        <v>44</v>
      </c>
    </row>
    <row r="1023" spans="1:20">
      <c r="A1023" s="11">
        <v>1016</v>
      </c>
      <c r="B1023" s="11" t="s">
        <v>1328</v>
      </c>
      <c r="C1023" s="11" t="s">
        <v>1292</v>
      </c>
      <c r="D1023" s="11" t="s">
        <v>655</v>
      </c>
      <c r="E1023" s="11" t="s">
        <v>34</v>
      </c>
      <c r="F1023" s="11" t="s">
        <v>35</v>
      </c>
      <c r="G1023" s="9" t="s">
        <v>41</v>
      </c>
      <c r="H1023" s="13">
        <v>1</v>
      </c>
      <c r="I1023" s="13">
        <v>1</v>
      </c>
      <c r="J1023" s="16">
        <v>16000.0</v>
      </c>
      <c r="K1023" s="16"/>
      <c r="L1023" s="18">
        <f>IF(J1023&gt;0, K1023/J1023, 0)</f>
        <v>0</v>
      </c>
      <c r="M1023" s="16">
        <v>16000.0</v>
      </c>
      <c r="N1023" s="16"/>
      <c r="O1023" s="16">
        <f>M1023-N1023</f>
        <v>16000</v>
      </c>
      <c r="P1023" s="11" t="s">
        <v>42</v>
      </c>
      <c r="Q1023" s="11" t="s">
        <v>43</v>
      </c>
      <c r="R1023" s="11" t="s">
        <v>44</v>
      </c>
      <c r="S1023" s="9" t="s">
        <v>2078</v>
      </c>
      <c r="T1023" s="9" t="s">
        <v>44</v>
      </c>
    </row>
    <row r="1024" spans="1:20">
      <c r="A1024" s="10">
        <v>1017</v>
      </c>
      <c r="B1024" s="10" t="s">
        <v>1329</v>
      </c>
      <c r="C1024" s="10" t="s">
        <v>1292</v>
      </c>
      <c r="D1024" s="10" t="s">
        <v>655</v>
      </c>
      <c r="E1024" s="10" t="s">
        <v>34</v>
      </c>
      <c r="F1024" s="10" t="s">
        <v>35</v>
      </c>
      <c r="G1024" s="8" t="s">
        <v>41</v>
      </c>
      <c r="H1024" s="12">
        <v>1</v>
      </c>
      <c r="I1024" s="12">
        <v>1</v>
      </c>
      <c r="J1024" s="15">
        <v>7000.0</v>
      </c>
      <c r="K1024" s="15"/>
      <c r="L1024" s="17">
        <f>IF(J1024&gt;0, K1024/J1024, 0)</f>
        <v>0</v>
      </c>
      <c r="M1024" s="15">
        <v>7000.0</v>
      </c>
      <c r="N1024" s="15"/>
      <c r="O1024" s="15">
        <f>M1024-N1024</f>
        <v>7000</v>
      </c>
      <c r="P1024" s="10" t="s">
        <v>42</v>
      </c>
      <c r="Q1024" s="10" t="s">
        <v>43</v>
      </c>
      <c r="R1024" s="10" t="s">
        <v>44</v>
      </c>
      <c r="S1024" s="8" t="s">
        <v>2101</v>
      </c>
      <c r="T1024" s="8" t="s">
        <v>44</v>
      </c>
    </row>
    <row r="1025" spans="1:20">
      <c r="A1025" s="11">
        <v>1018</v>
      </c>
      <c r="B1025" s="11" t="s">
        <v>1330</v>
      </c>
      <c r="C1025" s="11" t="s">
        <v>1292</v>
      </c>
      <c r="D1025" s="11" t="s">
        <v>655</v>
      </c>
      <c r="E1025" s="11" t="s">
        <v>70</v>
      </c>
      <c r="F1025" s="11" t="s">
        <v>35</v>
      </c>
      <c r="G1025" s="9" t="s">
        <v>41</v>
      </c>
      <c r="H1025" s="13">
        <v>1</v>
      </c>
      <c r="I1025" s="13">
        <v>1</v>
      </c>
      <c r="J1025" s="16">
        <v>18000.0</v>
      </c>
      <c r="K1025" s="16"/>
      <c r="L1025" s="18">
        <f>IF(J1025&gt;0, K1025/J1025, 0)</f>
        <v>0</v>
      </c>
      <c r="M1025" s="16">
        <v>18000.0</v>
      </c>
      <c r="N1025" s="16"/>
      <c r="O1025" s="16">
        <f>M1025-N1025</f>
        <v>18000</v>
      </c>
      <c r="P1025" s="11" t="s">
        <v>42</v>
      </c>
      <c r="Q1025" s="11" t="s">
        <v>73</v>
      </c>
      <c r="R1025" s="11" t="s">
        <v>44</v>
      </c>
      <c r="S1025" s="9" t="s">
        <v>2039</v>
      </c>
      <c r="T1025" s="9" t="s">
        <v>44</v>
      </c>
    </row>
    <row r="1026" spans="1:20">
      <c r="A1026" s="10">
        <v>1019</v>
      </c>
      <c r="B1026" s="10" t="s">
        <v>1331</v>
      </c>
      <c r="C1026" s="10" t="s">
        <v>1292</v>
      </c>
      <c r="D1026" s="10" t="s">
        <v>655</v>
      </c>
      <c r="E1026" s="10" t="s">
        <v>34</v>
      </c>
      <c r="F1026" s="10" t="s">
        <v>35</v>
      </c>
      <c r="G1026" s="8" t="s">
        <v>41</v>
      </c>
      <c r="H1026" s="12">
        <v>1</v>
      </c>
      <c r="I1026" s="12">
        <v>1</v>
      </c>
      <c r="J1026" s="15">
        <v>18000.0</v>
      </c>
      <c r="K1026" s="15"/>
      <c r="L1026" s="17">
        <f>IF(J1026&gt;0, K1026/J1026, 0)</f>
        <v>0</v>
      </c>
      <c r="M1026" s="15">
        <v>18000.0</v>
      </c>
      <c r="N1026" s="15"/>
      <c r="O1026" s="15">
        <f>M1026-N1026</f>
        <v>18000</v>
      </c>
      <c r="P1026" s="10" t="s">
        <v>42</v>
      </c>
      <c r="Q1026" s="10" t="s">
        <v>43</v>
      </c>
      <c r="R1026" s="10" t="s">
        <v>44</v>
      </c>
      <c r="S1026" s="8" t="s">
        <v>2021</v>
      </c>
      <c r="T1026" s="8" t="s">
        <v>44</v>
      </c>
    </row>
    <row r="1027" spans="1:20">
      <c r="A1027" s="11">
        <v>1020</v>
      </c>
      <c r="B1027" s="11" t="s">
        <v>1332</v>
      </c>
      <c r="C1027" s="11" t="s">
        <v>1292</v>
      </c>
      <c r="D1027" s="11" t="s">
        <v>655</v>
      </c>
      <c r="E1027" s="11" t="s">
        <v>34</v>
      </c>
      <c r="F1027" s="11" t="s">
        <v>35</v>
      </c>
      <c r="G1027" s="9" t="s">
        <v>41</v>
      </c>
      <c r="H1027" s="13">
        <v>1</v>
      </c>
      <c r="I1027" s="13">
        <v>2</v>
      </c>
      <c r="J1027" s="16">
        <v>16000.0</v>
      </c>
      <c r="K1027" s="16"/>
      <c r="L1027" s="18">
        <f>IF(J1027&gt;0, K1027/J1027, 0)</f>
        <v>0</v>
      </c>
      <c r="M1027" s="16">
        <v>16000.0</v>
      </c>
      <c r="N1027" s="16"/>
      <c r="O1027" s="16">
        <f>M1027-N1027</f>
        <v>16000</v>
      </c>
      <c r="P1027" s="11" t="s">
        <v>42</v>
      </c>
      <c r="Q1027" s="11" t="s">
        <v>43</v>
      </c>
      <c r="R1027" s="11" t="s">
        <v>44</v>
      </c>
      <c r="S1027" s="9" t="s">
        <v>2091</v>
      </c>
      <c r="T1027" s="9" t="s">
        <v>44</v>
      </c>
    </row>
    <row r="1028" spans="1:20">
      <c r="A1028" s="10">
        <v>1021</v>
      </c>
      <c r="B1028" s="10" t="s">
        <v>1333</v>
      </c>
      <c r="C1028" s="10" t="s">
        <v>1292</v>
      </c>
      <c r="D1028" s="10" t="s">
        <v>655</v>
      </c>
      <c r="E1028" s="10" t="s">
        <v>70</v>
      </c>
      <c r="F1028" s="10" t="s">
        <v>35</v>
      </c>
      <c r="G1028" s="8" t="s">
        <v>41</v>
      </c>
      <c r="H1028" s="12">
        <v>1</v>
      </c>
      <c r="I1028" s="12">
        <v>1</v>
      </c>
      <c r="J1028" s="15">
        <v>10000.0</v>
      </c>
      <c r="K1028" s="15"/>
      <c r="L1028" s="17">
        <f>IF(J1028&gt;0, K1028/J1028, 0)</f>
        <v>0</v>
      </c>
      <c r="M1028" s="15">
        <v>10000.0</v>
      </c>
      <c r="N1028" s="15"/>
      <c r="O1028" s="15">
        <f>M1028-N1028</f>
        <v>10000</v>
      </c>
      <c r="P1028" s="10" t="s">
        <v>42</v>
      </c>
      <c r="Q1028" s="10" t="s">
        <v>73</v>
      </c>
      <c r="R1028" s="10" t="s">
        <v>44</v>
      </c>
      <c r="S1028" s="8" t="s">
        <v>2058</v>
      </c>
      <c r="T1028" s="8" t="s">
        <v>44</v>
      </c>
    </row>
    <row r="1029" spans="1:20">
      <c r="A1029" s="11">
        <v>1022</v>
      </c>
      <c r="B1029" s="11" t="s">
        <v>1334</v>
      </c>
      <c r="C1029" s="11" t="s">
        <v>1292</v>
      </c>
      <c r="D1029" s="11" t="s">
        <v>655</v>
      </c>
      <c r="E1029" s="11" t="s">
        <v>34</v>
      </c>
      <c r="F1029" s="11" t="s">
        <v>35</v>
      </c>
      <c r="G1029" s="9" t="s">
        <v>41</v>
      </c>
      <c r="H1029" s="13">
        <v>1</v>
      </c>
      <c r="I1029" s="13">
        <v>1</v>
      </c>
      <c r="J1029" s="16">
        <v>7000.0</v>
      </c>
      <c r="K1029" s="16"/>
      <c r="L1029" s="18">
        <f>IF(J1029&gt;0, K1029/J1029, 0)</f>
        <v>0</v>
      </c>
      <c r="M1029" s="16">
        <v>7000.0</v>
      </c>
      <c r="N1029" s="16"/>
      <c r="O1029" s="16">
        <f>M1029-N1029</f>
        <v>7000</v>
      </c>
      <c r="P1029" s="11" t="s">
        <v>42</v>
      </c>
      <c r="Q1029" s="11" t="s">
        <v>43</v>
      </c>
      <c r="R1029" s="11" t="s">
        <v>44</v>
      </c>
      <c r="S1029" s="9" t="s">
        <v>2179</v>
      </c>
      <c r="T1029" s="9" t="s">
        <v>44</v>
      </c>
    </row>
    <row r="1030" spans="1:20">
      <c r="A1030" s="10">
        <v>1023</v>
      </c>
      <c r="B1030" s="10" t="s">
        <v>1335</v>
      </c>
      <c r="C1030" s="10" t="s">
        <v>1292</v>
      </c>
      <c r="D1030" s="10" t="s">
        <v>655</v>
      </c>
      <c r="E1030" s="10" t="s">
        <v>34</v>
      </c>
      <c r="F1030" s="10" t="s">
        <v>35</v>
      </c>
      <c r="G1030" s="8" t="s">
        <v>41</v>
      </c>
      <c r="H1030" s="12">
        <v>1</v>
      </c>
      <c r="I1030" s="12">
        <v>1</v>
      </c>
      <c r="J1030" s="15">
        <v>8000.0</v>
      </c>
      <c r="K1030" s="15"/>
      <c r="L1030" s="17">
        <f>IF(J1030&gt;0, K1030/J1030, 0)</f>
        <v>0</v>
      </c>
      <c r="M1030" s="15">
        <v>8000.0</v>
      </c>
      <c r="N1030" s="15"/>
      <c r="O1030" s="15">
        <f>M1030-N1030</f>
        <v>8000</v>
      </c>
      <c r="P1030" s="10" t="s">
        <v>42</v>
      </c>
      <c r="Q1030" s="10" t="s">
        <v>43</v>
      </c>
      <c r="R1030" s="10" t="s">
        <v>44</v>
      </c>
      <c r="S1030" s="8" t="s">
        <v>2111</v>
      </c>
      <c r="T1030" s="8" t="s">
        <v>44</v>
      </c>
    </row>
    <row r="1031" spans="1:20">
      <c r="A1031" s="11">
        <v>1024</v>
      </c>
      <c r="B1031" s="11" t="s">
        <v>1336</v>
      </c>
      <c r="C1031" s="11" t="s">
        <v>1292</v>
      </c>
      <c r="D1031" s="11" t="s">
        <v>655</v>
      </c>
      <c r="E1031" s="11" t="s">
        <v>34</v>
      </c>
      <c r="F1031" s="11" t="s">
        <v>35</v>
      </c>
      <c r="G1031" s="9" t="s">
        <v>41</v>
      </c>
      <c r="H1031" s="13">
        <v>1</v>
      </c>
      <c r="I1031" s="13">
        <v>2</v>
      </c>
      <c r="J1031" s="16">
        <v>14000.0</v>
      </c>
      <c r="K1031" s="16"/>
      <c r="L1031" s="18">
        <f>IF(J1031&gt;0, K1031/J1031, 0)</f>
        <v>0</v>
      </c>
      <c r="M1031" s="16">
        <v>14000.0</v>
      </c>
      <c r="N1031" s="16"/>
      <c r="O1031" s="16">
        <f>M1031-N1031</f>
        <v>14000</v>
      </c>
      <c r="P1031" s="11" t="s">
        <v>42</v>
      </c>
      <c r="Q1031" s="11" t="s">
        <v>43</v>
      </c>
      <c r="R1031" s="11" t="s">
        <v>44</v>
      </c>
      <c r="S1031" s="9" t="s">
        <v>2140</v>
      </c>
      <c r="T1031" s="9" t="s">
        <v>44</v>
      </c>
    </row>
    <row r="1032" spans="1:20">
      <c r="A1032" s="10">
        <v>1025</v>
      </c>
      <c r="B1032" s="10" t="s">
        <v>1337</v>
      </c>
      <c r="C1032" s="10" t="s">
        <v>1292</v>
      </c>
      <c r="D1032" s="10" t="s">
        <v>655</v>
      </c>
      <c r="E1032" s="10" t="s">
        <v>34</v>
      </c>
      <c r="F1032" s="10" t="s">
        <v>35</v>
      </c>
      <c r="G1032" s="8" t="s">
        <v>41</v>
      </c>
      <c r="H1032" s="12">
        <v>1</v>
      </c>
      <c r="I1032" s="12">
        <v>1</v>
      </c>
      <c r="J1032" s="15">
        <v>8000.0</v>
      </c>
      <c r="K1032" s="15"/>
      <c r="L1032" s="17">
        <f>IF(J1032&gt;0, K1032/J1032, 0)</f>
        <v>0</v>
      </c>
      <c r="M1032" s="15">
        <v>8000.0</v>
      </c>
      <c r="N1032" s="15"/>
      <c r="O1032" s="15">
        <f>M1032-N1032</f>
        <v>8000</v>
      </c>
      <c r="P1032" s="10" t="s">
        <v>42</v>
      </c>
      <c r="Q1032" s="10" t="s">
        <v>43</v>
      </c>
      <c r="R1032" s="10" t="s">
        <v>44</v>
      </c>
      <c r="S1032" s="8" t="s">
        <v>2137</v>
      </c>
      <c r="T1032" s="8" t="s">
        <v>44</v>
      </c>
    </row>
    <row r="1033" spans="1:20">
      <c r="A1033" s="11">
        <v>1026</v>
      </c>
      <c r="B1033" s="11" t="s">
        <v>1338</v>
      </c>
      <c r="C1033" s="11" t="s">
        <v>1339</v>
      </c>
      <c r="D1033" s="11" t="s">
        <v>655</v>
      </c>
      <c r="E1033" s="11" t="s">
        <v>34</v>
      </c>
      <c r="F1033" s="11" t="s">
        <v>35</v>
      </c>
      <c r="G1033" s="9" t="s">
        <v>41</v>
      </c>
      <c r="H1033" s="13">
        <v>1</v>
      </c>
      <c r="I1033" s="13">
        <v>1</v>
      </c>
      <c r="J1033" s="16">
        <v>7000.0</v>
      </c>
      <c r="K1033" s="16"/>
      <c r="L1033" s="18">
        <f>IF(J1033&gt;0, K1033/J1033, 0)</f>
        <v>0</v>
      </c>
      <c r="M1033" s="16">
        <v>7000.0</v>
      </c>
      <c r="N1033" s="16"/>
      <c r="O1033" s="16">
        <f>M1033-N1033</f>
        <v>7000</v>
      </c>
      <c r="P1033" s="11" t="s">
        <v>42</v>
      </c>
      <c r="Q1033" s="11" t="s">
        <v>43</v>
      </c>
      <c r="R1033" s="11" t="s">
        <v>44</v>
      </c>
      <c r="S1033" s="9" t="s">
        <v>2053</v>
      </c>
      <c r="T1033" s="9" t="s">
        <v>44</v>
      </c>
    </row>
    <row r="1034" spans="1:20">
      <c r="A1034" s="10">
        <v>1027</v>
      </c>
      <c r="B1034" s="10" t="s">
        <v>1340</v>
      </c>
      <c r="C1034" s="10" t="s">
        <v>1339</v>
      </c>
      <c r="D1034" s="10" t="s">
        <v>655</v>
      </c>
      <c r="E1034" s="10" t="s">
        <v>34</v>
      </c>
      <c r="F1034" s="10" t="s">
        <v>35</v>
      </c>
      <c r="G1034" s="8" t="s">
        <v>41</v>
      </c>
      <c r="H1034" s="12">
        <v>1</v>
      </c>
      <c r="I1034" s="12">
        <v>1</v>
      </c>
      <c r="J1034" s="15">
        <v>9000.0</v>
      </c>
      <c r="K1034" s="15"/>
      <c r="L1034" s="17">
        <f>IF(J1034&gt;0, K1034/J1034, 0)</f>
        <v>0</v>
      </c>
      <c r="M1034" s="15">
        <v>9000.0</v>
      </c>
      <c r="N1034" s="15"/>
      <c r="O1034" s="15">
        <f>M1034-N1034</f>
        <v>9000</v>
      </c>
      <c r="P1034" s="10" t="s">
        <v>42</v>
      </c>
      <c r="Q1034" s="10" t="s">
        <v>43</v>
      </c>
      <c r="R1034" s="10" t="s">
        <v>44</v>
      </c>
      <c r="S1034" s="8" t="s">
        <v>2071</v>
      </c>
      <c r="T1034" s="8" t="s">
        <v>44</v>
      </c>
    </row>
    <row r="1035" spans="1:20">
      <c r="A1035" s="11">
        <v>1028</v>
      </c>
      <c r="B1035" s="11" t="s">
        <v>1341</v>
      </c>
      <c r="C1035" s="11" t="s">
        <v>1339</v>
      </c>
      <c r="D1035" s="11" t="s">
        <v>655</v>
      </c>
      <c r="E1035" s="11" t="s">
        <v>34</v>
      </c>
      <c r="F1035" s="11" t="s">
        <v>35</v>
      </c>
      <c r="G1035" s="9" t="s">
        <v>41</v>
      </c>
      <c r="H1035" s="13">
        <v>1</v>
      </c>
      <c r="I1035" s="13">
        <v>1</v>
      </c>
      <c r="J1035" s="16">
        <v>16000.0</v>
      </c>
      <c r="K1035" s="16"/>
      <c r="L1035" s="18">
        <f>IF(J1035&gt;0, K1035/J1035, 0)</f>
        <v>0</v>
      </c>
      <c r="M1035" s="16">
        <v>16000.0</v>
      </c>
      <c r="N1035" s="16"/>
      <c r="O1035" s="16">
        <f>M1035-N1035</f>
        <v>16000</v>
      </c>
      <c r="P1035" s="11" t="s">
        <v>42</v>
      </c>
      <c r="Q1035" s="11" t="s">
        <v>43</v>
      </c>
      <c r="R1035" s="11" t="s">
        <v>44</v>
      </c>
      <c r="S1035" s="9" t="s">
        <v>2090</v>
      </c>
      <c r="T1035" s="9" t="s">
        <v>44</v>
      </c>
    </row>
    <row r="1036" spans="1:20">
      <c r="A1036" s="10">
        <v>1029</v>
      </c>
      <c r="B1036" s="10" t="s">
        <v>1342</v>
      </c>
      <c r="C1036" s="10" t="s">
        <v>1339</v>
      </c>
      <c r="D1036" s="10" t="s">
        <v>655</v>
      </c>
      <c r="E1036" s="10" t="s">
        <v>34</v>
      </c>
      <c r="F1036" s="10" t="s">
        <v>35</v>
      </c>
      <c r="G1036" s="8" t="s">
        <v>41</v>
      </c>
      <c r="H1036" s="12">
        <v>1</v>
      </c>
      <c r="I1036" s="12">
        <v>1</v>
      </c>
      <c r="J1036" s="15">
        <v>18000.0</v>
      </c>
      <c r="K1036" s="15"/>
      <c r="L1036" s="17">
        <f>IF(J1036&gt;0, K1036/J1036, 0)</f>
        <v>0</v>
      </c>
      <c r="M1036" s="15">
        <v>18000.0</v>
      </c>
      <c r="N1036" s="15"/>
      <c r="O1036" s="15">
        <f>M1036-N1036</f>
        <v>18000</v>
      </c>
      <c r="P1036" s="10" t="s">
        <v>42</v>
      </c>
      <c r="Q1036" s="10" t="s">
        <v>43</v>
      </c>
      <c r="R1036" s="10" t="s">
        <v>44</v>
      </c>
      <c r="S1036" s="8" t="s">
        <v>2107</v>
      </c>
      <c r="T1036" s="8" t="s">
        <v>44</v>
      </c>
    </row>
    <row r="1037" spans="1:20">
      <c r="A1037" s="11">
        <v>1030</v>
      </c>
      <c r="B1037" s="11" t="s">
        <v>1343</v>
      </c>
      <c r="C1037" s="11" t="s">
        <v>1339</v>
      </c>
      <c r="D1037" s="11" t="s">
        <v>655</v>
      </c>
      <c r="E1037" s="11" t="s">
        <v>34</v>
      </c>
      <c r="F1037" s="11" t="s">
        <v>35</v>
      </c>
      <c r="G1037" s="9" t="s">
        <v>41</v>
      </c>
      <c r="H1037" s="13">
        <v>1</v>
      </c>
      <c r="I1037" s="13">
        <v>1</v>
      </c>
      <c r="J1037" s="16">
        <v>7000.0</v>
      </c>
      <c r="K1037" s="16"/>
      <c r="L1037" s="18">
        <f>IF(J1037&gt;0, K1037/J1037, 0)</f>
        <v>0</v>
      </c>
      <c r="M1037" s="16">
        <v>7000.0</v>
      </c>
      <c r="N1037" s="16"/>
      <c r="O1037" s="16">
        <f>M1037-N1037</f>
        <v>7000</v>
      </c>
      <c r="P1037" s="11" t="s">
        <v>42</v>
      </c>
      <c r="Q1037" s="11" t="s">
        <v>43</v>
      </c>
      <c r="R1037" s="11" t="s">
        <v>44</v>
      </c>
      <c r="S1037" s="9" t="s">
        <v>2100</v>
      </c>
      <c r="T1037" s="9" t="s">
        <v>44</v>
      </c>
    </row>
    <row r="1038" spans="1:20">
      <c r="A1038" s="10">
        <v>1031</v>
      </c>
      <c r="B1038" s="10" t="s">
        <v>1344</v>
      </c>
      <c r="C1038" s="10" t="s">
        <v>1339</v>
      </c>
      <c r="D1038" s="10" t="s">
        <v>655</v>
      </c>
      <c r="E1038" s="10" t="s">
        <v>34</v>
      </c>
      <c r="F1038" s="10" t="s">
        <v>35</v>
      </c>
      <c r="G1038" s="8" t="s">
        <v>41</v>
      </c>
      <c r="H1038" s="12">
        <v>1</v>
      </c>
      <c r="I1038" s="12">
        <v>1</v>
      </c>
      <c r="J1038" s="15">
        <v>8000.0</v>
      </c>
      <c r="K1038" s="15"/>
      <c r="L1038" s="17">
        <f>IF(J1038&gt;0, K1038/J1038, 0)</f>
        <v>0</v>
      </c>
      <c r="M1038" s="15">
        <v>8000.0</v>
      </c>
      <c r="N1038" s="15"/>
      <c r="O1038" s="15">
        <f>M1038-N1038</f>
        <v>8000</v>
      </c>
      <c r="P1038" s="10" t="s">
        <v>42</v>
      </c>
      <c r="Q1038" s="10" t="s">
        <v>43</v>
      </c>
      <c r="R1038" s="10" t="s">
        <v>44</v>
      </c>
      <c r="S1038" s="8" t="s">
        <v>2098</v>
      </c>
      <c r="T1038" s="8" t="s">
        <v>44</v>
      </c>
    </row>
    <row r="1039" spans="1:20">
      <c r="A1039" s="11">
        <v>1032</v>
      </c>
      <c r="B1039" s="11" t="s">
        <v>1345</v>
      </c>
      <c r="C1039" s="11" t="s">
        <v>1339</v>
      </c>
      <c r="D1039" s="11" t="s">
        <v>655</v>
      </c>
      <c r="E1039" s="11" t="s">
        <v>34</v>
      </c>
      <c r="F1039" s="11" t="s">
        <v>35</v>
      </c>
      <c r="G1039" s="9" t="s">
        <v>41</v>
      </c>
      <c r="H1039" s="13">
        <v>1</v>
      </c>
      <c r="I1039" s="13">
        <v>1</v>
      </c>
      <c r="J1039" s="16">
        <v>17000.0</v>
      </c>
      <c r="K1039" s="16"/>
      <c r="L1039" s="18">
        <f>IF(J1039&gt;0, K1039/J1039, 0)</f>
        <v>0</v>
      </c>
      <c r="M1039" s="16">
        <v>17000.0</v>
      </c>
      <c r="N1039" s="16"/>
      <c r="O1039" s="16">
        <f>M1039-N1039</f>
        <v>17000</v>
      </c>
      <c r="P1039" s="11" t="s">
        <v>42</v>
      </c>
      <c r="Q1039" s="11" t="s">
        <v>43</v>
      </c>
      <c r="R1039" s="11" t="s">
        <v>44</v>
      </c>
      <c r="S1039" s="9" t="s">
        <v>2072</v>
      </c>
      <c r="T1039" s="9" t="s">
        <v>44</v>
      </c>
    </row>
    <row r="1040" spans="1:20">
      <c r="A1040" s="10">
        <v>1033</v>
      </c>
      <c r="B1040" s="10" t="s">
        <v>1346</v>
      </c>
      <c r="C1040" s="10" t="s">
        <v>1339</v>
      </c>
      <c r="D1040" s="10" t="s">
        <v>655</v>
      </c>
      <c r="E1040" s="10" t="s">
        <v>34</v>
      </c>
      <c r="F1040" s="10" t="s">
        <v>35</v>
      </c>
      <c r="G1040" s="8" t="s">
        <v>41</v>
      </c>
      <c r="H1040" s="12">
        <v>1</v>
      </c>
      <c r="I1040" s="12">
        <v>1</v>
      </c>
      <c r="J1040" s="15">
        <v>7000.0</v>
      </c>
      <c r="K1040" s="15"/>
      <c r="L1040" s="17">
        <f>IF(J1040&gt;0, K1040/J1040, 0)</f>
        <v>0</v>
      </c>
      <c r="M1040" s="15">
        <v>7000.0</v>
      </c>
      <c r="N1040" s="15"/>
      <c r="O1040" s="15">
        <f>M1040-N1040</f>
        <v>7000</v>
      </c>
      <c r="P1040" s="10" t="s">
        <v>42</v>
      </c>
      <c r="Q1040" s="10" t="s">
        <v>43</v>
      </c>
      <c r="R1040" s="10" t="s">
        <v>44</v>
      </c>
      <c r="S1040" s="8" t="s">
        <v>2100</v>
      </c>
      <c r="T1040" s="8" t="s">
        <v>44</v>
      </c>
    </row>
    <row r="1041" spans="1:20">
      <c r="A1041" s="11">
        <v>1034</v>
      </c>
      <c r="B1041" s="11" t="s">
        <v>1347</v>
      </c>
      <c r="C1041" s="11" t="s">
        <v>1339</v>
      </c>
      <c r="D1041" s="11" t="s">
        <v>655</v>
      </c>
      <c r="E1041" s="11" t="s">
        <v>34</v>
      </c>
      <c r="F1041" s="11" t="s">
        <v>35</v>
      </c>
      <c r="G1041" s="9" t="s">
        <v>41</v>
      </c>
      <c r="H1041" s="13">
        <v>1</v>
      </c>
      <c r="I1041" s="13">
        <v>1</v>
      </c>
      <c r="J1041" s="16">
        <v>9000.0</v>
      </c>
      <c r="K1041" s="16"/>
      <c r="L1041" s="18">
        <f>IF(J1041&gt;0, K1041/J1041, 0)</f>
        <v>0</v>
      </c>
      <c r="M1041" s="16">
        <v>9000.0</v>
      </c>
      <c r="N1041" s="16"/>
      <c r="O1041" s="16">
        <f>M1041-N1041</f>
        <v>9000</v>
      </c>
      <c r="P1041" s="11" t="s">
        <v>42</v>
      </c>
      <c r="Q1041" s="11" t="s">
        <v>43</v>
      </c>
      <c r="R1041" s="11" t="s">
        <v>44</v>
      </c>
      <c r="S1041" s="9" t="s">
        <v>2071</v>
      </c>
      <c r="T1041" s="9" t="s">
        <v>44</v>
      </c>
    </row>
    <row r="1042" spans="1:20">
      <c r="A1042" s="10">
        <v>1035</v>
      </c>
      <c r="B1042" s="10" t="s">
        <v>1348</v>
      </c>
      <c r="C1042" s="10" t="s">
        <v>1339</v>
      </c>
      <c r="D1042" s="10" t="s">
        <v>655</v>
      </c>
      <c r="E1042" s="10" t="s">
        <v>34</v>
      </c>
      <c r="F1042" s="10" t="s">
        <v>35</v>
      </c>
      <c r="G1042" s="8" t="s">
        <v>41</v>
      </c>
      <c r="H1042" s="12">
        <v>1</v>
      </c>
      <c r="I1042" s="12">
        <v>1</v>
      </c>
      <c r="J1042" s="15">
        <v>8000.0</v>
      </c>
      <c r="K1042" s="15"/>
      <c r="L1042" s="17">
        <f>IF(J1042&gt;0, K1042/J1042, 0)</f>
        <v>0</v>
      </c>
      <c r="M1042" s="15">
        <v>8000.0</v>
      </c>
      <c r="N1042" s="15"/>
      <c r="O1042" s="15">
        <f>M1042-N1042</f>
        <v>8000</v>
      </c>
      <c r="P1042" s="10" t="s">
        <v>42</v>
      </c>
      <c r="Q1042" s="10" t="s">
        <v>43</v>
      </c>
      <c r="R1042" s="10" t="s">
        <v>44</v>
      </c>
      <c r="S1042" s="8" t="s">
        <v>2024</v>
      </c>
      <c r="T1042" s="8" t="s">
        <v>44</v>
      </c>
    </row>
    <row r="1043" spans="1:20">
      <c r="A1043" s="11">
        <v>1036</v>
      </c>
      <c r="B1043" s="11" t="s">
        <v>1349</v>
      </c>
      <c r="C1043" s="11" t="s">
        <v>1339</v>
      </c>
      <c r="D1043" s="11" t="s">
        <v>655</v>
      </c>
      <c r="E1043" s="11" t="s">
        <v>34</v>
      </c>
      <c r="F1043" s="11" t="s">
        <v>35</v>
      </c>
      <c r="G1043" s="9" t="s">
        <v>41</v>
      </c>
      <c r="H1043" s="13">
        <v>1</v>
      </c>
      <c r="I1043" s="13">
        <v>1</v>
      </c>
      <c r="J1043" s="16">
        <v>7000.0</v>
      </c>
      <c r="K1043" s="16"/>
      <c r="L1043" s="18">
        <f>IF(J1043&gt;0, K1043/J1043, 0)</f>
        <v>0</v>
      </c>
      <c r="M1043" s="16">
        <v>7000.0</v>
      </c>
      <c r="N1043" s="16"/>
      <c r="O1043" s="16">
        <f>M1043-N1043</f>
        <v>7000</v>
      </c>
      <c r="P1043" s="11" t="s">
        <v>42</v>
      </c>
      <c r="Q1043" s="11" t="s">
        <v>43</v>
      </c>
      <c r="R1043" s="11" t="s">
        <v>44</v>
      </c>
      <c r="S1043" s="9" t="s">
        <v>2020</v>
      </c>
      <c r="T1043" s="9" t="s">
        <v>44</v>
      </c>
    </row>
    <row r="1044" spans="1:20">
      <c r="A1044" s="10">
        <v>1037</v>
      </c>
      <c r="B1044" s="10" t="s">
        <v>1350</v>
      </c>
      <c r="C1044" s="10" t="s">
        <v>1339</v>
      </c>
      <c r="D1044" s="10" t="s">
        <v>655</v>
      </c>
      <c r="E1044" s="10" t="s">
        <v>34</v>
      </c>
      <c r="F1044" s="10" t="s">
        <v>35</v>
      </c>
      <c r="G1044" s="8" t="s">
        <v>41</v>
      </c>
      <c r="H1044" s="12">
        <v>1</v>
      </c>
      <c r="I1044" s="12">
        <v>1</v>
      </c>
      <c r="J1044" s="15">
        <v>16000.0</v>
      </c>
      <c r="K1044" s="15"/>
      <c r="L1044" s="17">
        <f>IF(J1044&gt;0, K1044/J1044, 0)</f>
        <v>0</v>
      </c>
      <c r="M1044" s="15">
        <v>16000.0</v>
      </c>
      <c r="N1044" s="15"/>
      <c r="O1044" s="15">
        <f>M1044-N1044</f>
        <v>16000</v>
      </c>
      <c r="P1044" s="10" t="s">
        <v>42</v>
      </c>
      <c r="Q1044" s="10" t="s">
        <v>43</v>
      </c>
      <c r="R1044" s="10" t="s">
        <v>44</v>
      </c>
      <c r="S1044" s="8" t="s">
        <v>2072</v>
      </c>
      <c r="T1044" s="8" t="s">
        <v>44</v>
      </c>
    </row>
    <row r="1045" spans="1:20">
      <c r="A1045" s="11">
        <v>1038</v>
      </c>
      <c r="B1045" s="11" t="s">
        <v>1351</v>
      </c>
      <c r="C1045" s="11" t="s">
        <v>1339</v>
      </c>
      <c r="D1045" s="11" t="s">
        <v>655</v>
      </c>
      <c r="E1045" s="11" t="s">
        <v>34</v>
      </c>
      <c r="F1045" s="11" t="s">
        <v>35</v>
      </c>
      <c r="G1045" s="9" t="s">
        <v>41</v>
      </c>
      <c r="H1045" s="13">
        <v>1</v>
      </c>
      <c r="I1045" s="13">
        <v>1</v>
      </c>
      <c r="J1045" s="16">
        <v>16000.0</v>
      </c>
      <c r="K1045" s="16"/>
      <c r="L1045" s="18">
        <f>IF(J1045&gt;0, K1045/J1045, 0)</f>
        <v>0</v>
      </c>
      <c r="M1045" s="16">
        <v>16000.0</v>
      </c>
      <c r="N1045" s="16"/>
      <c r="O1045" s="16">
        <f>M1045-N1045</f>
        <v>16000</v>
      </c>
      <c r="P1045" s="11" t="s">
        <v>42</v>
      </c>
      <c r="Q1045" s="11" t="s">
        <v>43</v>
      </c>
      <c r="R1045" s="11" t="s">
        <v>44</v>
      </c>
      <c r="S1045" s="9" t="s">
        <v>2078</v>
      </c>
      <c r="T1045" s="9" t="s">
        <v>44</v>
      </c>
    </row>
    <row r="1046" spans="1:20">
      <c r="A1046" s="10">
        <v>1039</v>
      </c>
      <c r="B1046" s="10" t="s">
        <v>1352</v>
      </c>
      <c r="C1046" s="10" t="s">
        <v>1339</v>
      </c>
      <c r="D1046" s="10" t="s">
        <v>655</v>
      </c>
      <c r="E1046" s="10" t="s">
        <v>34</v>
      </c>
      <c r="F1046" s="10" t="s">
        <v>35</v>
      </c>
      <c r="G1046" s="8" t="s">
        <v>41</v>
      </c>
      <c r="H1046" s="12">
        <v>1</v>
      </c>
      <c r="I1046" s="12">
        <v>1</v>
      </c>
      <c r="J1046" s="15">
        <v>9000.0</v>
      </c>
      <c r="K1046" s="15"/>
      <c r="L1046" s="17">
        <f>IF(J1046&gt;0, K1046/J1046, 0)</f>
        <v>0</v>
      </c>
      <c r="M1046" s="15">
        <v>9000.0</v>
      </c>
      <c r="N1046" s="15"/>
      <c r="O1046" s="15">
        <f>M1046-N1046</f>
        <v>9000</v>
      </c>
      <c r="P1046" s="10" t="s">
        <v>42</v>
      </c>
      <c r="Q1046" s="10" t="s">
        <v>43</v>
      </c>
      <c r="R1046" s="10" t="s">
        <v>44</v>
      </c>
      <c r="S1046" s="8" t="s">
        <v>2071</v>
      </c>
      <c r="T1046" s="8" t="s">
        <v>44</v>
      </c>
    </row>
    <row r="1047" spans="1:20">
      <c r="A1047" s="11">
        <v>1040</v>
      </c>
      <c r="B1047" s="11" t="s">
        <v>1353</v>
      </c>
      <c r="C1047" s="11" t="s">
        <v>1339</v>
      </c>
      <c r="D1047" s="11" t="s">
        <v>655</v>
      </c>
      <c r="E1047" s="11" t="s">
        <v>34</v>
      </c>
      <c r="F1047" s="11" t="s">
        <v>35</v>
      </c>
      <c r="G1047" s="9" t="s">
        <v>41</v>
      </c>
      <c r="H1047" s="13">
        <v>1</v>
      </c>
      <c r="I1047" s="13">
        <v>1</v>
      </c>
      <c r="J1047" s="16">
        <v>7000.0</v>
      </c>
      <c r="K1047" s="16"/>
      <c r="L1047" s="18">
        <f>IF(J1047&gt;0, K1047/J1047, 0)</f>
        <v>0</v>
      </c>
      <c r="M1047" s="16">
        <v>7000.0</v>
      </c>
      <c r="N1047" s="16"/>
      <c r="O1047" s="16">
        <f>M1047-N1047</f>
        <v>7000</v>
      </c>
      <c r="P1047" s="11" t="s">
        <v>42</v>
      </c>
      <c r="Q1047" s="11" t="s">
        <v>43</v>
      </c>
      <c r="R1047" s="11" t="s">
        <v>44</v>
      </c>
      <c r="S1047" s="9" t="s">
        <v>2142</v>
      </c>
      <c r="T1047" s="9" t="s">
        <v>44</v>
      </c>
    </row>
    <row r="1048" spans="1:20">
      <c r="A1048" s="10">
        <v>1041</v>
      </c>
      <c r="B1048" s="10" t="s">
        <v>1354</v>
      </c>
      <c r="C1048" s="10" t="s">
        <v>1339</v>
      </c>
      <c r="D1048" s="10" t="s">
        <v>655</v>
      </c>
      <c r="E1048" s="10" t="s">
        <v>34</v>
      </c>
      <c r="F1048" s="10" t="s">
        <v>35</v>
      </c>
      <c r="G1048" s="8" t="s">
        <v>41</v>
      </c>
      <c r="H1048" s="12">
        <v>1</v>
      </c>
      <c r="I1048" s="12">
        <v>1</v>
      </c>
      <c r="J1048" s="15">
        <v>7000.0</v>
      </c>
      <c r="K1048" s="15"/>
      <c r="L1048" s="17">
        <f>IF(J1048&gt;0, K1048/J1048, 0)</f>
        <v>0</v>
      </c>
      <c r="M1048" s="15">
        <v>7000.0</v>
      </c>
      <c r="N1048" s="15"/>
      <c r="O1048" s="15">
        <f>M1048-N1048</f>
        <v>7000</v>
      </c>
      <c r="P1048" s="10" t="s">
        <v>42</v>
      </c>
      <c r="Q1048" s="10" t="s">
        <v>43</v>
      </c>
      <c r="R1048" s="10" t="s">
        <v>44</v>
      </c>
      <c r="S1048" s="8" t="s">
        <v>2100</v>
      </c>
      <c r="T1048" s="8" t="s">
        <v>44</v>
      </c>
    </row>
    <row r="1049" spans="1:20">
      <c r="A1049" s="11">
        <v>1042</v>
      </c>
      <c r="B1049" s="11" t="s">
        <v>1355</v>
      </c>
      <c r="C1049" s="11" t="s">
        <v>1339</v>
      </c>
      <c r="D1049" s="11" t="s">
        <v>655</v>
      </c>
      <c r="E1049" s="11" t="s">
        <v>34</v>
      </c>
      <c r="F1049" s="11" t="s">
        <v>35</v>
      </c>
      <c r="G1049" s="9" t="s">
        <v>41</v>
      </c>
      <c r="H1049" s="13">
        <v>1</v>
      </c>
      <c r="I1049" s="13">
        <v>1</v>
      </c>
      <c r="J1049" s="16">
        <v>8000.0</v>
      </c>
      <c r="K1049" s="16"/>
      <c r="L1049" s="18">
        <f>IF(J1049&gt;0, K1049/J1049, 0)</f>
        <v>0</v>
      </c>
      <c r="M1049" s="16">
        <v>8000.0</v>
      </c>
      <c r="N1049" s="16"/>
      <c r="O1049" s="16">
        <f>M1049-N1049</f>
        <v>8000</v>
      </c>
      <c r="P1049" s="11" t="s">
        <v>42</v>
      </c>
      <c r="Q1049" s="11" t="s">
        <v>43</v>
      </c>
      <c r="R1049" s="11" t="s">
        <v>44</v>
      </c>
      <c r="S1049" s="9" t="s">
        <v>2062</v>
      </c>
      <c r="T1049" s="9" t="s">
        <v>44</v>
      </c>
    </row>
    <row r="1050" spans="1:20">
      <c r="A1050" s="10">
        <v>1043</v>
      </c>
      <c r="B1050" s="10" t="s">
        <v>1356</v>
      </c>
      <c r="C1050" s="10" t="s">
        <v>1339</v>
      </c>
      <c r="D1050" s="10" t="s">
        <v>655</v>
      </c>
      <c r="E1050" s="10" t="s">
        <v>34</v>
      </c>
      <c r="F1050" s="10" t="s">
        <v>35</v>
      </c>
      <c r="G1050" s="8" t="s">
        <v>41</v>
      </c>
      <c r="H1050" s="12">
        <v>1</v>
      </c>
      <c r="I1050" s="12">
        <v>1</v>
      </c>
      <c r="J1050" s="15">
        <v>8000.0</v>
      </c>
      <c r="K1050" s="15"/>
      <c r="L1050" s="17">
        <f>IF(J1050&gt;0, K1050/J1050, 0)</f>
        <v>0</v>
      </c>
      <c r="M1050" s="15">
        <v>8000.0</v>
      </c>
      <c r="N1050" s="15"/>
      <c r="O1050" s="15">
        <f>M1050-N1050</f>
        <v>8000</v>
      </c>
      <c r="P1050" s="10" t="s">
        <v>42</v>
      </c>
      <c r="Q1050" s="10" t="s">
        <v>43</v>
      </c>
      <c r="R1050" s="10" t="s">
        <v>44</v>
      </c>
      <c r="S1050" s="8" t="s">
        <v>2087</v>
      </c>
      <c r="T1050" s="8" t="s">
        <v>44</v>
      </c>
    </row>
    <row r="1051" spans="1:20">
      <c r="A1051" s="11">
        <v>1044</v>
      </c>
      <c r="B1051" s="11" t="s">
        <v>1357</v>
      </c>
      <c r="C1051" s="11" t="s">
        <v>1339</v>
      </c>
      <c r="D1051" s="11" t="s">
        <v>655</v>
      </c>
      <c r="E1051" s="11" t="s">
        <v>34</v>
      </c>
      <c r="F1051" s="11" t="s">
        <v>35</v>
      </c>
      <c r="G1051" s="9" t="s">
        <v>41</v>
      </c>
      <c r="H1051" s="13">
        <v>1</v>
      </c>
      <c r="I1051" s="13">
        <v>3</v>
      </c>
      <c r="J1051" s="16">
        <v>21000.0</v>
      </c>
      <c r="K1051" s="16"/>
      <c r="L1051" s="18">
        <f>IF(J1051&gt;0, K1051/J1051, 0)</f>
        <v>0</v>
      </c>
      <c r="M1051" s="16">
        <v>21000.0</v>
      </c>
      <c r="N1051" s="16"/>
      <c r="O1051" s="16">
        <f>M1051-N1051</f>
        <v>21000</v>
      </c>
      <c r="P1051" s="11" t="s">
        <v>42</v>
      </c>
      <c r="Q1051" s="11" t="s">
        <v>43</v>
      </c>
      <c r="R1051" s="11" t="s">
        <v>44</v>
      </c>
      <c r="S1051" s="9" t="s">
        <v>2092</v>
      </c>
      <c r="T1051" s="9" t="s">
        <v>44</v>
      </c>
    </row>
    <row r="1052" spans="1:20">
      <c r="A1052" s="10">
        <v>1045</v>
      </c>
      <c r="B1052" s="10" t="s">
        <v>1358</v>
      </c>
      <c r="C1052" s="10" t="s">
        <v>1339</v>
      </c>
      <c r="D1052" s="10" t="s">
        <v>655</v>
      </c>
      <c r="E1052" s="10" t="s">
        <v>34</v>
      </c>
      <c r="F1052" s="10" t="s">
        <v>35</v>
      </c>
      <c r="G1052" s="8" t="s">
        <v>41</v>
      </c>
      <c r="H1052" s="12">
        <v>1</v>
      </c>
      <c r="I1052" s="12">
        <v>3</v>
      </c>
      <c r="J1052" s="15">
        <v>21000.0</v>
      </c>
      <c r="K1052" s="15"/>
      <c r="L1052" s="17">
        <f>IF(J1052&gt;0, K1052/J1052, 0)</f>
        <v>0</v>
      </c>
      <c r="M1052" s="15">
        <v>21000.0</v>
      </c>
      <c r="N1052" s="15"/>
      <c r="O1052" s="15">
        <f>M1052-N1052</f>
        <v>21000</v>
      </c>
      <c r="P1052" s="10" t="s">
        <v>42</v>
      </c>
      <c r="Q1052" s="10" t="s">
        <v>43</v>
      </c>
      <c r="R1052" s="10" t="s">
        <v>44</v>
      </c>
      <c r="S1052" s="8" t="s">
        <v>2096</v>
      </c>
      <c r="T1052" s="8" t="s">
        <v>44</v>
      </c>
    </row>
    <row r="1053" spans="1:20">
      <c r="A1053" s="11">
        <v>1046</v>
      </c>
      <c r="B1053" s="11" t="s">
        <v>1359</v>
      </c>
      <c r="C1053" s="11" t="s">
        <v>1339</v>
      </c>
      <c r="D1053" s="11" t="s">
        <v>655</v>
      </c>
      <c r="E1053" s="11" t="s">
        <v>70</v>
      </c>
      <c r="F1053" s="11" t="s">
        <v>35</v>
      </c>
      <c r="G1053" s="9" t="s">
        <v>41</v>
      </c>
      <c r="H1053" s="13">
        <v>1</v>
      </c>
      <c r="I1053" s="13">
        <v>1</v>
      </c>
      <c r="J1053" s="16">
        <v>8000.0</v>
      </c>
      <c r="K1053" s="16"/>
      <c r="L1053" s="18">
        <f>IF(J1053&gt;0, K1053/J1053, 0)</f>
        <v>0</v>
      </c>
      <c r="M1053" s="16">
        <v>8000.0</v>
      </c>
      <c r="N1053" s="16"/>
      <c r="O1053" s="16">
        <f>M1053-N1053</f>
        <v>8000</v>
      </c>
      <c r="P1053" s="11" t="s">
        <v>42</v>
      </c>
      <c r="Q1053" s="11" t="s">
        <v>73</v>
      </c>
      <c r="R1053" s="11" t="s">
        <v>44</v>
      </c>
      <c r="S1053" s="9" t="s">
        <v>2138</v>
      </c>
      <c r="T1053" s="9" t="s">
        <v>44</v>
      </c>
    </row>
    <row r="1054" spans="1:20">
      <c r="A1054" s="10">
        <v>1047</v>
      </c>
      <c r="B1054" s="10" t="s">
        <v>1360</v>
      </c>
      <c r="C1054" s="10" t="s">
        <v>1339</v>
      </c>
      <c r="D1054" s="10" t="s">
        <v>655</v>
      </c>
      <c r="E1054" s="10" t="s">
        <v>34</v>
      </c>
      <c r="F1054" s="10" t="s">
        <v>35</v>
      </c>
      <c r="G1054" s="8" t="s">
        <v>41</v>
      </c>
      <c r="H1054" s="12">
        <v>1</v>
      </c>
      <c r="I1054" s="12">
        <v>1</v>
      </c>
      <c r="J1054" s="15">
        <v>8000.0</v>
      </c>
      <c r="K1054" s="15"/>
      <c r="L1054" s="17">
        <f>IF(J1054&gt;0, K1054/J1054, 0)</f>
        <v>0</v>
      </c>
      <c r="M1054" s="15">
        <v>8000.0</v>
      </c>
      <c r="N1054" s="15"/>
      <c r="O1054" s="15">
        <f>M1054-N1054</f>
        <v>8000</v>
      </c>
      <c r="P1054" s="10" t="s">
        <v>42</v>
      </c>
      <c r="Q1054" s="10" t="s">
        <v>43</v>
      </c>
      <c r="R1054" s="10" t="s">
        <v>44</v>
      </c>
      <c r="S1054" s="8" t="s">
        <v>2111</v>
      </c>
      <c r="T1054" s="8" t="s">
        <v>44</v>
      </c>
    </row>
    <row r="1055" spans="1:20">
      <c r="A1055" s="11">
        <v>1048</v>
      </c>
      <c r="B1055" s="11" t="s">
        <v>1361</v>
      </c>
      <c r="C1055" s="11" t="s">
        <v>1339</v>
      </c>
      <c r="D1055" s="11" t="s">
        <v>655</v>
      </c>
      <c r="E1055" s="11" t="s">
        <v>34</v>
      </c>
      <c r="F1055" s="11" t="s">
        <v>35</v>
      </c>
      <c r="G1055" s="9" t="s">
        <v>41</v>
      </c>
      <c r="H1055" s="13">
        <v>1</v>
      </c>
      <c r="I1055" s="13">
        <v>2</v>
      </c>
      <c r="J1055" s="16">
        <v>14000.0</v>
      </c>
      <c r="K1055" s="16"/>
      <c r="L1055" s="18">
        <f>IF(J1055&gt;0, K1055/J1055, 0)</f>
        <v>0</v>
      </c>
      <c r="M1055" s="16">
        <v>14000.0</v>
      </c>
      <c r="N1055" s="16"/>
      <c r="O1055" s="16">
        <f>M1055-N1055</f>
        <v>14000</v>
      </c>
      <c r="P1055" s="11" t="s">
        <v>42</v>
      </c>
      <c r="Q1055" s="11" t="s">
        <v>43</v>
      </c>
      <c r="R1055" s="11" t="s">
        <v>44</v>
      </c>
      <c r="S1055" s="9" t="s">
        <v>2140</v>
      </c>
      <c r="T1055" s="9" t="s">
        <v>44</v>
      </c>
    </row>
    <row r="1056" spans="1:20">
      <c r="A1056" s="10">
        <v>1049</v>
      </c>
      <c r="B1056" s="10" t="s">
        <v>1362</v>
      </c>
      <c r="C1056" s="10" t="s">
        <v>1339</v>
      </c>
      <c r="D1056" s="10" t="s">
        <v>655</v>
      </c>
      <c r="E1056" s="10" t="s">
        <v>34</v>
      </c>
      <c r="F1056" s="10" t="s">
        <v>35</v>
      </c>
      <c r="G1056" s="8" t="s">
        <v>41</v>
      </c>
      <c r="H1056" s="12">
        <v>1</v>
      </c>
      <c r="I1056" s="12">
        <v>5</v>
      </c>
      <c r="J1056" s="15">
        <v>35000.0</v>
      </c>
      <c r="K1056" s="15"/>
      <c r="L1056" s="17">
        <f>IF(J1056&gt;0, K1056/J1056, 0)</f>
        <v>0</v>
      </c>
      <c r="M1056" s="15">
        <v>35000.0</v>
      </c>
      <c r="N1056" s="15"/>
      <c r="O1056" s="15">
        <f>M1056-N1056</f>
        <v>35000</v>
      </c>
      <c r="P1056" s="10" t="s">
        <v>42</v>
      </c>
      <c r="Q1056" s="10" t="s">
        <v>43</v>
      </c>
      <c r="R1056" s="10" t="s">
        <v>44</v>
      </c>
      <c r="S1056" s="8" t="s">
        <v>2206</v>
      </c>
      <c r="T1056" s="8" t="s">
        <v>44</v>
      </c>
    </row>
    <row r="1057" spans="1:20">
      <c r="A1057" s="11">
        <v>1050</v>
      </c>
      <c r="B1057" s="11" t="s">
        <v>1363</v>
      </c>
      <c r="C1057" s="11" t="s">
        <v>1339</v>
      </c>
      <c r="D1057" s="11" t="s">
        <v>655</v>
      </c>
      <c r="E1057" s="11" t="s">
        <v>34</v>
      </c>
      <c r="F1057" s="11" t="s">
        <v>35</v>
      </c>
      <c r="G1057" s="9" t="s">
        <v>41</v>
      </c>
      <c r="H1057" s="13">
        <v>1</v>
      </c>
      <c r="I1057" s="13">
        <v>2</v>
      </c>
      <c r="J1057" s="16">
        <v>14000.0</v>
      </c>
      <c r="K1057" s="16"/>
      <c r="L1057" s="18">
        <f>IF(J1057&gt;0, K1057/J1057, 0)</f>
        <v>0</v>
      </c>
      <c r="M1057" s="16">
        <v>14000.0</v>
      </c>
      <c r="N1057" s="16"/>
      <c r="O1057" s="16">
        <f>M1057-N1057</f>
        <v>14000</v>
      </c>
      <c r="P1057" s="11" t="s">
        <v>42</v>
      </c>
      <c r="Q1057" s="11" t="s">
        <v>43</v>
      </c>
      <c r="R1057" s="11" t="s">
        <v>44</v>
      </c>
      <c r="S1057" s="9" t="s">
        <v>2140</v>
      </c>
      <c r="T1057" s="9" t="s">
        <v>44</v>
      </c>
    </row>
    <row r="1058" spans="1:20">
      <c r="A1058" s="10">
        <v>1051</v>
      </c>
      <c r="B1058" s="10" t="s">
        <v>1364</v>
      </c>
      <c r="C1058" s="10" t="s">
        <v>1339</v>
      </c>
      <c r="D1058" s="10" t="s">
        <v>655</v>
      </c>
      <c r="E1058" s="10" t="s">
        <v>70</v>
      </c>
      <c r="F1058" s="10" t="s">
        <v>35</v>
      </c>
      <c r="G1058" s="8" t="s">
        <v>41</v>
      </c>
      <c r="H1058" s="12">
        <v>1</v>
      </c>
      <c r="I1058" s="12">
        <v>1</v>
      </c>
      <c r="J1058" s="15">
        <v>17000.0</v>
      </c>
      <c r="K1058" s="15"/>
      <c r="L1058" s="17">
        <f>IF(J1058&gt;0, K1058/J1058, 0)</f>
        <v>0</v>
      </c>
      <c r="M1058" s="15">
        <v>17000.0</v>
      </c>
      <c r="N1058" s="15"/>
      <c r="O1058" s="15">
        <f>M1058-N1058</f>
        <v>17000</v>
      </c>
      <c r="P1058" s="10" t="s">
        <v>42</v>
      </c>
      <c r="Q1058" s="10" t="s">
        <v>73</v>
      </c>
      <c r="R1058" s="10" t="s">
        <v>44</v>
      </c>
      <c r="S1058" s="8" t="s">
        <v>2039</v>
      </c>
      <c r="T1058" s="8" t="s">
        <v>44</v>
      </c>
    </row>
    <row r="1059" spans="1:20">
      <c r="A1059" s="11">
        <v>1052</v>
      </c>
      <c r="B1059" s="11" t="s">
        <v>1365</v>
      </c>
      <c r="C1059" s="11" t="s">
        <v>1339</v>
      </c>
      <c r="D1059" s="11" t="s">
        <v>655</v>
      </c>
      <c r="E1059" s="11" t="s">
        <v>34</v>
      </c>
      <c r="F1059" s="11" t="s">
        <v>35</v>
      </c>
      <c r="G1059" s="9" t="s">
        <v>41</v>
      </c>
      <c r="H1059" s="13">
        <v>1</v>
      </c>
      <c r="I1059" s="13">
        <v>1</v>
      </c>
      <c r="J1059" s="16">
        <v>7000.0</v>
      </c>
      <c r="K1059" s="16"/>
      <c r="L1059" s="18">
        <f>IF(J1059&gt;0, K1059/J1059, 0)</f>
        <v>0</v>
      </c>
      <c r="M1059" s="16">
        <v>7000.0</v>
      </c>
      <c r="N1059" s="16"/>
      <c r="O1059" s="16">
        <f>M1059-N1059</f>
        <v>7000</v>
      </c>
      <c r="P1059" s="11" t="s">
        <v>42</v>
      </c>
      <c r="Q1059" s="11" t="s">
        <v>43</v>
      </c>
      <c r="R1059" s="11" t="s">
        <v>44</v>
      </c>
      <c r="S1059" s="9" t="s">
        <v>2100</v>
      </c>
      <c r="T1059" s="9" t="s">
        <v>44</v>
      </c>
    </row>
    <row r="1060" spans="1:20">
      <c r="A1060" s="10">
        <v>1053</v>
      </c>
      <c r="B1060" s="10" t="s">
        <v>1366</v>
      </c>
      <c r="C1060" s="10" t="s">
        <v>1339</v>
      </c>
      <c r="D1060" s="10" t="s">
        <v>655</v>
      </c>
      <c r="E1060" s="10" t="s">
        <v>34</v>
      </c>
      <c r="F1060" s="10" t="s">
        <v>35</v>
      </c>
      <c r="G1060" s="8" t="s">
        <v>41</v>
      </c>
      <c r="H1060" s="12">
        <v>1</v>
      </c>
      <c r="I1060" s="12">
        <v>1</v>
      </c>
      <c r="J1060" s="15">
        <v>8000.0</v>
      </c>
      <c r="K1060" s="15"/>
      <c r="L1060" s="17">
        <f>IF(J1060&gt;0, K1060/J1060, 0)</f>
        <v>0</v>
      </c>
      <c r="M1060" s="15">
        <v>8000.0</v>
      </c>
      <c r="N1060" s="15"/>
      <c r="O1060" s="15">
        <f>M1060-N1060</f>
        <v>8000</v>
      </c>
      <c r="P1060" s="10" t="s">
        <v>42</v>
      </c>
      <c r="Q1060" s="10" t="s">
        <v>43</v>
      </c>
      <c r="R1060" s="10" t="s">
        <v>44</v>
      </c>
      <c r="S1060" s="8" t="s">
        <v>2098</v>
      </c>
      <c r="T1060" s="8" t="s">
        <v>44</v>
      </c>
    </row>
    <row r="1061" spans="1:20">
      <c r="A1061" s="11">
        <v>1054</v>
      </c>
      <c r="B1061" s="11" t="s">
        <v>1367</v>
      </c>
      <c r="C1061" s="11" t="s">
        <v>1339</v>
      </c>
      <c r="D1061" s="11" t="s">
        <v>655</v>
      </c>
      <c r="E1061" s="11" t="s">
        <v>34</v>
      </c>
      <c r="F1061" s="11" t="s">
        <v>35</v>
      </c>
      <c r="G1061" s="9" t="s">
        <v>41</v>
      </c>
      <c r="H1061" s="13">
        <v>1</v>
      </c>
      <c r="I1061" s="13">
        <v>1</v>
      </c>
      <c r="J1061" s="16">
        <v>9000.0</v>
      </c>
      <c r="K1061" s="16"/>
      <c r="L1061" s="18">
        <f>IF(J1061&gt;0, K1061/J1061, 0)</f>
        <v>0</v>
      </c>
      <c r="M1061" s="16">
        <v>9000.0</v>
      </c>
      <c r="N1061" s="16"/>
      <c r="O1061" s="16">
        <f>M1061-N1061</f>
        <v>9000</v>
      </c>
      <c r="P1061" s="11" t="s">
        <v>42</v>
      </c>
      <c r="Q1061" s="11" t="s">
        <v>43</v>
      </c>
      <c r="R1061" s="11" t="s">
        <v>44</v>
      </c>
      <c r="S1061" s="9" t="s">
        <v>2071</v>
      </c>
      <c r="T1061" s="9" t="s">
        <v>44</v>
      </c>
    </row>
    <row r="1062" spans="1:20">
      <c r="A1062" s="10">
        <v>1055</v>
      </c>
      <c r="B1062" s="10" t="s">
        <v>1368</v>
      </c>
      <c r="C1062" s="10" t="s">
        <v>1339</v>
      </c>
      <c r="D1062" s="10" t="s">
        <v>655</v>
      </c>
      <c r="E1062" s="10" t="s">
        <v>34</v>
      </c>
      <c r="F1062" s="10" t="s">
        <v>35</v>
      </c>
      <c r="G1062" s="8" t="s">
        <v>41</v>
      </c>
      <c r="H1062" s="12">
        <v>1</v>
      </c>
      <c r="I1062" s="12">
        <v>1</v>
      </c>
      <c r="J1062" s="15">
        <v>7000.0</v>
      </c>
      <c r="K1062" s="15"/>
      <c r="L1062" s="17">
        <f>IF(J1062&gt;0, K1062/J1062, 0)</f>
        <v>0</v>
      </c>
      <c r="M1062" s="15">
        <v>7000.0</v>
      </c>
      <c r="N1062" s="15"/>
      <c r="O1062" s="15">
        <f>M1062-N1062</f>
        <v>7000</v>
      </c>
      <c r="P1062" s="10" t="s">
        <v>42</v>
      </c>
      <c r="Q1062" s="10" t="s">
        <v>43</v>
      </c>
      <c r="R1062" s="10" t="s">
        <v>44</v>
      </c>
      <c r="S1062" s="8" t="s">
        <v>2020</v>
      </c>
      <c r="T1062" s="8" t="s">
        <v>44</v>
      </c>
    </row>
    <row r="1063" spans="1:20">
      <c r="A1063" s="11">
        <v>1056</v>
      </c>
      <c r="B1063" s="11" t="s">
        <v>1369</v>
      </c>
      <c r="C1063" s="11" t="s">
        <v>1339</v>
      </c>
      <c r="D1063" s="11" t="s">
        <v>655</v>
      </c>
      <c r="E1063" s="11" t="s">
        <v>34</v>
      </c>
      <c r="F1063" s="11" t="s">
        <v>35</v>
      </c>
      <c r="G1063" s="9" t="s">
        <v>41</v>
      </c>
      <c r="H1063" s="13">
        <v>1</v>
      </c>
      <c r="I1063" s="13">
        <v>1</v>
      </c>
      <c r="J1063" s="16">
        <v>8000.0</v>
      </c>
      <c r="K1063" s="16"/>
      <c r="L1063" s="18">
        <f>IF(J1063&gt;0, K1063/J1063, 0)</f>
        <v>0</v>
      </c>
      <c r="M1063" s="16">
        <v>8000.0</v>
      </c>
      <c r="N1063" s="16"/>
      <c r="O1063" s="16">
        <f>M1063-N1063</f>
        <v>8000</v>
      </c>
      <c r="P1063" s="11" t="s">
        <v>42</v>
      </c>
      <c r="Q1063" s="11" t="s">
        <v>43</v>
      </c>
      <c r="R1063" s="11" t="s">
        <v>44</v>
      </c>
      <c r="S1063" s="9" t="s">
        <v>2098</v>
      </c>
      <c r="T1063" s="9" t="s">
        <v>44</v>
      </c>
    </row>
    <row r="1064" spans="1:20">
      <c r="A1064" s="10">
        <v>1057</v>
      </c>
      <c r="B1064" s="10" t="s">
        <v>1370</v>
      </c>
      <c r="C1064" s="10" t="s">
        <v>1371</v>
      </c>
      <c r="D1064" s="10" t="s">
        <v>655</v>
      </c>
      <c r="E1064" s="10" t="s">
        <v>34</v>
      </c>
      <c r="F1064" s="10" t="s">
        <v>35</v>
      </c>
      <c r="G1064" s="8" t="s">
        <v>41</v>
      </c>
      <c r="H1064" s="12">
        <v>1</v>
      </c>
      <c r="I1064" s="12">
        <v>1</v>
      </c>
      <c r="J1064" s="15">
        <v>16000.0</v>
      </c>
      <c r="K1064" s="15"/>
      <c r="L1064" s="17">
        <f>IF(J1064&gt;0, K1064/J1064, 0)</f>
        <v>0</v>
      </c>
      <c r="M1064" s="15">
        <v>16000.0</v>
      </c>
      <c r="N1064" s="15"/>
      <c r="O1064" s="15">
        <f>M1064-N1064</f>
        <v>16000</v>
      </c>
      <c r="P1064" s="10" t="s">
        <v>42</v>
      </c>
      <c r="Q1064" s="10" t="s">
        <v>43</v>
      </c>
      <c r="R1064" s="10" t="s">
        <v>44</v>
      </c>
      <c r="S1064" s="8" t="s">
        <v>2072</v>
      </c>
      <c r="T1064" s="8" t="s">
        <v>44</v>
      </c>
    </row>
    <row r="1065" spans="1:20">
      <c r="A1065" s="11">
        <v>1058</v>
      </c>
      <c r="B1065" s="11" t="s">
        <v>1372</v>
      </c>
      <c r="C1065" s="11" t="s">
        <v>1371</v>
      </c>
      <c r="D1065" s="11" t="s">
        <v>655</v>
      </c>
      <c r="E1065" s="11" t="s">
        <v>34</v>
      </c>
      <c r="F1065" s="11" t="s">
        <v>35</v>
      </c>
      <c r="G1065" s="9" t="s">
        <v>41</v>
      </c>
      <c r="H1065" s="13">
        <v>1</v>
      </c>
      <c r="I1065" s="13">
        <v>1</v>
      </c>
      <c r="J1065" s="16">
        <v>9500.0</v>
      </c>
      <c r="K1065" s="16"/>
      <c r="L1065" s="18">
        <f>IF(J1065&gt;0, K1065/J1065, 0)</f>
        <v>0</v>
      </c>
      <c r="M1065" s="16">
        <v>9500.0</v>
      </c>
      <c r="N1065" s="16"/>
      <c r="O1065" s="16">
        <f>M1065-N1065</f>
        <v>9500</v>
      </c>
      <c r="P1065" s="11" t="s">
        <v>42</v>
      </c>
      <c r="Q1065" s="11" t="s">
        <v>43</v>
      </c>
      <c r="R1065" s="11" t="s">
        <v>44</v>
      </c>
      <c r="S1065" s="9" t="s">
        <v>2162</v>
      </c>
      <c r="T1065" s="9" t="s">
        <v>44</v>
      </c>
    </row>
    <row r="1066" spans="1:20">
      <c r="A1066" s="10">
        <v>1059</v>
      </c>
      <c r="B1066" s="10" t="s">
        <v>1373</v>
      </c>
      <c r="C1066" s="10" t="s">
        <v>1371</v>
      </c>
      <c r="D1066" s="10" t="s">
        <v>655</v>
      </c>
      <c r="E1066" s="10" t="s">
        <v>34</v>
      </c>
      <c r="F1066" s="10" t="s">
        <v>35</v>
      </c>
      <c r="G1066" s="8" t="s">
        <v>41</v>
      </c>
      <c r="H1066" s="12">
        <v>1</v>
      </c>
      <c r="I1066" s="12">
        <v>1</v>
      </c>
      <c r="J1066" s="15">
        <v>18000.0</v>
      </c>
      <c r="K1066" s="15"/>
      <c r="L1066" s="17">
        <f>IF(J1066&gt;0, K1066/J1066, 0)</f>
        <v>0</v>
      </c>
      <c r="M1066" s="15">
        <v>18000.0</v>
      </c>
      <c r="N1066" s="15"/>
      <c r="O1066" s="15">
        <f>M1066-N1066</f>
        <v>18000</v>
      </c>
      <c r="P1066" s="10" t="s">
        <v>42</v>
      </c>
      <c r="Q1066" s="10" t="s">
        <v>43</v>
      </c>
      <c r="R1066" s="10" t="s">
        <v>44</v>
      </c>
      <c r="S1066" s="8" t="s">
        <v>2170</v>
      </c>
      <c r="T1066" s="8" t="s">
        <v>44</v>
      </c>
    </row>
    <row r="1067" spans="1:20">
      <c r="A1067" s="11">
        <v>1060</v>
      </c>
      <c r="B1067" s="11" t="s">
        <v>1374</v>
      </c>
      <c r="C1067" s="11" t="s">
        <v>1371</v>
      </c>
      <c r="D1067" s="11" t="s">
        <v>655</v>
      </c>
      <c r="E1067" s="11" t="s">
        <v>34</v>
      </c>
      <c r="F1067" s="11" t="s">
        <v>35</v>
      </c>
      <c r="G1067" s="9" t="s">
        <v>41</v>
      </c>
      <c r="H1067" s="13">
        <v>1</v>
      </c>
      <c r="I1067" s="13">
        <v>1</v>
      </c>
      <c r="J1067" s="16">
        <v>9000.0</v>
      </c>
      <c r="K1067" s="16"/>
      <c r="L1067" s="18">
        <f>IF(J1067&gt;0, K1067/J1067, 0)</f>
        <v>0</v>
      </c>
      <c r="M1067" s="16">
        <v>9000.0</v>
      </c>
      <c r="N1067" s="16"/>
      <c r="O1067" s="16">
        <f>M1067-N1067</f>
        <v>9000</v>
      </c>
      <c r="P1067" s="11" t="s">
        <v>42</v>
      </c>
      <c r="Q1067" s="11" t="s">
        <v>43</v>
      </c>
      <c r="R1067" s="11" t="s">
        <v>44</v>
      </c>
      <c r="S1067" s="9" t="s">
        <v>2172</v>
      </c>
      <c r="T1067" s="9" t="s">
        <v>44</v>
      </c>
    </row>
    <row r="1068" spans="1:20">
      <c r="A1068" s="10">
        <v>1061</v>
      </c>
      <c r="B1068" s="10" t="s">
        <v>1375</v>
      </c>
      <c r="C1068" s="10" t="s">
        <v>1371</v>
      </c>
      <c r="D1068" s="10" t="s">
        <v>655</v>
      </c>
      <c r="E1068" s="10" t="s">
        <v>34</v>
      </c>
      <c r="F1068" s="10" t="s">
        <v>35</v>
      </c>
      <c r="G1068" s="8" t="s">
        <v>41</v>
      </c>
      <c r="H1068" s="12">
        <v>1</v>
      </c>
      <c r="I1068" s="12">
        <v>1</v>
      </c>
      <c r="J1068" s="15">
        <v>9000.0</v>
      </c>
      <c r="K1068" s="15"/>
      <c r="L1068" s="17">
        <f>IF(J1068&gt;0, K1068/J1068, 0)</f>
        <v>0</v>
      </c>
      <c r="M1068" s="15">
        <v>9000.0</v>
      </c>
      <c r="N1068" s="15"/>
      <c r="O1068" s="15">
        <f>M1068-N1068</f>
        <v>9000</v>
      </c>
      <c r="P1068" s="10" t="s">
        <v>42</v>
      </c>
      <c r="Q1068" s="10" t="s">
        <v>43</v>
      </c>
      <c r="R1068" s="10" t="s">
        <v>44</v>
      </c>
      <c r="S1068" s="8" t="s">
        <v>2109</v>
      </c>
      <c r="T1068" s="8" t="s">
        <v>44</v>
      </c>
    </row>
    <row r="1069" spans="1:20">
      <c r="A1069" s="11">
        <v>1062</v>
      </c>
      <c r="B1069" s="11" t="s">
        <v>1376</v>
      </c>
      <c r="C1069" s="11" t="s">
        <v>1371</v>
      </c>
      <c r="D1069" s="11" t="s">
        <v>655</v>
      </c>
      <c r="E1069" s="11" t="s">
        <v>70</v>
      </c>
      <c r="F1069" s="11" t="s">
        <v>35</v>
      </c>
      <c r="G1069" s="9" t="s">
        <v>41</v>
      </c>
      <c r="H1069" s="13">
        <v>1</v>
      </c>
      <c r="I1069" s="13">
        <v>1</v>
      </c>
      <c r="J1069" s="16">
        <v>8000.0</v>
      </c>
      <c r="K1069" s="16"/>
      <c r="L1069" s="18">
        <f>IF(J1069&gt;0, K1069/J1069, 0)</f>
        <v>0</v>
      </c>
      <c r="M1069" s="16">
        <v>8000.0</v>
      </c>
      <c r="N1069" s="16"/>
      <c r="O1069" s="16">
        <f>M1069-N1069</f>
        <v>8000</v>
      </c>
      <c r="P1069" s="11" t="s">
        <v>42</v>
      </c>
      <c r="Q1069" s="11" t="s">
        <v>73</v>
      </c>
      <c r="R1069" s="11" t="s">
        <v>44</v>
      </c>
      <c r="S1069" s="9" t="s">
        <v>2138</v>
      </c>
      <c r="T1069" s="9" t="s">
        <v>44</v>
      </c>
    </row>
    <row r="1070" spans="1:20">
      <c r="A1070" s="10">
        <v>1063</v>
      </c>
      <c r="B1070" s="10" t="s">
        <v>1377</v>
      </c>
      <c r="C1070" s="10" t="s">
        <v>1371</v>
      </c>
      <c r="D1070" s="10" t="s">
        <v>655</v>
      </c>
      <c r="E1070" s="10" t="s">
        <v>34</v>
      </c>
      <c r="F1070" s="10" t="s">
        <v>35</v>
      </c>
      <c r="G1070" s="8" t="s">
        <v>41</v>
      </c>
      <c r="H1070" s="12">
        <v>1</v>
      </c>
      <c r="I1070" s="12">
        <v>2</v>
      </c>
      <c r="J1070" s="15">
        <v>16000.0</v>
      </c>
      <c r="K1070" s="15"/>
      <c r="L1070" s="17">
        <f>IF(J1070&gt;0, K1070/J1070, 0)</f>
        <v>0</v>
      </c>
      <c r="M1070" s="15">
        <v>16000.0</v>
      </c>
      <c r="N1070" s="15"/>
      <c r="O1070" s="15">
        <f>M1070-N1070</f>
        <v>16000</v>
      </c>
      <c r="P1070" s="10" t="s">
        <v>42</v>
      </c>
      <c r="Q1070" s="10" t="s">
        <v>43</v>
      </c>
      <c r="R1070" s="10" t="s">
        <v>44</v>
      </c>
      <c r="S1070" s="8" t="s">
        <v>2085</v>
      </c>
      <c r="T1070" s="8" t="s">
        <v>44</v>
      </c>
    </row>
    <row r="1071" spans="1:20">
      <c r="A1071" s="11">
        <v>1064</v>
      </c>
      <c r="B1071" s="11" t="s">
        <v>1378</v>
      </c>
      <c r="C1071" s="11" t="s">
        <v>1371</v>
      </c>
      <c r="D1071" s="11" t="s">
        <v>655</v>
      </c>
      <c r="E1071" s="11" t="s">
        <v>34</v>
      </c>
      <c r="F1071" s="11" t="s">
        <v>35</v>
      </c>
      <c r="G1071" s="9" t="s">
        <v>41</v>
      </c>
      <c r="H1071" s="13">
        <v>1</v>
      </c>
      <c r="I1071" s="13">
        <v>1</v>
      </c>
      <c r="J1071" s="16">
        <v>8000.0</v>
      </c>
      <c r="K1071" s="16"/>
      <c r="L1071" s="18">
        <f>IF(J1071&gt;0, K1071/J1071, 0)</f>
        <v>0</v>
      </c>
      <c r="M1071" s="16">
        <v>8000.0</v>
      </c>
      <c r="N1071" s="16"/>
      <c r="O1071" s="16">
        <f>M1071-N1071</f>
        <v>8000</v>
      </c>
      <c r="P1071" s="11" t="s">
        <v>42</v>
      </c>
      <c r="Q1071" s="11" t="s">
        <v>43</v>
      </c>
      <c r="R1071" s="11" t="s">
        <v>44</v>
      </c>
      <c r="S1071" s="9" t="s">
        <v>2062</v>
      </c>
      <c r="T1071" s="9" t="s">
        <v>44</v>
      </c>
    </row>
    <row r="1072" spans="1:20">
      <c r="A1072" s="10">
        <v>1065</v>
      </c>
      <c r="B1072" s="10" t="s">
        <v>1379</v>
      </c>
      <c r="C1072" s="10" t="s">
        <v>1371</v>
      </c>
      <c r="D1072" s="10" t="s">
        <v>655</v>
      </c>
      <c r="E1072" s="10" t="s">
        <v>34</v>
      </c>
      <c r="F1072" s="10" t="s">
        <v>35</v>
      </c>
      <c r="G1072" s="8" t="s">
        <v>41</v>
      </c>
      <c r="H1072" s="12">
        <v>1</v>
      </c>
      <c r="I1072" s="12">
        <v>5</v>
      </c>
      <c r="J1072" s="15">
        <v>35000.0</v>
      </c>
      <c r="K1072" s="15"/>
      <c r="L1072" s="17">
        <f>IF(J1072&gt;0, K1072/J1072, 0)</f>
        <v>0</v>
      </c>
      <c r="M1072" s="15">
        <v>35000.0</v>
      </c>
      <c r="N1072" s="15"/>
      <c r="O1072" s="15">
        <f>M1072-N1072</f>
        <v>35000</v>
      </c>
      <c r="P1072" s="10" t="s">
        <v>42</v>
      </c>
      <c r="Q1072" s="10" t="s">
        <v>43</v>
      </c>
      <c r="R1072" s="10" t="s">
        <v>44</v>
      </c>
      <c r="S1072" s="8" t="s">
        <v>2206</v>
      </c>
      <c r="T1072" s="8" t="s">
        <v>44</v>
      </c>
    </row>
    <row r="1073" spans="1:20">
      <c r="A1073" s="11">
        <v>1066</v>
      </c>
      <c r="B1073" s="11" t="s">
        <v>1380</v>
      </c>
      <c r="C1073" s="11" t="s">
        <v>1371</v>
      </c>
      <c r="D1073" s="11" t="s">
        <v>655</v>
      </c>
      <c r="E1073" s="11" t="s">
        <v>34</v>
      </c>
      <c r="F1073" s="11" t="s">
        <v>35</v>
      </c>
      <c r="G1073" s="9" t="s">
        <v>41</v>
      </c>
      <c r="H1073" s="13">
        <v>1</v>
      </c>
      <c r="I1073" s="13">
        <v>1</v>
      </c>
      <c r="J1073" s="16">
        <v>16000.0</v>
      </c>
      <c r="K1073" s="16"/>
      <c r="L1073" s="18">
        <f>IF(J1073&gt;0, K1073/J1073, 0)</f>
        <v>0</v>
      </c>
      <c r="M1073" s="16">
        <v>16000.0</v>
      </c>
      <c r="N1073" s="16"/>
      <c r="O1073" s="16">
        <f>M1073-N1073</f>
        <v>16000</v>
      </c>
      <c r="P1073" s="11" t="s">
        <v>42</v>
      </c>
      <c r="Q1073" s="11" t="s">
        <v>43</v>
      </c>
      <c r="R1073" s="11" t="s">
        <v>44</v>
      </c>
      <c r="S1073" s="9" t="s">
        <v>2072</v>
      </c>
      <c r="T1073" s="9" t="s">
        <v>44</v>
      </c>
    </row>
    <row r="1074" spans="1:20">
      <c r="A1074" s="10">
        <v>1067</v>
      </c>
      <c r="B1074" s="10" t="s">
        <v>1381</v>
      </c>
      <c r="C1074" s="10" t="s">
        <v>1371</v>
      </c>
      <c r="D1074" s="10" t="s">
        <v>655</v>
      </c>
      <c r="E1074" s="10" t="s">
        <v>34</v>
      </c>
      <c r="F1074" s="10" t="s">
        <v>35</v>
      </c>
      <c r="G1074" s="8" t="s">
        <v>41</v>
      </c>
      <c r="H1074" s="12">
        <v>1</v>
      </c>
      <c r="I1074" s="12">
        <v>1</v>
      </c>
      <c r="J1074" s="15">
        <v>9000.0</v>
      </c>
      <c r="K1074" s="15"/>
      <c r="L1074" s="17">
        <f>IF(J1074&gt;0, K1074/J1074, 0)</f>
        <v>0</v>
      </c>
      <c r="M1074" s="15">
        <v>9000.0</v>
      </c>
      <c r="N1074" s="15"/>
      <c r="O1074" s="15">
        <f>M1074-N1074</f>
        <v>9000</v>
      </c>
      <c r="P1074" s="10" t="s">
        <v>42</v>
      </c>
      <c r="Q1074" s="10" t="s">
        <v>43</v>
      </c>
      <c r="R1074" s="10" t="s">
        <v>44</v>
      </c>
      <c r="S1074" s="8" t="s">
        <v>2071</v>
      </c>
      <c r="T1074" s="8" t="s">
        <v>44</v>
      </c>
    </row>
    <row r="1075" spans="1:20">
      <c r="A1075" s="11">
        <v>1068</v>
      </c>
      <c r="B1075" s="11" t="s">
        <v>1382</v>
      </c>
      <c r="C1075" s="11" t="s">
        <v>1371</v>
      </c>
      <c r="D1075" s="11" t="s">
        <v>655</v>
      </c>
      <c r="E1075" s="11" t="s">
        <v>34</v>
      </c>
      <c r="F1075" s="11" t="s">
        <v>35</v>
      </c>
      <c r="G1075" s="9" t="s">
        <v>41</v>
      </c>
      <c r="H1075" s="13">
        <v>1</v>
      </c>
      <c r="I1075" s="13">
        <v>2</v>
      </c>
      <c r="J1075" s="16">
        <v>14000.0</v>
      </c>
      <c r="K1075" s="16"/>
      <c r="L1075" s="18">
        <f>IF(J1075&gt;0, K1075/J1075, 0)</f>
        <v>0</v>
      </c>
      <c r="M1075" s="16">
        <v>14000.0</v>
      </c>
      <c r="N1075" s="16"/>
      <c r="O1075" s="16">
        <f>M1075-N1075</f>
        <v>14000</v>
      </c>
      <c r="P1075" s="11" t="s">
        <v>42</v>
      </c>
      <c r="Q1075" s="11" t="s">
        <v>43</v>
      </c>
      <c r="R1075" s="11" t="s">
        <v>44</v>
      </c>
      <c r="S1075" s="9" t="s">
        <v>2182</v>
      </c>
      <c r="T1075" s="9" t="s">
        <v>44</v>
      </c>
    </row>
    <row r="1076" spans="1:20">
      <c r="A1076" s="10">
        <v>1069</v>
      </c>
      <c r="B1076" s="10" t="s">
        <v>1383</v>
      </c>
      <c r="C1076" s="10" t="s">
        <v>1371</v>
      </c>
      <c r="D1076" s="10" t="s">
        <v>655</v>
      </c>
      <c r="E1076" s="10" t="s">
        <v>34</v>
      </c>
      <c r="F1076" s="10" t="s">
        <v>35</v>
      </c>
      <c r="G1076" s="8" t="s">
        <v>41</v>
      </c>
      <c r="H1076" s="12">
        <v>1</v>
      </c>
      <c r="I1076" s="12">
        <v>1</v>
      </c>
      <c r="J1076" s="15">
        <v>16000.0</v>
      </c>
      <c r="K1076" s="15"/>
      <c r="L1076" s="17">
        <f>IF(J1076&gt;0, K1076/J1076, 0)</f>
        <v>0</v>
      </c>
      <c r="M1076" s="15">
        <v>16000.0</v>
      </c>
      <c r="N1076" s="15"/>
      <c r="O1076" s="15">
        <f>M1076-N1076</f>
        <v>16000</v>
      </c>
      <c r="P1076" s="10" t="s">
        <v>42</v>
      </c>
      <c r="Q1076" s="10" t="s">
        <v>43</v>
      </c>
      <c r="R1076" s="10" t="s">
        <v>44</v>
      </c>
      <c r="S1076" s="8" t="s">
        <v>2090</v>
      </c>
      <c r="T1076" s="8" t="s">
        <v>44</v>
      </c>
    </row>
    <row r="1077" spans="1:20">
      <c r="A1077" s="11">
        <v>1070</v>
      </c>
      <c r="B1077" s="11" t="s">
        <v>1384</v>
      </c>
      <c r="C1077" s="11" t="s">
        <v>1371</v>
      </c>
      <c r="D1077" s="11" t="s">
        <v>655</v>
      </c>
      <c r="E1077" s="11" t="s">
        <v>34</v>
      </c>
      <c r="F1077" s="11" t="s">
        <v>35</v>
      </c>
      <c r="G1077" s="9" t="s">
        <v>41</v>
      </c>
      <c r="H1077" s="13">
        <v>1</v>
      </c>
      <c r="I1077" s="13">
        <v>2</v>
      </c>
      <c r="J1077" s="16">
        <v>14000.0</v>
      </c>
      <c r="K1077" s="16"/>
      <c r="L1077" s="18">
        <f>IF(J1077&gt;0, K1077/J1077, 0)</f>
        <v>0</v>
      </c>
      <c r="M1077" s="16">
        <v>14000.0</v>
      </c>
      <c r="N1077" s="16"/>
      <c r="O1077" s="16">
        <f>M1077-N1077</f>
        <v>14000</v>
      </c>
      <c r="P1077" s="11" t="s">
        <v>42</v>
      </c>
      <c r="Q1077" s="11" t="s">
        <v>43</v>
      </c>
      <c r="R1077" s="11" t="s">
        <v>44</v>
      </c>
      <c r="S1077" s="9" t="s">
        <v>2146</v>
      </c>
      <c r="T1077" s="9" t="s">
        <v>44</v>
      </c>
    </row>
    <row r="1078" spans="1:20">
      <c r="A1078" s="10">
        <v>1071</v>
      </c>
      <c r="B1078" s="10" t="s">
        <v>1385</v>
      </c>
      <c r="C1078" s="10" t="s">
        <v>1371</v>
      </c>
      <c r="D1078" s="10" t="s">
        <v>655</v>
      </c>
      <c r="E1078" s="10" t="s">
        <v>34</v>
      </c>
      <c r="F1078" s="10" t="s">
        <v>35</v>
      </c>
      <c r="G1078" s="8" t="s">
        <v>41</v>
      </c>
      <c r="H1078" s="12">
        <v>1</v>
      </c>
      <c r="I1078" s="12">
        <v>1</v>
      </c>
      <c r="J1078" s="15">
        <v>7000.0</v>
      </c>
      <c r="K1078" s="15"/>
      <c r="L1078" s="17">
        <f>IF(J1078&gt;0, K1078/J1078, 0)</f>
        <v>0</v>
      </c>
      <c r="M1078" s="15">
        <v>7000.0</v>
      </c>
      <c r="N1078" s="15"/>
      <c r="O1078" s="15">
        <f>M1078-N1078</f>
        <v>7000</v>
      </c>
      <c r="P1078" s="10" t="s">
        <v>42</v>
      </c>
      <c r="Q1078" s="10" t="s">
        <v>43</v>
      </c>
      <c r="R1078" s="10" t="s">
        <v>44</v>
      </c>
      <c r="S1078" s="8" t="s">
        <v>2142</v>
      </c>
      <c r="T1078" s="8" t="s">
        <v>44</v>
      </c>
    </row>
    <row r="1079" spans="1:20">
      <c r="A1079" s="11">
        <v>1072</v>
      </c>
      <c r="B1079" s="11" t="s">
        <v>1386</v>
      </c>
      <c r="C1079" s="11" t="s">
        <v>1371</v>
      </c>
      <c r="D1079" s="11" t="s">
        <v>655</v>
      </c>
      <c r="E1079" s="11" t="s">
        <v>34</v>
      </c>
      <c r="F1079" s="11" t="s">
        <v>35</v>
      </c>
      <c r="G1079" s="9" t="s">
        <v>41</v>
      </c>
      <c r="H1079" s="13">
        <v>1</v>
      </c>
      <c r="I1079" s="13">
        <v>1</v>
      </c>
      <c r="J1079" s="16">
        <v>8000.0</v>
      </c>
      <c r="K1079" s="16"/>
      <c r="L1079" s="18">
        <f>IF(J1079&gt;0, K1079/J1079, 0)</f>
        <v>0</v>
      </c>
      <c r="M1079" s="16">
        <v>8000.0</v>
      </c>
      <c r="N1079" s="16"/>
      <c r="O1079" s="16">
        <f>M1079-N1079</f>
        <v>8000</v>
      </c>
      <c r="P1079" s="11" t="s">
        <v>42</v>
      </c>
      <c r="Q1079" s="11" t="s">
        <v>43</v>
      </c>
      <c r="R1079" s="11" t="s">
        <v>44</v>
      </c>
      <c r="S1079" s="9" t="s">
        <v>2087</v>
      </c>
      <c r="T1079" s="9" t="s">
        <v>44</v>
      </c>
    </row>
    <row r="1080" spans="1:20">
      <c r="A1080" s="10">
        <v>1073</v>
      </c>
      <c r="B1080" s="10" t="s">
        <v>1387</v>
      </c>
      <c r="C1080" s="10" t="s">
        <v>1371</v>
      </c>
      <c r="D1080" s="10" t="s">
        <v>655</v>
      </c>
      <c r="E1080" s="10" t="s">
        <v>34</v>
      </c>
      <c r="F1080" s="10" t="s">
        <v>35</v>
      </c>
      <c r="G1080" s="8" t="s">
        <v>41</v>
      </c>
      <c r="H1080" s="12">
        <v>1</v>
      </c>
      <c r="I1080" s="12">
        <v>1</v>
      </c>
      <c r="J1080" s="15">
        <v>9000.0</v>
      </c>
      <c r="K1080" s="15"/>
      <c r="L1080" s="17">
        <f>IF(J1080&gt;0, K1080/J1080, 0)</f>
        <v>0</v>
      </c>
      <c r="M1080" s="15">
        <v>9000.0</v>
      </c>
      <c r="N1080" s="15"/>
      <c r="O1080" s="15">
        <f>M1080-N1080</f>
        <v>9000</v>
      </c>
      <c r="P1080" s="10" t="s">
        <v>42</v>
      </c>
      <c r="Q1080" s="10" t="s">
        <v>43</v>
      </c>
      <c r="R1080" s="10" t="s">
        <v>44</v>
      </c>
      <c r="S1080" s="8" t="s">
        <v>2203</v>
      </c>
      <c r="T1080" s="8" t="s">
        <v>44</v>
      </c>
    </row>
    <row r="1081" spans="1:20">
      <c r="A1081" s="11">
        <v>1074</v>
      </c>
      <c r="B1081" s="11" t="s">
        <v>1388</v>
      </c>
      <c r="C1081" s="11" t="s">
        <v>1371</v>
      </c>
      <c r="D1081" s="11" t="s">
        <v>655</v>
      </c>
      <c r="E1081" s="11" t="s">
        <v>34</v>
      </c>
      <c r="F1081" s="11" t="s">
        <v>35</v>
      </c>
      <c r="G1081" s="9" t="s">
        <v>41</v>
      </c>
      <c r="H1081" s="13">
        <v>1</v>
      </c>
      <c r="I1081" s="13">
        <v>1</v>
      </c>
      <c r="J1081" s="16">
        <v>7000.0</v>
      </c>
      <c r="K1081" s="16"/>
      <c r="L1081" s="18">
        <f>IF(J1081&gt;0, K1081/J1081, 0)</f>
        <v>0</v>
      </c>
      <c r="M1081" s="16">
        <v>7000.0</v>
      </c>
      <c r="N1081" s="16"/>
      <c r="O1081" s="16">
        <f>M1081-N1081</f>
        <v>7000</v>
      </c>
      <c r="P1081" s="11" t="s">
        <v>42</v>
      </c>
      <c r="Q1081" s="11" t="s">
        <v>43</v>
      </c>
      <c r="R1081" s="11" t="s">
        <v>44</v>
      </c>
      <c r="S1081" s="9" t="s">
        <v>2038</v>
      </c>
      <c r="T1081" s="9" t="s">
        <v>44</v>
      </c>
    </row>
    <row r="1082" spans="1:20">
      <c r="A1082" s="10">
        <v>1075</v>
      </c>
      <c r="B1082" s="10" t="s">
        <v>1389</v>
      </c>
      <c r="C1082" s="10" t="s">
        <v>1371</v>
      </c>
      <c r="D1082" s="10" t="s">
        <v>655</v>
      </c>
      <c r="E1082" s="10" t="s">
        <v>34</v>
      </c>
      <c r="F1082" s="10" t="s">
        <v>35</v>
      </c>
      <c r="G1082" s="8" t="s">
        <v>41</v>
      </c>
      <c r="H1082" s="12">
        <v>1</v>
      </c>
      <c r="I1082" s="12">
        <v>1</v>
      </c>
      <c r="J1082" s="15">
        <v>16000.0</v>
      </c>
      <c r="K1082" s="15"/>
      <c r="L1082" s="17">
        <f>IF(J1082&gt;0, K1082/J1082, 0)</f>
        <v>0</v>
      </c>
      <c r="M1082" s="15">
        <v>16000.0</v>
      </c>
      <c r="N1082" s="15"/>
      <c r="O1082" s="15">
        <f>M1082-N1082</f>
        <v>16000</v>
      </c>
      <c r="P1082" s="10" t="s">
        <v>42</v>
      </c>
      <c r="Q1082" s="10" t="s">
        <v>43</v>
      </c>
      <c r="R1082" s="10" t="s">
        <v>44</v>
      </c>
      <c r="S1082" s="8" t="s">
        <v>2040</v>
      </c>
      <c r="T1082" s="8" t="s">
        <v>44</v>
      </c>
    </row>
    <row r="1083" spans="1:20">
      <c r="A1083" s="11">
        <v>1076</v>
      </c>
      <c r="B1083" s="11" t="s">
        <v>1390</v>
      </c>
      <c r="C1083" s="11" t="s">
        <v>1371</v>
      </c>
      <c r="D1083" s="11" t="s">
        <v>655</v>
      </c>
      <c r="E1083" s="11" t="s">
        <v>34</v>
      </c>
      <c r="F1083" s="11" t="s">
        <v>35</v>
      </c>
      <c r="G1083" s="9" t="s">
        <v>41</v>
      </c>
      <c r="H1083" s="13">
        <v>1</v>
      </c>
      <c r="I1083" s="13">
        <v>1</v>
      </c>
      <c r="J1083" s="16">
        <v>8000.0</v>
      </c>
      <c r="K1083" s="16"/>
      <c r="L1083" s="18">
        <f>IF(J1083&gt;0, K1083/J1083, 0)</f>
        <v>0</v>
      </c>
      <c r="M1083" s="16">
        <v>8000.0</v>
      </c>
      <c r="N1083" s="16"/>
      <c r="O1083" s="16">
        <f>M1083-N1083</f>
        <v>8000</v>
      </c>
      <c r="P1083" s="11" t="s">
        <v>42</v>
      </c>
      <c r="Q1083" s="11" t="s">
        <v>43</v>
      </c>
      <c r="R1083" s="11" t="s">
        <v>44</v>
      </c>
      <c r="S1083" s="9" t="s">
        <v>2030</v>
      </c>
      <c r="T1083" s="9" t="s">
        <v>44</v>
      </c>
    </row>
    <row r="1084" spans="1:20">
      <c r="A1084" s="10">
        <v>1077</v>
      </c>
      <c r="B1084" s="10" t="s">
        <v>1391</v>
      </c>
      <c r="C1084" s="10" t="s">
        <v>1371</v>
      </c>
      <c r="D1084" s="10" t="s">
        <v>655</v>
      </c>
      <c r="E1084" s="10" t="s">
        <v>34</v>
      </c>
      <c r="F1084" s="10" t="s">
        <v>35</v>
      </c>
      <c r="G1084" s="8" t="s">
        <v>41</v>
      </c>
      <c r="H1084" s="12">
        <v>1</v>
      </c>
      <c r="I1084" s="12">
        <v>1</v>
      </c>
      <c r="J1084" s="15">
        <v>8500.0</v>
      </c>
      <c r="K1084" s="15"/>
      <c r="L1084" s="17">
        <f>IF(J1084&gt;0, K1084/J1084, 0)</f>
        <v>0</v>
      </c>
      <c r="M1084" s="15">
        <v>8500.0</v>
      </c>
      <c r="N1084" s="15"/>
      <c r="O1084" s="15">
        <f>M1084-N1084</f>
        <v>8500</v>
      </c>
      <c r="P1084" s="10" t="s">
        <v>42</v>
      </c>
      <c r="Q1084" s="10" t="s">
        <v>43</v>
      </c>
      <c r="R1084" s="10" t="s">
        <v>44</v>
      </c>
      <c r="S1084" s="8" t="s">
        <v>2024</v>
      </c>
      <c r="T1084" s="8" t="s">
        <v>44</v>
      </c>
    </row>
    <row r="1085" spans="1:20">
      <c r="A1085" s="11">
        <v>1078</v>
      </c>
      <c r="B1085" s="11" t="s">
        <v>1392</v>
      </c>
      <c r="C1085" s="11" t="s">
        <v>1371</v>
      </c>
      <c r="D1085" s="11" t="s">
        <v>655</v>
      </c>
      <c r="E1085" s="11" t="s">
        <v>34</v>
      </c>
      <c r="F1085" s="11" t="s">
        <v>35</v>
      </c>
      <c r="G1085" s="9" t="s">
        <v>41</v>
      </c>
      <c r="H1085" s="13">
        <v>1</v>
      </c>
      <c r="I1085" s="13">
        <v>1</v>
      </c>
      <c r="J1085" s="16">
        <v>8000.0</v>
      </c>
      <c r="K1085" s="16"/>
      <c r="L1085" s="18">
        <f>IF(J1085&gt;0, K1085/J1085, 0)</f>
        <v>0</v>
      </c>
      <c r="M1085" s="16">
        <v>8000.0</v>
      </c>
      <c r="N1085" s="16"/>
      <c r="O1085" s="16">
        <f>M1085-N1085</f>
        <v>8000</v>
      </c>
      <c r="P1085" s="11" t="s">
        <v>42</v>
      </c>
      <c r="Q1085" s="11" t="s">
        <v>43</v>
      </c>
      <c r="R1085" s="11" t="s">
        <v>44</v>
      </c>
      <c r="S1085" s="9" t="s">
        <v>2020</v>
      </c>
      <c r="T1085" s="9" t="s">
        <v>44</v>
      </c>
    </row>
    <row r="1086" spans="1:20">
      <c r="A1086" s="10">
        <v>1079</v>
      </c>
      <c r="B1086" s="10" t="s">
        <v>1393</v>
      </c>
      <c r="C1086" s="10" t="s">
        <v>1371</v>
      </c>
      <c r="D1086" s="10" t="s">
        <v>655</v>
      </c>
      <c r="E1086" s="10" t="s">
        <v>34</v>
      </c>
      <c r="F1086" s="10" t="s">
        <v>35</v>
      </c>
      <c r="G1086" s="8" t="s">
        <v>41</v>
      </c>
      <c r="H1086" s="12">
        <v>1</v>
      </c>
      <c r="I1086" s="12">
        <v>1</v>
      </c>
      <c r="J1086" s="15">
        <v>9500.0</v>
      </c>
      <c r="K1086" s="15"/>
      <c r="L1086" s="17">
        <f>IF(J1086&gt;0, K1086/J1086, 0)</f>
        <v>0</v>
      </c>
      <c r="M1086" s="15">
        <v>9500.0</v>
      </c>
      <c r="N1086" s="15"/>
      <c r="O1086" s="15">
        <f>M1086-N1086</f>
        <v>9500</v>
      </c>
      <c r="P1086" s="10" t="s">
        <v>42</v>
      </c>
      <c r="Q1086" s="10" t="s">
        <v>43</v>
      </c>
      <c r="R1086" s="10" t="s">
        <v>44</v>
      </c>
      <c r="S1086" s="8" t="s">
        <v>2081</v>
      </c>
      <c r="T1086" s="8" t="s">
        <v>44</v>
      </c>
    </row>
    <row r="1087" spans="1:20">
      <c r="A1087" s="11">
        <v>1080</v>
      </c>
      <c r="B1087" s="11" t="s">
        <v>1394</v>
      </c>
      <c r="C1087" s="11" t="s">
        <v>1371</v>
      </c>
      <c r="D1087" s="11" t="s">
        <v>655</v>
      </c>
      <c r="E1087" s="11" t="s">
        <v>34</v>
      </c>
      <c r="F1087" s="11" t="s">
        <v>35</v>
      </c>
      <c r="G1087" s="9" t="s">
        <v>41</v>
      </c>
      <c r="H1087" s="13">
        <v>1</v>
      </c>
      <c r="I1087" s="13">
        <v>1</v>
      </c>
      <c r="J1087" s="16">
        <v>18000.0</v>
      </c>
      <c r="K1087" s="16"/>
      <c r="L1087" s="18">
        <f>IF(J1087&gt;0, K1087/J1087, 0)</f>
        <v>0</v>
      </c>
      <c r="M1087" s="16">
        <v>18000.0</v>
      </c>
      <c r="N1087" s="16"/>
      <c r="O1087" s="16">
        <f>M1087-N1087</f>
        <v>18000</v>
      </c>
      <c r="P1087" s="11" t="s">
        <v>42</v>
      </c>
      <c r="Q1087" s="11" t="s">
        <v>43</v>
      </c>
      <c r="R1087" s="11" t="s">
        <v>44</v>
      </c>
      <c r="S1087" s="9" t="s">
        <v>2170</v>
      </c>
      <c r="T1087" s="9" t="s">
        <v>44</v>
      </c>
    </row>
    <row r="1088" spans="1:20">
      <c r="A1088" s="10">
        <v>1081</v>
      </c>
      <c r="B1088" s="10" t="s">
        <v>1395</v>
      </c>
      <c r="C1088" s="10" t="s">
        <v>1371</v>
      </c>
      <c r="D1088" s="10" t="s">
        <v>655</v>
      </c>
      <c r="E1088" s="10" t="s">
        <v>34</v>
      </c>
      <c r="F1088" s="10" t="s">
        <v>35</v>
      </c>
      <c r="G1088" s="8" t="s">
        <v>41</v>
      </c>
      <c r="H1088" s="12">
        <v>1</v>
      </c>
      <c r="I1088" s="12">
        <v>1</v>
      </c>
      <c r="J1088" s="15">
        <v>16500.0</v>
      </c>
      <c r="K1088" s="15"/>
      <c r="L1088" s="17">
        <f>IF(J1088&gt;0, K1088/J1088, 0)</f>
        <v>0</v>
      </c>
      <c r="M1088" s="15">
        <v>16500.0</v>
      </c>
      <c r="N1088" s="15"/>
      <c r="O1088" s="15">
        <f>M1088-N1088</f>
        <v>16500</v>
      </c>
      <c r="P1088" s="10" t="s">
        <v>42</v>
      </c>
      <c r="Q1088" s="10" t="s">
        <v>43</v>
      </c>
      <c r="R1088" s="10" t="s">
        <v>44</v>
      </c>
      <c r="S1088" s="8" t="s">
        <v>2070</v>
      </c>
      <c r="T1088" s="8" t="s">
        <v>44</v>
      </c>
    </row>
    <row r="1089" spans="1:20">
      <c r="A1089" s="11">
        <v>1082</v>
      </c>
      <c r="B1089" s="11" t="s">
        <v>1396</v>
      </c>
      <c r="C1089" s="11" t="s">
        <v>1371</v>
      </c>
      <c r="D1089" s="11" t="s">
        <v>655</v>
      </c>
      <c r="E1089" s="11" t="s">
        <v>34</v>
      </c>
      <c r="F1089" s="11" t="s">
        <v>35</v>
      </c>
      <c r="G1089" s="9" t="s">
        <v>41</v>
      </c>
      <c r="H1089" s="13">
        <v>1</v>
      </c>
      <c r="I1089" s="13">
        <v>1</v>
      </c>
      <c r="J1089" s="16">
        <v>7500.0</v>
      </c>
      <c r="K1089" s="16"/>
      <c r="L1089" s="18">
        <f>IF(J1089&gt;0, K1089/J1089, 0)</f>
        <v>0</v>
      </c>
      <c r="M1089" s="16">
        <v>7500.0</v>
      </c>
      <c r="N1089" s="16"/>
      <c r="O1089" s="16">
        <f>M1089-N1089</f>
        <v>7500</v>
      </c>
      <c r="P1089" s="11" t="s">
        <v>42</v>
      </c>
      <c r="Q1089" s="11" t="s">
        <v>43</v>
      </c>
      <c r="R1089" s="11" t="s">
        <v>44</v>
      </c>
      <c r="S1089" s="9" t="s">
        <v>2074</v>
      </c>
      <c r="T1089" s="9" t="s">
        <v>44</v>
      </c>
    </row>
    <row r="1090" spans="1:20">
      <c r="A1090" s="10">
        <v>1083</v>
      </c>
      <c r="B1090" s="10" t="s">
        <v>1397</v>
      </c>
      <c r="C1090" s="10" t="s">
        <v>1371</v>
      </c>
      <c r="D1090" s="10" t="s">
        <v>655</v>
      </c>
      <c r="E1090" s="10" t="s">
        <v>34</v>
      </c>
      <c r="F1090" s="10" t="s">
        <v>35</v>
      </c>
      <c r="G1090" s="8" t="s">
        <v>41</v>
      </c>
      <c r="H1090" s="12">
        <v>1</v>
      </c>
      <c r="I1090" s="12">
        <v>1</v>
      </c>
      <c r="J1090" s="15">
        <v>8000.0</v>
      </c>
      <c r="K1090" s="15"/>
      <c r="L1090" s="17">
        <f>IF(J1090&gt;0, K1090/J1090, 0)</f>
        <v>0</v>
      </c>
      <c r="M1090" s="15">
        <v>8000.0</v>
      </c>
      <c r="N1090" s="15"/>
      <c r="O1090" s="15">
        <f>M1090-N1090</f>
        <v>8000</v>
      </c>
      <c r="P1090" s="10" t="s">
        <v>42</v>
      </c>
      <c r="Q1090" s="10" t="s">
        <v>43</v>
      </c>
      <c r="R1090" s="10" t="s">
        <v>44</v>
      </c>
      <c r="S1090" s="8" t="s">
        <v>2022</v>
      </c>
      <c r="T1090" s="8" t="s">
        <v>44</v>
      </c>
    </row>
    <row r="1091" spans="1:20">
      <c r="A1091" s="11">
        <v>1084</v>
      </c>
      <c r="B1091" s="11" t="s">
        <v>1398</v>
      </c>
      <c r="C1091" s="11" t="s">
        <v>1371</v>
      </c>
      <c r="D1091" s="11" t="s">
        <v>655</v>
      </c>
      <c r="E1091" s="11" t="s">
        <v>34</v>
      </c>
      <c r="F1091" s="11" t="s">
        <v>35</v>
      </c>
      <c r="G1091" s="9" t="s">
        <v>41</v>
      </c>
      <c r="H1091" s="13">
        <v>1</v>
      </c>
      <c r="I1091" s="13">
        <v>1</v>
      </c>
      <c r="J1091" s="16">
        <v>8000.0</v>
      </c>
      <c r="K1091" s="16"/>
      <c r="L1091" s="18">
        <f>IF(J1091&gt;0, K1091/J1091, 0)</f>
        <v>0</v>
      </c>
      <c r="M1091" s="16">
        <v>8000.0</v>
      </c>
      <c r="N1091" s="16"/>
      <c r="O1091" s="16">
        <f>M1091-N1091</f>
        <v>8000</v>
      </c>
      <c r="P1091" s="11" t="s">
        <v>42</v>
      </c>
      <c r="Q1091" s="11" t="s">
        <v>43</v>
      </c>
      <c r="R1091" s="11" t="s">
        <v>44</v>
      </c>
      <c r="S1091" s="9" t="s">
        <v>2068</v>
      </c>
      <c r="T1091" s="9" t="s">
        <v>44</v>
      </c>
    </row>
    <row r="1092" spans="1:20">
      <c r="A1092" s="10">
        <v>1085</v>
      </c>
      <c r="B1092" s="10" t="s">
        <v>1399</v>
      </c>
      <c r="C1092" s="10" t="s">
        <v>1371</v>
      </c>
      <c r="D1092" s="10" t="s">
        <v>655</v>
      </c>
      <c r="E1092" s="10" t="s">
        <v>34</v>
      </c>
      <c r="F1092" s="10" t="s">
        <v>35</v>
      </c>
      <c r="G1092" s="8" t="s">
        <v>41</v>
      </c>
      <c r="H1092" s="12">
        <v>1</v>
      </c>
      <c r="I1092" s="12">
        <v>1</v>
      </c>
      <c r="J1092" s="15">
        <v>8000.0</v>
      </c>
      <c r="K1092" s="15"/>
      <c r="L1092" s="17">
        <f>IF(J1092&gt;0, K1092/J1092, 0)</f>
        <v>0</v>
      </c>
      <c r="M1092" s="15">
        <v>8000.0</v>
      </c>
      <c r="N1092" s="15"/>
      <c r="O1092" s="15">
        <f>M1092-N1092</f>
        <v>8000</v>
      </c>
      <c r="P1092" s="10" t="s">
        <v>42</v>
      </c>
      <c r="Q1092" s="10" t="s">
        <v>43</v>
      </c>
      <c r="R1092" s="10" t="s">
        <v>44</v>
      </c>
      <c r="S1092" s="8" t="s">
        <v>2108</v>
      </c>
      <c r="T1092" s="8" t="s">
        <v>44</v>
      </c>
    </row>
    <row r="1093" spans="1:20">
      <c r="A1093" s="11">
        <v>1086</v>
      </c>
      <c r="B1093" s="11" t="s">
        <v>1400</v>
      </c>
      <c r="C1093" s="11" t="s">
        <v>1371</v>
      </c>
      <c r="D1093" s="11" t="s">
        <v>655</v>
      </c>
      <c r="E1093" s="11" t="s">
        <v>70</v>
      </c>
      <c r="F1093" s="11" t="s">
        <v>35</v>
      </c>
      <c r="G1093" s="9" t="s">
        <v>41</v>
      </c>
      <c r="H1093" s="13">
        <v>1</v>
      </c>
      <c r="I1093" s="13">
        <v>1</v>
      </c>
      <c r="J1093" s="16">
        <v>9000.0</v>
      </c>
      <c r="K1093" s="16"/>
      <c r="L1093" s="18">
        <f>IF(J1093&gt;0, K1093/J1093, 0)</f>
        <v>0</v>
      </c>
      <c r="M1093" s="16">
        <v>9000.0</v>
      </c>
      <c r="N1093" s="16"/>
      <c r="O1093" s="16">
        <f>M1093-N1093</f>
        <v>9000</v>
      </c>
      <c r="P1093" s="11" t="s">
        <v>42</v>
      </c>
      <c r="Q1093" s="11" t="s">
        <v>73</v>
      </c>
      <c r="R1093" s="11" t="s">
        <v>44</v>
      </c>
      <c r="S1093" s="9" t="s">
        <v>2046</v>
      </c>
      <c r="T1093" s="9" t="s">
        <v>44</v>
      </c>
    </row>
    <row r="1094" spans="1:20">
      <c r="A1094" s="10">
        <v>1087</v>
      </c>
      <c r="B1094" s="10" t="s">
        <v>1401</v>
      </c>
      <c r="C1094" s="10" t="s">
        <v>1371</v>
      </c>
      <c r="D1094" s="10" t="s">
        <v>655</v>
      </c>
      <c r="E1094" s="10" t="s">
        <v>70</v>
      </c>
      <c r="F1094" s="10" t="s">
        <v>35</v>
      </c>
      <c r="G1094" s="8" t="s">
        <v>41</v>
      </c>
      <c r="H1094" s="12">
        <v>1</v>
      </c>
      <c r="I1094" s="12">
        <v>1</v>
      </c>
      <c r="J1094" s="15">
        <v>18000.0</v>
      </c>
      <c r="K1094" s="15"/>
      <c r="L1094" s="17">
        <f>IF(J1094&gt;0, K1094/J1094, 0)</f>
        <v>0</v>
      </c>
      <c r="M1094" s="15">
        <v>18000.0</v>
      </c>
      <c r="N1094" s="15"/>
      <c r="O1094" s="15">
        <f>M1094-N1094</f>
        <v>18000</v>
      </c>
      <c r="P1094" s="10" t="s">
        <v>42</v>
      </c>
      <c r="Q1094" s="10" t="s">
        <v>73</v>
      </c>
      <c r="R1094" s="10" t="s">
        <v>44</v>
      </c>
      <c r="S1094" s="8" t="s">
        <v>2039</v>
      </c>
      <c r="T1094" s="8" t="s">
        <v>44</v>
      </c>
    </row>
    <row r="1095" spans="1:20">
      <c r="A1095" s="11">
        <v>1088</v>
      </c>
      <c r="B1095" s="11" t="s">
        <v>1402</v>
      </c>
      <c r="C1095" s="11" t="s">
        <v>1371</v>
      </c>
      <c r="D1095" s="11" t="s">
        <v>655</v>
      </c>
      <c r="E1095" s="11" t="s">
        <v>34</v>
      </c>
      <c r="F1095" s="11" t="s">
        <v>35</v>
      </c>
      <c r="G1095" s="9" t="s">
        <v>41</v>
      </c>
      <c r="H1095" s="13">
        <v>1</v>
      </c>
      <c r="I1095" s="13">
        <v>1</v>
      </c>
      <c r="J1095" s="16">
        <v>8500.0</v>
      </c>
      <c r="K1095" s="16"/>
      <c r="L1095" s="18">
        <f>IF(J1095&gt;0, K1095/J1095, 0)</f>
        <v>0</v>
      </c>
      <c r="M1095" s="16">
        <v>8500.0</v>
      </c>
      <c r="N1095" s="16"/>
      <c r="O1095" s="16">
        <f>M1095-N1095</f>
        <v>8500</v>
      </c>
      <c r="P1095" s="11" t="s">
        <v>42</v>
      </c>
      <c r="Q1095" s="11" t="s">
        <v>43</v>
      </c>
      <c r="R1095" s="11" t="s">
        <v>44</v>
      </c>
      <c r="S1095" s="9" t="s">
        <v>2045</v>
      </c>
      <c r="T1095" s="9" t="s">
        <v>44</v>
      </c>
    </row>
    <row r="1096" spans="1:20">
      <c r="A1096" s="10">
        <v>1089</v>
      </c>
      <c r="B1096" s="10" t="s">
        <v>1403</v>
      </c>
      <c r="C1096" s="10" t="s">
        <v>1371</v>
      </c>
      <c r="D1096" s="10" t="s">
        <v>655</v>
      </c>
      <c r="E1096" s="10" t="s">
        <v>34</v>
      </c>
      <c r="F1096" s="10" t="s">
        <v>35</v>
      </c>
      <c r="G1096" s="8" t="s">
        <v>41</v>
      </c>
      <c r="H1096" s="12">
        <v>1</v>
      </c>
      <c r="I1096" s="12">
        <v>1</v>
      </c>
      <c r="J1096" s="15">
        <v>9500.0</v>
      </c>
      <c r="K1096" s="15"/>
      <c r="L1096" s="17">
        <f>IF(J1096&gt;0, K1096/J1096, 0)</f>
        <v>0</v>
      </c>
      <c r="M1096" s="15">
        <v>9500.0</v>
      </c>
      <c r="N1096" s="15"/>
      <c r="O1096" s="15">
        <f>M1096-N1096</f>
        <v>9500</v>
      </c>
      <c r="P1096" s="10" t="s">
        <v>42</v>
      </c>
      <c r="Q1096" s="10" t="s">
        <v>43</v>
      </c>
      <c r="R1096" s="10" t="s">
        <v>44</v>
      </c>
      <c r="S1096" s="8" t="s">
        <v>2075</v>
      </c>
      <c r="T1096" s="8" t="s">
        <v>44</v>
      </c>
    </row>
    <row r="1097" spans="1:20">
      <c r="A1097" s="11">
        <v>1090</v>
      </c>
      <c r="B1097" s="11" t="s">
        <v>1404</v>
      </c>
      <c r="C1097" s="11" t="s">
        <v>1371</v>
      </c>
      <c r="D1097" s="11" t="s">
        <v>655</v>
      </c>
      <c r="E1097" s="11" t="s">
        <v>34</v>
      </c>
      <c r="F1097" s="11" t="s">
        <v>35</v>
      </c>
      <c r="G1097" s="9" t="s">
        <v>41</v>
      </c>
      <c r="H1097" s="13">
        <v>1</v>
      </c>
      <c r="I1097" s="13">
        <v>1</v>
      </c>
      <c r="J1097" s="16">
        <v>9000.0</v>
      </c>
      <c r="K1097" s="16"/>
      <c r="L1097" s="18">
        <f>IF(J1097&gt;0, K1097/J1097, 0)</f>
        <v>0</v>
      </c>
      <c r="M1097" s="16">
        <v>9000.0</v>
      </c>
      <c r="N1097" s="16"/>
      <c r="O1097" s="16">
        <f>M1097-N1097</f>
        <v>9000</v>
      </c>
      <c r="P1097" s="11" t="s">
        <v>42</v>
      </c>
      <c r="Q1097" s="11" t="s">
        <v>43</v>
      </c>
      <c r="R1097" s="11" t="s">
        <v>44</v>
      </c>
      <c r="S1097" s="9" t="s">
        <v>2027</v>
      </c>
      <c r="T1097" s="9" t="s">
        <v>44</v>
      </c>
    </row>
    <row r="1098" spans="1:20">
      <c r="A1098" s="10">
        <v>1091</v>
      </c>
      <c r="B1098" s="10" t="s">
        <v>1405</v>
      </c>
      <c r="C1098" s="10" t="s">
        <v>1371</v>
      </c>
      <c r="D1098" s="10" t="s">
        <v>655</v>
      </c>
      <c r="E1098" s="10" t="s">
        <v>34</v>
      </c>
      <c r="F1098" s="10" t="s">
        <v>35</v>
      </c>
      <c r="G1098" s="8" t="s">
        <v>41</v>
      </c>
      <c r="H1098" s="12">
        <v>1</v>
      </c>
      <c r="I1098" s="12">
        <v>2</v>
      </c>
      <c r="J1098" s="15">
        <v>16000.0</v>
      </c>
      <c r="K1098" s="15"/>
      <c r="L1098" s="17">
        <f>IF(J1098&gt;0, K1098/J1098, 0)</f>
        <v>0</v>
      </c>
      <c r="M1098" s="15">
        <v>16000.0</v>
      </c>
      <c r="N1098" s="15"/>
      <c r="O1098" s="15">
        <f>M1098-N1098</f>
        <v>16000</v>
      </c>
      <c r="P1098" s="10" t="s">
        <v>42</v>
      </c>
      <c r="Q1098" s="10" t="s">
        <v>43</v>
      </c>
      <c r="R1098" s="10" t="s">
        <v>44</v>
      </c>
      <c r="S1098" s="8" t="s">
        <v>2044</v>
      </c>
      <c r="T1098" s="8" t="s">
        <v>44</v>
      </c>
    </row>
    <row r="1099" spans="1:20">
      <c r="A1099" s="11">
        <v>1092</v>
      </c>
      <c r="B1099" s="11" t="s">
        <v>1406</v>
      </c>
      <c r="C1099" s="11" t="s">
        <v>1371</v>
      </c>
      <c r="D1099" s="11" t="s">
        <v>655</v>
      </c>
      <c r="E1099" s="11" t="s">
        <v>34</v>
      </c>
      <c r="F1099" s="11" t="s">
        <v>35</v>
      </c>
      <c r="G1099" s="9" t="s">
        <v>41</v>
      </c>
      <c r="H1099" s="13">
        <v>1</v>
      </c>
      <c r="I1099" s="13">
        <v>3</v>
      </c>
      <c r="J1099" s="16">
        <v>24000.0</v>
      </c>
      <c r="K1099" s="16"/>
      <c r="L1099" s="18">
        <f>IF(J1099&gt;0, K1099/J1099, 0)</f>
        <v>0</v>
      </c>
      <c r="M1099" s="16">
        <v>24000.0</v>
      </c>
      <c r="N1099" s="16"/>
      <c r="O1099" s="16">
        <f>M1099-N1099</f>
        <v>24000</v>
      </c>
      <c r="P1099" s="11" t="s">
        <v>42</v>
      </c>
      <c r="Q1099" s="11" t="s">
        <v>43</v>
      </c>
      <c r="R1099" s="11" t="s">
        <v>44</v>
      </c>
      <c r="S1099" s="9" t="s">
        <v>2204</v>
      </c>
      <c r="T1099" s="9" t="s">
        <v>44</v>
      </c>
    </row>
    <row r="1100" spans="1:20">
      <c r="A1100" s="10">
        <v>1093</v>
      </c>
      <c r="B1100" s="10" t="s">
        <v>1407</v>
      </c>
      <c r="C1100" s="10" t="s">
        <v>1371</v>
      </c>
      <c r="D1100" s="10" t="s">
        <v>655</v>
      </c>
      <c r="E1100" s="10" t="s">
        <v>34</v>
      </c>
      <c r="F1100" s="10" t="s">
        <v>35</v>
      </c>
      <c r="G1100" s="8" t="s">
        <v>41</v>
      </c>
      <c r="H1100" s="12">
        <v>1</v>
      </c>
      <c r="I1100" s="12">
        <v>2</v>
      </c>
      <c r="J1100" s="15">
        <v>17000.0</v>
      </c>
      <c r="K1100" s="15"/>
      <c r="L1100" s="17">
        <f>IF(J1100&gt;0, K1100/J1100, 0)</f>
        <v>0</v>
      </c>
      <c r="M1100" s="15">
        <v>17000.0</v>
      </c>
      <c r="N1100" s="15"/>
      <c r="O1100" s="15">
        <f>M1100-N1100</f>
        <v>17000</v>
      </c>
      <c r="P1100" s="10" t="s">
        <v>42</v>
      </c>
      <c r="Q1100" s="10" t="s">
        <v>43</v>
      </c>
      <c r="R1100" s="10" t="s">
        <v>44</v>
      </c>
      <c r="S1100" s="8" t="s">
        <v>2186</v>
      </c>
      <c r="T1100" s="8" t="s">
        <v>44</v>
      </c>
    </row>
    <row r="1101" spans="1:20">
      <c r="A1101" s="11">
        <v>1094</v>
      </c>
      <c r="B1101" s="11" t="s">
        <v>1408</v>
      </c>
      <c r="C1101" s="11" t="s">
        <v>1371</v>
      </c>
      <c r="D1101" s="11" t="s">
        <v>655</v>
      </c>
      <c r="E1101" s="11" t="s">
        <v>34</v>
      </c>
      <c r="F1101" s="11" t="s">
        <v>35</v>
      </c>
      <c r="G1101" s="9" t="s">
        <v>41</v>
      </c>
      <c r="H1101" s="13">
        <v>1</v>
      </c>
      <c r="I1101" s="13">
        <v>1</v>
      </c>
      <c r="J1101" s="16">
        <v>18000.0</v>
      </c>
      <c r="K1101" s="16"/>
      <c r="L1101" s="18">
        <f>IF(J1101&gt;0, K1101/J1101, 0)</f>
        <v>0</v>
      </c>
      <c r="M1101" s="16">
        <v>18000.0</v>
      </c>
      <c r="N1101" s="16"/>
      <c r="O1101" s="16">
        <f>M1101-N1101</f>
        <v>18000</v>
      </c>
      <c r="P1101" s="11" t="s">
        <v>42</v>
      </c>
      <c r="Q1101" s="11" t="s">
        <v>43</v>
      </c>
      <c r="R1101" s="11" t="s">
        <v>44</v>
      </c>
      <c r="S1101" s="9" t="s">
        <v>2065</v>
      </c>
      <c r="T1101" s="9" t="s">
        <v>44</v>
      </c>
    </row>
    <row r="1102" spans="1:20">
      <c r="A1102" s="10">
        <v>1095</v>
      </c>
      <c r="B1102" s="10" t="s">
        <v>1409</v>
      </c>
      <c r="C1102" s="10" t="s">
        <v>1371</v>
      </c>
      <c r="D1102" s="10" t="s">
        <v>655</v>
      </c>
      <c r="E1102" s="10" t="s">
        <v>34</v>
      </c>
      <c r="F1102" s="10" t="s">
        <v>35</v>
      </c>
      <c r="G1102" s="8" t="s">
        <v>41</v>
      </c>
      <c r="H1102" s="12">
        <v>1</v>
      </c>
      <c r="I1102" s="12">
        <v>1</v>
      </c>
      <c r="J1102" s="15">
        <v>7500.0</v>
      </c>
      <c r="K1102" s="15"/>
      <c r="L1102" s="17">
        <f>IF(J1102&gt;0, K1102/J1102, 0)</f>
        <v>0</v>
      </c>
      <c r="M1102" s="15">
        <v>7500.0</v>
      </c>
      <c r="N1102" s="15"/>
      <c r="O1102" s="15">
        <f>M1102-N1102</f>
        <v>7500</v>
      </c>
      <c r="P1102" s="10" t="s">
        <v>42</v>
      </c>
      <c r="Q1102" s="10" t="s">
        <v>43</v>
      </c>
      <c r="R1102" s="10" t="s">
        <v>44</v>
      </c>
      <c r="S1102" s="8" t="s">
        <v>2023</v>
      </c>
      <c r="T1102" s="8" t="s">
        <v>44</v>
      </c>
    </row>
    <row r="1103" spans="1:20">
      <c r="A1103" s="11">
        <v>1096</v>
      </c>
      <c r="B1103" s="11" t="s">
        <v>1410</v>
      </c>
      <c r="C1103" s="11" t="s">
        <v>1371</v>
      </c>
      <c r="D1103" s="11" t="s">
        <v>655</v>
      </c>
      <c r="E1103" s="11" t="s">
        <v>34</v>
      </c>
      <c r="F1103" s="11" t="s">
        <v>35</v>
      </c>
      <c r="G1103" s="9" t="s">
        <v>41</v>
      </c>
      <c r="H1103" s="13">
        <v>1</v>
      </c>
      <c r="I1103" s="13">
        <v>1</v>
      </c>
      <c r="J1103" s="16">
        <v>8500.0</v>
      </c>
      <c r="K1103" s="16"/>
      <c r="L1103" s="18">
        <f>IF(J1103&gt;0, K1103/J1103, 0)</f>
        <v>0</v>
      </c>
      <c r="M1103" s="16">
        <v>8500.0</v>
      </c>
      <c r="N1103" s="16"/>
      <c r="O1103" s="16">
        <f>M1103-N1103</f>
        <v>8500</v>
      </c>
      <c r="P1103" s="11" t="s">
        <v>42</v>
      </c>
      <c r="Q1103" s="11" t="s">
        <v>43</v>
      </c>
      <c r="R1103" s="11" t="s">
        <v>44</v>
      </c>
      <c r="S1103" s="9" t="s">
        <v>2045</v>
      </c>
      <c r="T1103" s="9" t="s">
        <v>44</v>
      </c>
    </row>
    <row r="1104" spans="1:20">
      <c r="A1104" s="10">
        <v>1097</v>
      </c>
      <c r="B1104" s="10" t="s">
        <v>1411</v>
      </c>
      <c r="C1104" s="10" t="s">
        <v>1371</v>
      </c>
      <c r="D1104" s="10" t="s">
        <v>655</v>
      </c>
      <c r="E1104" s="10" t="s">
        <v>34</v>
      </c>
      <c r="F1104" s="10" t="s">
        <v>35</v>
      </c>
      <c r="G1104" s="8" t="s">
        <v>41</v>
      </c>
      <c r="H1104" s="12">
        <v>1</v>
      </c>
      <c r="I1104" s="12">
        <v>1</v>
      </c>
      <c r="J1104" s="15">
        <v>18000.0</v>
      </c>
      <c r="K1104" s="15"/>
      <c r="L1104" s="17">
        <f>IF(J1104&gt;0, K1104/J1104, 0)</f>
        <v>0</v>
      </c>
      <c r="M1104" s="15">
        <v>18000.0</v>
      </c>
      <c r="N1104" s="15"/>
      <c r="O1104" s="15">
        <f>M1104-N1104</f>
        <v>18000</v>
      </c>
      <c r="P1104" s="10" t="s">
        <v>42</v>
      </c>
      <c r="Q1104" s="10" t="s">
        <v>43</v>
      </c>
      <c r="R1104" s="10" t="s">
        <v>44</v>
      </c>
      <c r="S1104" s="8" t="s">
        <v>2021</v>
      </c>
      <c r="T1104" s="8" t="s">
        <v>44</v>
      </c>
    </row>
    <row r="1105" spans="1:20">
      <c r="A1105" s="11">
        <v>1098</v>
      </c>
      <c r="B1105" s="11" t="s">
        <v>1412</v>
      </c>
      <c r="C1105" s="11" t="s">
        <v>1371</v>
      </c>
      <c r="D1105" s="11" t="s">
        <v>655</v>
      </c>
      <c r="E1105" s="11" t="s">
        <v>34</v>
      </c>
      <c r="F1105" s="11" t="s">
        <v>35</v>
      </c>
      <c r="G1105" s="9" t="s">
        <v>41</v>
      </c>
      <c r="H1105" s="13">
        <v>1</v>
      </c>
      <c r="I1105" s="13">
        <v>1</v>
      </c>
      <c r="J1105" s="16">
        <v>7500.0</v>
      </c>
      <c r="K1105" s="16"/>
      <c r="L1105" s="18">
        <f>IF(J1105&gt;0, K1105/J1105, 0)</f>
        <v>0</v>
      </c>
      <c r="M1105" s="16">
        <v>7500.0</v>
      </c>
      <c r="N1105" s="16"/>
      <c r="O1105" s="16">
        <f>M1105-N1105</f>
        <v>7500</v>
      </c>
      <c r="P1105" s="11" t="s">
        <v>42</v>
      </c>
      <c r="Q1105" s="11" t="s">
        <v>43</v>
      </c>
      <c r="R1105" s="11" t="s">
        <v>44</v>
      </c>
      <c r="S1105" s="9" t="s">
        <v>2046</v>
      </c>
      <c r="T1105" s="9" t="s">
        <v>44</v>
      </c>
    </row>
    <row r="1106" spans="1:20">
      <c r="A1106" s="10">
        <v>1099</v>
      </c>
      <c r="B1106" s="10" t="s">
        <v>1413</v>
      </c>
      <c r="C1106" s="10" t="s">
        <v>1371</v>
      </c>
      <c r="D1106" s="10" t="s">
        <v>655</v>
      </c>
      <c r="E1106" s="10" t="s">
        <v>34</v>
      </c>
      <c r="F1106" s="10" t="s">
        <v>35</v>
      </c>
      <c r="G1106" s="8" t="s">
        <v>41</v>
      </c>
      <c r="H1106" s="12">
        <v>1</v>
      </c>
      <c r="I1106" s="12">
        <v>1</v>
      </c>
      <c r="J1106" s="15">
        <v>9500.0</v>
      </c>
      <c r="K1106" s="15"/>
      <c r="L1106" s="17">
        <f>IF(J1106&gt;0, K1106/J1106, 0)</f>
        <v>0</v>
      </c>
      <c r="M1106" s="15">
        <v>9500.0</v>
      </c>
      <c r="N1106" s="15"/>
      <c r="O1106" s="15">
        <f>M1106-N1106</f>
        <v>9500</v>
      </c>
      <c r="P1106" s="10" t="s">
        <v>42</v>
      </c>
      <c r="Q1106" s="10" t="s">
        <v>43</v>
      </c>
      <c r="R1106" s="10" t="s">
        <v>44</v>
      </c>
      <c r="S1106" s="8" t="s">
        <v>2071</v>
      </c>
      <c r="T1106" s="8" t="s">
        <v>44</v>
      </c>
    </row>
    <row r="1107" spans="1:20">
      <c r="A1107" s="11">
        <v>1100</v>
      </c>
      <c r="B1107" s="11" t="s">
        <v>1414</v>
      </c>
      <c r="C1107" s="11" t="s">
        <v>1371</v>
      </c>
      <c r="D1107" s="11" t="s">
        <v>655</v>
      </c>
      <c r="E1107" s="11" t="s">
        <v>34</v>
      </c>
      <c r="F1107" s="11" t="s">
        <v>35</v>
      </c>
      <c r="G1107" s="9" t="s">
        <v>41</v>
      </c>
      <c r="H1107" s="13">
        <v>1</v>
      </c>
      <c r="I1107" s="13">
        <v>1</v>
      </c>
      <c r="J1107" s="16">
        <v>9000.0</v>
      </c>
      <c r="K1107" s="16"/>
      <c r="L1107" s="18">
        <f>IF(J1107&gt;0, K1107/J1107, 0)</f>
        <v>0</v>
      </c>
      <c r="M1107" s="16">
        <v>9000.0</v>
      </c>
      <c r="N1107" s="16"/>
      <c r="O1107" s="16">
        <f>M1107-N1107</f>
        <v>9000</v>
      </c>
      <c r="P1107" s="11" t="s">
        <v>42</v>
      </c>
      <c r="Q1107" s="11" t="s">
        <v>43</v>
      </c>
      <c r="R1107" s="11" t="s">
        <v>44</v>
      </c>
      <c r="S1107" s="9" t="s">
        <v>2129</v>
      </c>
      <c r="T1107" s="9" t="s">
        <v>44</v>
      </c>
    </row>
    <row r="1108" spans="1:20">
      <c r="A1108" s="10">
        <v>1101</v>
      </c>
      <c r="B1108" s="10" t="s">
        <v>1415</v>
      </c>
      <c r="C1108" s="10" t="s">
        <v>1371</v>
      </c>
      <c r="D1108" s="10" t="s">
        <v>655</v>
      </c>
      <c r="E1108" s="10" t="s">
        <v>34</v>
      </c>
      <c r="F1108" s="10" t="s">
        <v>35</v>
      </c>
      <c r="G1108" s="8" t="s">
        <v>41</v>
      </c>
      <c r="H1108" s="12">
        <v>1</v>
      </c>
      <c r="I1108" s="12">
        <v>2</v>
      </c>
      <c r="J1108" s="15">
        <v>16000.0</v>
      </c>
      <c r="K1108" s="15"/>
      <c r="L1108" s="17">
        <f>IF(J1108&gt;0, K1108/J1108, 0)</f>
        <v>0</v>
      </c>
      <c r="M1108" s="15">
        <v>16000.0</v>
      </c>
      <c r="N1108" s="15"/>
      <c r="O1108" s="15">
        <f>M1108-N1108</f>
        <v>16000</v>
      </c>
      <c r="P1108" s="10" t="s">
        <v>42</v>
      </c>
      <c r="Q1108" s="10" t="s">
        <v>43</v>
      </c>
      <c r="R1108" s="10" t="s">
        <v>44</v>
      </c>
      <c r="S1108" s="8" t="s">
        <v>2044</v>
      </c>
      <c r="T1108" s="8" t="s">
        <v>44</v>
      </c>
    </row>
    <row r="1109" spans="1:20">
      <c r="A1109" s="11">
        <v>1102</v>
      </c>
      <c r="B1109" s="11" t="s">
        <v>1416</v>
      </c>
      <c r="C1109" s="11" t="s">
        <v>1371</v>
      </c>
      <c r="D1109" s="11" t="s">
        <v>655</v>
      </c>
      <c r="E1109" s="11" t="s">
        <v>34</v>
      </c>
      <c r="F1109" s="11" t="s">
        <v>35</v>
      </c>
      <c r="G1109" s="9" t="s">
        <v>41</v>
      </c>
      <c r="H1109" s="13">
        <v>1</v>
      </c>
      <c r="I1109" s="13">
        <v>1</v>
      </c>
      <c r="J1109" s="16">
        <v>17000.0</v>
      </c>
      <c r="K1109" s="16"/>
      <c r="L1109" s="18">
        <f>IF(J1109&gt;0, K1109/J1109, 0)</f>
        <v>0</v>
      </c>
      <c r="M1109" s="16">
        <v>17000.0</v>
      </c>
      <c r="N1109" s="16"/>
      <c r="O1109" s="16">
        <f>M1109-N1109</f>
        <v>17000</v>
      </c>
      <c r="P1109" s="11" t="s">
        <v>42</v>
      </c>
      <c r="Q1109" s="11" t="s">
        <v>43</v>
      </c>
      <c r="R1109" s="11" t="s">
        <v>44</v>
      </c>
      <c r="S1109" s="9" t="s">
        <v>2039</v>
      </c>
      <c r="T1109" s="9" t="s">
        <v>44</v>
      </c>
    </row>
    <row r="1110" spans="1:20">
      <c r="A1110" s="10">
        <v>1103</v>
      </c>
      <c r="B1110" s="10" t="s">
        <v>1417</v>
      </c>
      <c r="C1110" s="10" t="s">
        <v>1371</v>
      </c>
      <c r="D1110" s="10" t="s">
        <v>655</v>
      </c>
      <c r="E1110" s="10" t="s">
        <v>34</v>
      </c>
      <c r="F1110" s="10" t="s">
        <v>35</v>
      </c>
      <c r="G1110" s="8" t="s">
        <v>41</v>
      </c>
      <c r="H1110" s="12">
        <v>1</v>
      </c>
      <c r="I1110" s="12">
        <v>1</v>
      </c>
      <c r="J1110" s="15">
        <v>8000.0</v>
      </c>
      <c r="K1110" s="15"/>
      <c r="L1110" s="17">
        <f>IF(J1110&gt;0, K1110/J1110, 0)</f>
        <v>0</v>
      </c>
      <c r="M1110" s="15">
        <v>8000.0</v>
      </c>
      <c r="N1110" s="15"/>
      <c r="O1110" s="15">
        <f>M1110-N1110</f>
        <v>8000</v>
      </c>
      <c r="P1110" s="10" t="s">
        <v>42</v>
      </c>
      <c r="Q1110" s="10" t="s">
        <v>43</v>
      </c>
      <c r="R1110" s="10" t="s">
        <v>44</v>
      </c>
      <c r="S1110" s="8" t="s">
        <v>2045</v>
      </c>
      <c r="T1110" s="8" t="s">
        <v>44</v>
      </c>
    </row>
    <row r="1111" spans="1:20">
      <c r="A1111" s="11">
        <v>1104</v>
      </c>
      <c r="B1111" s="11" t="s">
        <v>1418</v>
      </c>
      <c r="C1111" s="11" t="s">
        <v>1371</v>
      </c>
      <c r="D1111" s="11" t="s">
        <v>655</v>
      </c>
      <c r="E1111" s="11" t="s">
        <v>34</v>
      </c>
      <c r="F1111" s="11" t="s">
        <v>35</v>
      </c>
      <c r="G1111" s="9" t="s">
        <v>41</v>
      </c>
      <c r="H1111" s="13">
        <v>1</v>
      </c>
      <c r="I1111" s="13">
        <v>1</v>
      </c>
      <c r="J1111" s="16">
        <v>7000.0</v>
      </c>
      <c r="K1111" s="16"/>
      <c r="L1111" s="18">
        <f>IF(J1111&gt;0, K1111/J1111, 0)</f>
        <v>0</v>
      </c>
      <c r="M1111" s="16">
        <v>7000.0</v>
      </c>
      <c r="N1111" s="16"/>
      <c r="O1111" s="16">
        <f>M1111-N1111</f>
        <v>7000</v>
      </c>
      <c r="P1111" s="11" t="s">
        <v>42</v>
      </c>
      <c r="Q1111" s="11" t="s">
        <v>43</v>
      </c>
      <c r="R1111" s="11" t="s">
        <v>44</v>
      </c>
      <c r="S1111" s="9" t="s">
        <v>2100</v>
      </c>
      <c r="T1111" s="9" t="s">
        <v>44</v>
      </c>
    </row>
    <row r="1112" spans="1:20">
      <c r="A1112" s="10">
        <v>1105</v>
      </c>
      <c r="B1112" s="10" t="s">
        <v>1419</v>
      </c>
      <c r="C1112" s="10" t="s">
        <v>1371</v>
      </c>
      <c r="D1112" s="10" t="s">
        <v>655</v>
      </c>
      <c r="E1112" s="10" t="s">
        <v>34</v>
      </c>
      <c r="F1112" s="10" t="s">
        <v>35</v>
      </c>
      <c r="G1112" s="8" t="s">
        <v>41</v>
      </c>
      <c r="H1112" s="12">
        <v>1</v>
      </c>
      <c r="I1112" s="12">
        <v>1</v>
      </c>
      <c r="J1112" s="15">
        <v>7000.0</v>
      </c>
      <c r="K1112" s="15"/>
      <c r="L1112" s="17">
        <f>IF(J1112&gt;0, K1112/J1112, 0)</f>
        <v>0</v>
      </c>
      <c r="M1112" s="15">
        <v>7000.0</v>
      </c>
      <c r="N1112" s="15"/>
      <c r="O1112" s="15">
        <f>M1112-N1112</f>
        <v>7000</v>
      </c>
      <c r="P1112" s="10" t="s">
        <v>42</v>
      </c>
      <c r="Q1112" s="10" t="s">
        <v>43</v>
      </c>
      <c r="R1112" s="10" t="s">
        <v>44</v>
      </c>
      <c r="S1112" s="8" t="s">
        <v>2020</v>
      </c>
      <c r="T1112" s="8" t="s">
        <v>44</v>
      </c>
    </row>
    <row r="1113" spans="1:20">
      <c r="A1113" s="11">
        <v>1106</v>
      </c>
      <c r="B1113" s="11" t="s">
        <v>1420</v>
      </c>
      <c r="C1113" s="11" t="s">
        <v>1371</v>
      </c>
      <c r="D1113" s="11" t="s">
        <v>655</v>
      </c>
      <c r="E1113" s="11" t="s">
        <v>34</v>
      </c>
      <c r="F1113" s="11" t="s">
        <v>35</v>
      </c>
      <c r="G1113" s="9" t="s">
        <v>41</v>
      </c>
      <c r="H1113" s="13">
        <v>1</v>
      </c>
      <c r="I1113" s="13">
        <v>1</v>
      </c>
      <c r="J1113" s="16">
        <v>9000.0</v>
      </c>
      <c r="K1113" s="16"/>
      <c r="L1113" s="18">
        <f>IF(J1113&gt;0, K1113/J1113, 0)</f>
        <v>0</v>
      </c>
      <c r="M1113" s="16">
        <v>9000.0</v>
      </c>
      <c r="N1113" s="16"/>
      <c r="O1113" s="16">
        <f>M1113-N1113</f>
        <v>9000</v>
      </c>
      <c r="P1113" s="11" t="s">
        <v>42</v>
      </c>
      <c r="Q1113" s="11" t="s">
        <v>43</v>
      </c>
      <c r="R1113" s="11" t="s">
        <v>44</v>
      </c>
      <c r="S1113" s="9" t="s">
        <v>2046</v>
      </c>
      <c r="T1113" s="9" t="s">
        <v>44</v>
      </c>
    </row>
    <row r="1114" spans="1:20">
      <c r="A1114" s="10">
        <v>1107</v>
      </c>
      <c r="B1114" s="10" t="s">
        <v>1421</v>
      </c>
      <c r="C1114" s="10" t="s">
        <v>1371</v>
      </c>
      <c r="D1114" s="10" t="s">
        <v>655</v>
      </c>
      <c r="E1114" s="10" t="s">
        <v>34</v>
      </c>
      <c r="F1114" s="10" t="s">
        <v>35</v>
      </c>
      <c r="G1114" s="8" t="s">
        <v>41</v>
      </c>
      <c r="H1114" s="12">
        <v>1</v>
      </c>
      <c r="I1114" s="12">
        <v>1</v>
      </c>
      <c r="J1114" s="15">
        <v>7000.0</v>
      </c>
      <c r="K1114" s="15"/>
      <c r="L1114" s="17">
        <f>IF(J1114&gt;0, K1114/J1114, 0)</f>
        <v>0</v>
      </c>
      <c r="M1114" s="15">
        <v>7000.0</v>
      </c>
      <c r="N1114" s="15"/>
      <c r="O1114" s="15">
        <f>M1114-N1114</f>
        <v>7000</v>
      </c>
      <c r="P1114" s="10" t="s">
        <v>42</v>
      </c>
      <c r="Q1114" s="10" t="s">
        <v>43</v>
      </c>
      <c r="R1114" s="10" t="s">
        <v>44</v>
      </c>
      <c r="S1114" s="8" t="s">
        <v>2020</v>
      </c>
      <c r="T1114" s="8" t="s">
        <v>44</v>
      </c>
    </row>
    <row r="1115" spans="1:20">
      <c r="A1115" s="11">
        <v>1108</v>
      </c>
      <c r="B1115" s="11" t="s">
        <v>1422</v>
      </c>
      <c r="C1115" s="11" t="s">
        <v>1371</v>
      </c>
      <c r="D1115" s="11" t="s">
        <v>655</v>
      </c>
      <c r="E1115" s="11" t="s">
        <v>34</v>
      </c>
      <c r="F1115" s="11" t="s">
        <v>35</v>
      </c>
      <c r="G1115" s="9" t="s">
        <v>41</v>
      </c>
      <c r="H1115" s="13">
        <v>1</v>
      </c>
      <c r="I1115" s="13">
        <v>1</v>
      </c>
      <c r="J1115" s="16">
        <v>9000.0</v>
      </c>
      <c r="K1115" s="16"/>
      <c r="L1115" s="18">
        <f>IF(J1115&gt;0, K1115/J1115, 0)</f>
        <v>0</v>
      </c>
      <c r="M1115" s="16">
        <v>9000.0</v>
      </c>
      <c r="N1115" s="16"/>
      <c r="O1115" s="16">
        <f>M1115-N1115</f>
        <v>9000</v>
      </c>
      <c r="P1115" s="11" t="s">
        <v>42</v>
      </c>
      <c r="Q1115" s="11" t="s">
        <v>43</v>
      </c>
      <c r="R1115" s="11" t="s">
        <v>44</v>
      </c>
      <c r="S1115" s="9" t="s">
        <v>2086</v>
      </c>
      <c r="T1115" s="9" t="s">
        <v>44</v>
      </c>
    </row>
    <row r="1116" spans="1:20">
      <c r="A1116" s="10">
        <v>1109</v>
      </c>
      <c r="B1116" s="10" t="s">
        <v>1423</v>
      </c>
      <c r="C1116" s="10" t="s">
        <v>1371</v>
      </c>
      <c r="D1116" s="10" t="s">
        <v>655</v>
      </c>
      <c r="E1116" s="10" t="s">
        <v>34</v>
      </c>
      <c r="F1116" s="10" t="s">
        <v>35</v>
      </c>
      <c r="G1116" s="8" t="s">
        <v>41</v>
      </c>
      <c r="H1116" s="12">
        <v>1</v>
      </c>
      <c r="I1116" s="12">
        <v>1</v>
      </c>
      <c r="J1116" s="15">
        <v>16000.0</v>
      </c>
      <c r="K1116" s="15"/>
      <c r="L1116" s="17">
        <f>IF(J1116&gt;0, K1116/J1116, 0)</f>
        <v>0</v>
      </c>
      <c r="M1116" s="15">
        <v>16000.0</v>
      </c>
      <c r="N1116" s="15"/>
      <c r="O1116" s="15">
        <f>M1116-N1116</f>
        <v>16000</v>
      </c>
      <c r="P1116" s="10" t="s">
        <v>42</v>
      </c>
      <c r="Q1116" s="10" t="s">
        <v>43</v>
      </c>
      <c r="R1116" s="10" t="s">
        <v>44</v>
      </c>
      <c r="S1116" s="8" t="s">
        <v>2078</v>
      </c>
      <c r="T1116" s="8" t="s">
        <v>44</v>
      </c>
    </row>
    <row r="1117" spans="1:20">
      <c r="A1117" s="11">
        <v>1110</v>
      </c>
      <c r="B1117" s="11" t="s">
        <v>1424</v>
      </c>
      <c r="C1117" s="11" t="s">
        <v>1371</v>
      </c>
      <c r="D1117" s="11" t="s">
        <v>655</v>
      </c>
      <c r="E1117" s="11" t="s">
        <v>34</v>
      </c>
      <c r="F1117" s="11" t="s">
        <v>35</v>
      </c>
      <c r="G1117" s="9" t="s">
        <v>41</v>
      </c>
      <c r="H1117" s="13">
        <v>1</v>
      </c>
      <c r="I1117" s="13">
        <v>1</v>
      </c>
      <c r="J1117" s="16">
        <v>7000.0</v>
      </c>
      <c r="K1117" s="16"/>
      <c r="L1117" s="18">
        <f>IF(J1117&gt;0, K1117/J1117, 0)</f>
        <v>0</v>
      </c>
      <c r="M1117" s="16">
        <v>7000.0</v>
      </c>
      <c r="N1117" s="16"/>
      <c r="O1117" s="16">
        <f>M1117-N1117</f>
        <v>7000</v>
      </c>
      <c r="P1117" s="11" t="s">
        <v>42</v>
      </c>
      <c r="Q1117" s="11" t="s">
        <v>43</v>
      </c>
      <c r="R1117" s="11" t="s">
        <v>44</v>
      </c>
      <c r="S1117" s="9" t="s">
        <v>2101</v>
      </c>
      <c r="T1117" s="9" t="s">
        <v>44</v>
      </c>
    </row>
    <row r="1118" spans="1:20">
      <c r="A1118" s="10">
        <v>1111</v>
      </c>
      <c r="B1118" s="10" t="s">
        <v>1425</v>
      </c>
      <c r="C1118" s="10" t="s">
        <v>1371</v>
      </c>
      <c r="D1118" s="10" t="s">
        <v>655</v>
      </c>
      <c r="E1118" s="10" t="s">
        <v>34</v>
      </c>
      <c r="F1118" s="10" t="s">
        <v>35</v>
      </c>
      <c r="G1118" s="8" t="s">
        <v>41</v>
      </c>
      <c r="H1118" s="12">
        <v>1</v>
      </c>
      <c r="I1118" s="12">
        <v>1</v>
      </c>
      <c r="J1118" s="15">
        <v>8000.0</v>
      </c>
      <c r="K1118" s="15"/>
      <c r="L1118" s="17">
        <f>IF(J1118&gt;0, K1118/J1118, 0)</f>
        <v>0</v>
      </c>
      <c r="M1118" s="15">
        <v>8000.0</v>
      </c>
      <c r="N1118" s="15"/>
      <c r="O1118" s="15">
        <f>M1118-N1118</f>
        <v>8000</v>
      </c>
      <c r="P1118" s="10" t="s">
        <v>42</v>
      </c>
      <c r="Q1118" s="10" t="s">
        <v>43</v>
      </c>
      <c r="R1118" s="10" t="s">
        <v>44</v>
      </c>
      <c r="S1118" s="8" t="s">
        <v>2062</v>
      </c>
      <c r="T1118" s="8" t="s">
        <v>44</v>
      </c>
    </row>
    <row r="1119" spans="1:20">
      <c r="A1119" s="11">
        <v>1112</v>
      </c>
      <c r="B1119" s="11" t="s">
        <v>1426</v>
      </c>
      <c r="C1119" s="11" t="s">
        <v>1371</v>
      </c>
      <c r="D1119" s="11" t="s">
        <v>655</v>
      </c>
      <c r="E1119" s="11" t="s">
        <v>34</v>
      </c>
      <c r="F1119" s="11" t="s">
        <v>35</v>
      </c>
      <c r="G1119" s="9" t="s">
        <v>41</v>
      </c>
      <c r="H1119" s="13">
        <v>1</v>
      </c>
      <c r="I1119" s="13">
        <v>1</v>
      </c>
      <c r="J1119" s="16">
        <v>7000.0</v>
      </c>
      <c r="K1119" s="16"/>
      <c r="L1119" s="18">
        <f>IF(J1119&gt;0, K1119/J1119, 0)</f>
        <v>0</v>
      </c>
      <c r="M1119" s="16">
        <v>7000.0</v>
      </c>
      <c r="N1119" s="16"/>
      <c r="O1119" s="16">
        <f>M1119-N1119</f>
        <v>7000</v>
      </c>
      <c r="P1119" s="11" t="s">
        <v>42</v>
      </c>
      <c r="Q1119" s="11" t="s">
        <v>43</v>
      </c>
      <c r="R1119" s="11" t="s">
        <v>44</v>
      </c>
      <c r="S1119" s="9" t="s">
        <v>2055</v>
      </c>
      <c r="T1119" s="9" t="s">
        <v>44</v>
      </c>
    </row>
    <row r="1120" spans="1:20">
      <c r="A1120" s="10">
        <v>1113</v>
      </c>
      <c r="B1120" s="10" t="s">
        <v>1427</v>
      </c>
      <c r="C1120" s="10" t="s">
        <v>1371</v>
      </c>
      <c r="D1120" s="10" t="s">
        <v>655</v>
      </c>
      <c r="E1120" s="10" t="s">
        <v>34</v>
      </c>
      <c r="F1120" s="10" t="s">
        <v>35</v>
      </c>
      <c r="G1120" s="8" t="s">
        <v>41</v>
      </c>
      <c r="H1120" s="12">
        <v>1</v>
      </c>
      <c r="I1120" s="12">
        <v>1</v>
      </c>
      <c r="J1120" s="15">
        <v>9000.0</v>
      </c>
      <c r="K1120" s="15"/>
      <c r="L1120" s="17">
        <f>IF(J1120&gt;0, K1120/J1120, 0)</f>
        <v>0</v>
      </c>
      <c r="M1120" s="15">
        <v>9000.0</v>
      </c>
      <c r="N1120" s="15"/>
      <c r="O1120" s="15">
        <f>M1120-N1120</f>
        <v>9000</v>
      </c>
      <c r="P1120" s="10" t="s">
        <v>42</v>
      </c>
      <c r="Q1120" s="10" t="s">
        <v>43</v>
      </c>
      <c r="R1120" s="10" t="s">
        <v>44</v>
      </c>
      <c r="S1120" s="8" t="s">
        <v>2083</v>
      </c>
      <c r="T1120" s="8" t="s">
        <v>44</v>
      </c>
    </row>
    <row r="1121" spans="1:20">
      <c r="A1121" s="11">
        <v>1114</v>
      </c>
      <c r="B1121" s="11" t="s">
        <v>1428</v>
      </c>
      <c r="C1121" s="11" t="s">
        <v>1371</v>
      </c>
      <c r="D1121" s="11" t="s">
        <v>655</v>
      </c>
      <c r="E1121" s="11" t="s">
        <v>34</v>
      </c>
      <c r="F1121" s="11" t="s">
        <v>35</v>
      </c>
      <c r="G1121" s="9" t="s">
        <v>41</v>
      </c>
      <c r="H1121" s="13">
        <v>1</v>
      </c>
      <c r="I1121" s="13">
        <v>1</v>
      </c>
      <c r="J1121" s="16">
        <v>16500.0</v>
      </c>
      <c r="K1121" s="16"/>
      <c r="L1121" s="18">
        <f>IF(J1121&gt;0, K1121/J1121, 0)</f>
        <v>0</v>
      </c>
      <c r="M1121" s="16">
        <v>16500.0</v>
      </c>
      <c r="N1121" s="16"/>
      <c r="O1121" s="16">
        <f>M1121-N1121</f>
        <v>16500</v>
      </c>
      <c r="P1121" s="11" t="s">
        <v>42</v>
      </c>
      <c r="Q1121" s="11" t="s">
        <v>43</v>
      </c>
      <c r="R1121" s="11" t="s">
        <v>44</v>
      </c>
      <c r="S1121" s="9" t="s">
        <v>2040</v>
      </c>
      <c r="T1121" s="9" t="s">
        <v>44</v>
      </c>
    </row>
    <row r="1122" spans="1:20">
      <c r="A1122" s="10">
        <v>1115</v>
      </c>
      <c r="B1122" s="10" t="s">
        <v>1429</v>
      </c>
      <c r="C1122" s="10" t="s">
        <v>1371</v>
      </c>
      <c r="D1122" s="10" t="s">
        <v>655</v>
      </c>
      <c r="E1122" s="10" t="s">
        <v>34</v>
      </c>
      <c r="F1122" s="10" t="s">
        <v>35</v>
      </c>
      <c r="G1122" s="8" t="s">
        <v>41</v>
      </c>
      <c r="H1122" s="12">
        <v>1</v>
      </c>
      <c r="I1122" s="12">
        <v>1</v>
      </c>
      <c r="J1122" s="15">
        <v>8000.0</v>
      </c>
      <c r="K1122" s="15"/>
      <c r="L1122" s="17">
        <f>IF(J1122&gt;0, K1122/J1122, 0)</f>
        <v>0</v>
      </c>
      <c r="M1122" s="15">
        <v>8000.0</v>
      </c>
      <c r="N1122" s="15"/>
      <c r="O1122" s="15">
        <f>M1122-N1122</f>
        <v>8000</v>
      </c>
      <c r="P1122" s="10" t="s">
        <v>42</v>
      </c>
      <c r="Q1122" s="10" t="s">
        <v>43</v>
      </c>
      <c r="R1122" s="10" t="s">
        <v>44</v>
      </c>
      <c r="S1122" s="8" t="s">
        <v>2115</v>
      </c>
      <c r="T1122" s="8" t="s">
        <v>44</v>
      </c>
    </row>
    <row r="1123" spans="1:20">
      <c r="A1123" s="11">
        <v>1116</v>
      </c>
      <c r="B1123" s="11" t="s">
        <v>1430</v>
      </c>
      <c r="C1123" s="11" t="s">
        <v>1371</v>
      </c>
      <c r="D1123" s="11" t="s">
        <v>655</v>
      </c>
      <c r="E1123" s="11" t="s">
        <v>34</v>
      </c>
      <c r="F1123" s="11" t="s">
        <v>35</v>
      </c>
      <c r="G1123" s="9" t="s">
        <v>41</v>
      </c>
      <c r="H1123" s="13">
        <v>1</v>
      </c>
      <c r="I1123" s="13">
        <v>1</v>
      </c>
      <c r="J1123" s="16">
        <v>7500.0</v>
      </c>
      <c r="K1123" s="16"/>
      <c r="L1123" s="18">
        <f>IF(J1123&gt;0, K1123/J1123, 0)</f>
        <v>0</v>
      </c>
      <c r="M1123" s="16">
        <v>7500.0</v>
      </c>
      <c r="N1123" s="16"/>
      <c r="O1123" s="16">
        <f>M1123-N1123</f>
        <v>7500</v>
      </c>
      <c r="P1123" s="11" t="s">
        <v>42</v>
      </c>
      <c r="Q1123" s="11" t="s">
        <v>43</v>
      </c>
      <c r="R1123" s="11" t="s">
        <v>44</v>
      </c>
      <c r="S1123" s="9" t="s">
        <v>2074</v>
      </c>
      <c r="T1123" s="9" t="s">
        <v>44</v>
      </c>
    </row>
    <row r="1124" spans="1:20">
      <c r="A1124" s="10">
        <v>1117</v>
      </c>
      <c r="B1124" s="10" t="s">
        <v>1431</v>
      </c>
      <c r="C1124" s="10" t="s">
        <v>1371</v>
      </c>
      <c r="D1124" s="10" t="s">
        <v>655</v>
      </c>
      <c r="E1124" s="10" t="s">
        <v>34</v>
      </c>
      <c r="F1124" s="10" t="s">
        <v>35</v>
      </c>
      <c r="G1124" s="8" t="s">
        <v>41</v>
      </c>
      <c r="H1124" s="12">
        <v>1</v>
      </c>
      <c r="I1124" s="12">
        <v>1</v>
      </c>
      <c r="J1124" s="15">
        <v>9000.0</v>
      </c>
      <c r="K1124" s="15"/>
      <c r="L1124" s="17">
        <f>IF(J1124&gt;0, K1124/J1124, 0)</f>
        <v>0</v>
      </c>
      <c r="M1124" s="15">
        <v>9000.0</v>
      </c>
      <c r="N1124" s="15"/>
      <c r="O1124" s="15">
        <f>M1124-N1124</f>
        <v>9000</v>
      </c>
      <c r="P1124" s="10" t="s">
        <v>42</v>
      </c>
      <c r="Q1124" s="10" t="s">
        <v>43</v>
      </c>
      <c r="R1124" s="10" t="s">
        <v>44</v>
      </c>
      <c r="S1124" s="8" t="s">
        <v>2200</v>
      </c>
      <c r="T1124" s="8" t="s">
        <v>44</v>
      </c>
    </row>
    <row r="1125" spans="1:20">
      <c r="A1125" s="11">
        <v>1118</v>
      </c>
      <c r="B1125" s="11" t="s">
        <v>1432</v>
      </c>
      <c r="C1125" s="11" t="s">
        <v>1371</v>
      </c>
      <c r="D1125" s="11" t="s">
        <v>655</v>
      </c>
      <c r="E1125" s="11" t="s">
        <v>34</v>
      </c>
      <c r="F1125" s="11" t="s">
        <v>35</v>
      </c>
      <c r="G1125" s="9" t="s">
        <v>41</v>
      </c>
      <c r="H1125" s="13">
        <v>1</v>
      </c>
      <c r="I1125" s="13">
        <v>1</v>
      </c>
      <c r="J1125" s="16">
        <v>8500.0</v>
      </c>
      <c r="K1125" s="16"/>
      <c r="L1125" s="18">
        <f>IF(J1125&gt;0, K1125/J1125, 0)</f>
        <v>0</v>
      </c>
      <c r="M1125" s="16">
        <v>8500.0</v>
      </c>
      <c r="N1125" s="16"/>
      <c r="O1125" s="16">
        <f>M1125-N1125</f>
        <v>8500</v>
      </c>
      <c r="P1125" s="11" t="s">
        <v>42</v>
      </c>
      <c r="Q1125" s="11" t="s">
        <v>43</v>
      </c>
      <c r="R1125" s="11" t="s">
        <v>44</v>
      </c>
      <c r="S1125" s="9" t="s">
        <v>2207</v>
      </c>
      <c r="T1125" s="9" t="s">
        <v>44</v>
      </c>
    </row>
    <row r="1126" spans="1:20">
      <c r="A1126" s="10">
        <v>1119</v>
      </c>
      <c r="B1126" s="10" t="s">
        <v>1433</v>
      </c>
      <c r="C1126" s="10" t="s">
        <v>1371</v>
      </c>
      <c r="D1126" s="10" t="s">
        <v>655</v>
      </c>
      <c r="E1126" s="10" t="s">
        <v>34</v>
      </c>
      <c r="F1126" s="10" t="s">
        <v>35</v>
      </c>
      <c r="G1126" s="8" t="s">
        <v>41</v>
      </c>
      <c r="H1126" s="12">
        <v>1</v>
      </c>
      <c r="I1126" s="12">
        <v>1</v>
      </c>
      <c r="J1126" s="15">
        <v>8000.0</v>
      </c>
      <c r="K1126" s="15"/>
      <c r="L1126" s="17">
        <f>IF(J1126&gt;0, K1126/J1126, 0)</f>
        <v>0</v>
      </c>
      <c r="M1126" s="15">
        <v>8000.0</v>
      </c>
      <c r="N1126" s="15"/>
      <c r="O1126" s="15">
        <f>M1126-N1126</f>
        <v>8000</v>
      </c>
      <c r="P1126" s="10" t="s">
        <v>42</v>
      </c>
      <c r="Q1126" s="10" t="s">
        <v>43</v>
      </c>
      <c r="R1126" s="10" t="s">
        <v>44</v>
      </c>
      <c r="S1126" s="8" t="s">
        <v>2187</v>
      </c>
      <c r="T1126" s="8" t="s">
        <v>44</v>
      </c>
    </row>
    <row r="1127" spans="1:20">
      <c r="A1127" s="11">
        <v>1120</v>
      </c>
      <c r="B1127" s="11" t="s">
        <v>1434</v>
      </c>
      <c r="C1127" s="11" t="s">
        <v>1371</v>
      </c>
      <c r="D1127" s="11" t="s">
        <v>655</v>
      </c>
      <c r="E1127" s="11" t="s">
        <v>34</v>
      </c>
      <c r="F1127" s="11" t="s">
        <v>35</v>
      </c>
      <c r="G1127" s="9" t="s">
        <v>41</v>
      </c>
      <c r="H1127" s="13">
        <v>1</v>
      </c>
      <c r="I1127" s="13">
        <v>1</v>
      </c>
      <c r="J1127" s="16">
        <v>16500.0</v>
      </c>
      <c r="K1127" s="16"/>
      <c r="L1127" s="18">
        <f>IF(J1127&gt;0, K1127/J1127, 0)</f>
        <v>0</v>
      </c>
      <c r="M1127" s="16">
        <v>16500.0</v>
      </c>
      <c r="N1127" s="16"/>
      <c r="O1127" s="16">
        <f>M1127-N1127</f>
        <v>16500</v>
      </c>
      <c r="P1127" s="11" t="s">
        <v>42</v>
      </c>
      <c r="Q1127" s="11" t="s">
        <v>43</v>
      </c>
      <c r="R1127" s="11" t="s">
        <v>44</v>
      </c>
      <c r="S1127" s="9" t="s">
        <v>2188</v>
      </c>
      <c r="T1127" s="9" t="s">
        <v>44</v>
      </c>
    </row>
    <row r="1128" spans="1:20">
      <c r="A1128" s="10">
        <v>1121</v>
      </c>
      <c r="B1128" s="10" t="s">
        <v>1435</v>
      </c>
      <c r="C1128" s="10" t="s">
        <v>1371</v>
      </c>
      <c r="D1128" s="10" t="s">
        <v>655</v>
      </c>
      <c r="E1128" s="10" t="s">
        <v>70</v>
      </c>
      <c r="F1128" s="10" t="s">
        <v>35</v>
      </c>
      <c r="G1128" s="8" t="s">
        <v>41</v>
      </c>
      <c r="H1128" s="12">
        <v>1</v>
      </c>
      <c r="I1128" s="12">
        <v>1</v>
      </c>
      <c r="J1128" s="15">
        <v>8000.0</v>
      </c>
      <c r="K1128" s="15"/>
      <c r="L1128" s="17">
        <f>IF(J1128&gt;0, K1128/J1128, 0)</f>
        <v>0</v>
      </c>
      <c r="M1128" s="15">
        <v>8000.0</v>
      </c>
      <c r="N1128" s="15"/>
      <c r="O1128" s="15">
        <f>M1128-N1128</f>
        <v>8000</v>
      </c>
      <c r="P1128" s="10" t="s">
        <v>42</v>
      </c>
      <c r="Q1128" s="10" t="s">
        <v>73</v>
      </c>
      <c r="R1128" s="10" t="s">
        <v>44</v>
      </c>
      <c r="S1128" s="8" t="s">
        <v>2208</v>
      </c>
      <c r="T1128" s="8" t="s">
        <v>44</v>
      </c>
    </row>
    <row r="1129" spans="1:20">
      <c r="A1129" s="11">
        <v>1122</v>
      </c>
      <c r="B1129" s="11" t="s">
        <v>1438</v>
      </c>
      <c r="C1129" s="11" t="s">
        <v>1371</v>
      </c>
      <c r="D1129" s="11" t="s">
        <v>655</v>
      </c>
      <c r="E1129" s="11" t="s">
        <v>34</v>
      </c>
      <c r="F1129" s="11" t="s">
        <v>35</v>
      </c>
      <c r="G1129" s="9" t="s">
        <v>41</v>
      </c>
      <c r="H1129" s="13">
        <v>1</v>
      </c>
      <c r="I1129" s="13">
        <v>1</v>
      </c>
      <c r="J1129" s="16">
        <v>16000.0</v>
      </c>
      <c r="K1129" s="16"/>
      <c r="L1129" s="18">
        <f>IF(J1129&gt;0, K1129/J1129, 0)</f>
        <v>0</v>
      </c>
      <c r="M1129" s="16">
        <v>16000.0</v>
      </c>
      <c r="N1129" s="16"/>
      <c r="O1129" s="16">
        <f>M1129-N1129</f>
        <v>16000</v>
      </c>
      <c r="P1129" s="11" t="s">
        <v>42</v>
      </c>
      <c r="Q1129" s="11" t="s">
        <v>43</v>
      </c>
      <c r="R1129" s="11" t="s">
        <v>44</v>
      </c>
      <c r="S1129" s="9" t="s">
        <v>2073</v>
      </c>
      <c r="T1129" s="9" t="s">
        <v>44</v>
      </c>
    </row>
    <row r="1130" spans="1:20">
      <c r="A1130" s="10">
        <v>1123</v>
      </c>
      <c r="B1130" s="10" t="s">
        <v>1439</v>
      </c>
      <c r="C1130" s="10" t="s">
        <v>1371</v>
      </c>
      <c r="D1130" s="10" t="s">
        <v>655</v>
      </c>
      <c r="E1130" s="10" t="s">
        <v>34</v>
      </c>
      <c r="F1130" s="10" t="s">
        <v>35</v>
      </c>
      <c r="G1130" s="8" t="s">
        <v>41</v>
      </c>
      <c r="H1130" s="12">
        <v>1</v>
      </c>
      <c r="I1130" s="12">
        <v>1</v>
      </c>
      <c r="J1130" s="15">
        <v>8000.0</v>
      </c>
      <c r="K1130" s="15"/>
      <c r="L1130" s="17">
        <f>IF(J1130&gt;0, K1130/J1130, 0)</f>
        <v>0</v>
      </c>
      <c r="M1130" s="15">
        <v>8000.0</v>
      </c>
      <c r="N1130" s="15"/>
      <c r="O1130" s="15">
        <f>M1130-N1130</f>
        <v>8000</v>
      </c>
      <c r="P1130" s="10" t="s">
        <v>42</v>
      </c>
      <c r="Q1130" s="10" t="s">
        <v>43</v>
      </c>
      <c r="R1130" s="10" t="s">
        <v>44</v>
      </c>
      <c r="S1130" s="8" t="s">
        <v>2062</v>
      </c>
      <c r="T1130" s="8" t="s">
        <v>44</v>
      </c>
    </row>
    <row r="1131" spans="1:20">
      <c r="A1131" s="11">
        <v>1124</v>
      </c>
      <c r="B1131" s="11" t="s">
        <v>1440</v>
      </c>
      <c r="C1131" s="11" t="s">
        <v>1371</v>
      </c>
      <c r="D1131" s="11" t="s">
        <v>655</v>
      </c>
      <c r="E1131" s="11" t="s">
        <v>34</v>
      </c>
      <c r="F1131" s="11" t="s">
        <v>35</v>
      </c>
      <c r="G1131" s="9" t="s">
        <v>41</v>
      </c>
      <c r="H1131" s="13">
        <v>1</v>
      </c>
      <c r="I1131" s="13">
        <v>1</v>
      </c>
      <c r="J1131" s="16">
        <v>8000.0</v>
      </c>
      <c r="K1131" s="16"/>
      <c r="L1131" s="18">
        <f>IF(J1131&gt;0, K1131/J1131, 0)</f>
        <v>0</v>
      </c>
      <c r="M1131" s="16">
        <v>8000.0</v>
      </c>
      <c r="N1131" s="16"/>
      <c r="O1131" s="16">
        <f>M1131-N1131</f>
        <v>8000</v>
      </c>
      <c r="P1131" s="11" t="s">
        <v>42</v>
      </c>
      <c r="Q1131" s="11" t="s">
        <v>43</v>
      </c>
      <c r="R1131" s="11" t="s">
        <v>44</v>
      </c>
      <c r="S1131" s="9" t="s">
        <v>2067</v>
      </c>
      <c r="T1131" s="9" t="s">
        <v>44</v>
      </c>
    </row>
    <row r="1132" spans="1:20">
      <c r="A1132" s="10">
        <v>1125</v>
      </c>
      <c r="B1132" s="10" t="s">
        <v>1441</v>
      </c>
      <c r="C1132" s="10" t="s">
        <v>1371</v>
      </c>
      <c r="D1132" s="10" t="s">
        <v>655</v>
      </c>
      <c r="E1132" s="10" t="s">
        <v>34</v>
      </c>
      <c r="F1132" s="10" t="s">
        <v>35</v>
      </c>
      <c r="G1132" s="8" t="s">
        <v>41</v>
      </c>
      <c r="H1132" s="12">
        <v>1</v>
      </c>
      <c r="I1132" s="12">
        <v>2</v>
      </c>
      <c r="J1132" s="15">
        <v>14000.0</v>
      </c>
      <c r="K1132" s="15"/>
      <c r="L1132" s="17">
        <f>IF(J1132&gt;0, K1132/J1132, 0)</f>
        <v>0</v>
      </c>
      <c r="M1132" s="15">
        <v>14000.0</v>
      </c>
      <c r="N1132" s="15"/>
      <c r="O1132" s="15">
        <f>M1132-N1132</f>
        <v>14000</v>
      </c>
      <c r="P1132" s="10" t="s">
        <v>42</v>
      </c>
      <c r="Q1132" s="10" t="s">
        <v>43</v>
      </c>
      <c r="R1132" s="10" t="s">
        <v>44</v>
      </c>
      <c r="S1132" s="8" t="s">
        <v>2063</v>
      </c>
      <c r="T1132" s="8" t="s">
        <v>44</v>
      </c>
    </row>
    <row r="1133" spans="1:20">
      <c r="A1133" s="11">
        <v>1126</v>
      </c>
      <c r="B1133" s="11" t="s">
        <v>1442</v>
      </c>
      <c r="C1133" s="11" t="s">
        <v>1371</v>
      </c>
      <c r="D1133" s="11" t="s">
        <v>655</v>
      </c>
      <c r="E1133" s="11" t="s">
        <v>34</v>
      </c>
      <c r="F1133" s="11" t="s">
        <v>35</v>
      </c>
      <c r="G1133" s="9" t="s">
        <v>41</v>
      </c>
      <c r="H1133" s="13">
        <v>1</v>
      </c>
      <c r="I1133" s="13">
        <v>1</v>
      </c>
      <c r="J1133" s="16">
        <v>18000.0</v>
      </c>
      <c r="K1133" s="16"/>
      <c r="L1133" s="18">
        <f>IF(J1133&gt;0, K1133/J1133, 0)</f>
        <v>0</v>
      </c>
      <c r="M1133" s="16">
        <v>18000.0</v>
      </c>
      <c r="N1133" s="16"/>
      <c r="O1133" s="16">
        <f>M1133-N1133</f>
        <v>18000</v>
      </c>
      <c r="P1133" s="11" t="s">
        <v>42</v>
      </c>
      <c r="Q1133" s="11" t="s">
        <v>43</v>
      </c>
      <c r="R1133" s="11" t="s">
        <v>44</v>
      </c>
      <c r="S1133" s="9" t="s">
        <v>2122</v>
      </c>
      <c r="T1133" s="9" t="s">
        <v>44</v>
      </c>
    </row>
    <row r="1134" spans="1:20">
      <c r="A1134" s="10">
        <v>1127</v>
      </c>
      <c r="B1134" s="10" t="s">
        <v>1443</v>
      </c>
      <c r="C1134" s="10" t="s">
        <v>1371</v>
      </c>
      <c r="D1134" s="10" t="s">
        <v>655</v>
      </c>
      <c r="E1134" s="10" t="s">
        <v>34</v>
      </c>
      <c r="F1134" s="10" t="s">
        <v>35</v>
      </c>
      <c r="G1134" s="8" t="s">
        <v>41</v>
      </c>
      <c r="H1134" s="12">
        <v>1</v>
      </c>
      <c r="I1134" s="12">
        <v>1</v>
      </c>
      <c r="J1134" s="15">
        <v>9500.0</v>
      </c>
      <c r="K1134" s="15"/>
      <c r="L1134" s="17">
        <f>IF(J1134&gt;0, K1134/J1134, 0)</f>
        <v>0</v>
      </c>
      <c r="M1134" s="15">
        <v>9500.0</v>
      </c>
      <c r="N1134" s="15"/>
      <c r="O1134" s="15">
        <f>M1134-N1134</f>
        <v>9500</v>
      </c>
      <c r="P1134" s="10" t="s">
        <v>42</v>
      </c>
      <c r="Q1134" s="10" t="s">
        <v>43</v>
      </c>
      <c r="R1134" s="10" t="s">
        <v>44</v>
      </c>
      <c r="S1134" s="8" t="s">
        <v>2081</v>
      </c>
      <c r="T1134" s="8" t="s">
        <v>44</v>
      </c>
    </row>
    <row r="1135" spans="1:20">
      <c r="A1135" s="11">
        <v>1128</v>
      </c>
      <c r="B1135" s="11" t="s">
        <v>1444</v>
      </c>
      <c r="C1135" s="11" t="s">
        <v>1371</v>
      </c>
      <c r="D1135" s="11" t="s">
        <v>655</v>
      </c>
      <c r="E1135" s="11" t="s">
        <v>34</v>
      </c>
      <c r="F1135" s="11" t="s">
        <v>35</v>
      </c>
      <c r="G1135" s="9" t="s">
        <v>41</v>
      </c>
      <c r="H1135" s="13">
        <v>1</v>
      </c>
      <c r="I1135" s="13">
        <v>1</v>
      </c>
      <c r="J1135" s="16">
        <v>7500.0</v>
      </c>
      <c r="K1135" s="16"/>
      <c r="L1135" s="18">
        <f>IF(J1135&gt;0, K1135/J1135, 0)</f>
        <v>0</v>
      </c>
      <c r="M1135" s="16">
        <v>7500.0</v>
      </c>
      <c r="N1135" s="16"/>
      <c r="O1135" s="16">
        <f>M1135-N1135</f>
        <v>7500</v>
      </c>
      <c r="P1135" s="11" t="s">
        <v>42</v>
      </c>
      <c r="Q1135" s="11" t="s">
        <v>43</v>
      </c>
      <c r="R1135" s="11" t="s">
        <v>44</v>
      </c>
      <c r="S1135" s="9" t="s">
        <v>2023</v>
      </c>
      <c r="T1135" s="9" t="s">
        <v>44</v>
      </c>
    </row>
    <row r="1136" spans="1:20">
      <c r="A1136" s="10">
        <v>1129</v>
      </c>
      <c r="B1136" s="10" t="s">
        <v>1445</v>
      </c>
      <c r="C1136" s="10" t="s">
        <v>1371</v>
      </c>
      <c r="D1136" s="10" t="s">
        <v>655</v>
      </c>
      <c r="E1136" s="10" t="s">
        <v>34</v>
      </c>
      <c r="F1136" s="10" t="s">
        <v>35</v>
      </c>
      <c r="G1136" s="8" t="s">
        <v>41</v>
      </c>
      <c r="H1136" s="12">
        <v>1</v>
      </c>
      <c r="I1136" s="12">
        <v>1</v>
      </c>
      <c r="J1136" s="15">
        <v>8500.0</v>
      </c>
      <c r="K1136" s="15"/>
      <c r="L1136" s="17">
        <f>IF(J1136&gt;0, K1136/J1136, 0)</f>
        <v>0</v>
      </c>
      <c r="M1136" s="15">
        <v>8500.0</v>
      </c>
      <c r="N1136" s="15"/>
      <c r="O1136" s="15">
        <f>M1136-N1136</f>
        <v>8500</v>
      </c>
      <c r="P1136" s="10" t="s">
        <v>42</v>
      </c>
      <c r="Q1136" s="10" t="s">
        <v>43</v>
      </c>
      <c r="R1136" s="10" t="s">
        <v>44</v>
      </c>
      <c r="S1136" s="8" t="s">
        <v>2022</v>
      </c>
      <c r="T1136" s="8" t="s">
        <v>44</v>
      </c>
    </row>
    <row r="1137" spans="1:20">
      <c r="A1137" s="11">
        <v>1130</v>
      </c>
      <c r="B1137" s="11" t="s">
        <v>1446</v>
      </c>
      <c r="C1137" s="11" t="s">
        <v>1371</v>
      </c>
      <c r="D1137" s="11" t="s">
        <v>655</v>
      </c>
      <c r="E1137" s="11" t="s">
        <v>34</v>
      </c>
      <c r="F1137" s="11" t="s">
        <v>35</v>
      </c>
      <c r="G1137" s="9" t="s">
        <v>41</v>
      </c>
      <c r="H1137" s="13">
        <v>1</v>
      </c>
      <c r="I1137" s="13">
        <v>1</v>
      </c>
      <c r="J1137" s="16">
        <v>8000.0</v>
      </c>
      <c r="K1137" s="16"/>
      <c r="L1137" s="18">
        <f>IF(J1137&gt;0, K1137/J1137, 0)</f>
        <v>0</v>
      </c>
      <c r="M1137" s="16">
        <v>8000.0</v>
      </c>
      <c r="N1137" s="16"/>
      <c r="O1137" s="16">
        <f>M1137-N1137</f>
        <v>8000</v>
      </c>
      <c r="P1137" s="11" t="s">
        <v>42</v>
      </c>
      <c r="Q1137" s="11" t="s">
        <v>43</v>
      </c>
      <c r="R1137" s="11" t="s">
        <v>44</v>
      </c>
      <c r="S1137" s="9" t="s">
        <v>2068</v>
      </c>
      <c r="T1137" s="9" t="s">
        <v>44</v>
      </c>
    </row>
    <row r="1138" spans="1:20">
      <c r="A1138" s="10">
        <v>1131</v>
      </c>
      <c r="B1138" s="10" t="s">
        <v>1447</v>
      </c>
      <c r="C1138" s="10" t="s">
        <v>1371</v>
      </c>
      <c r="D1138" s="10" t="s">
        <v>655</v>
      </c>
      <c r="E1138" s="10" t="s">
        <v>34</v>
      </c>
      <c r="F1138" s="10" t="s">
        <v>35</v>
      </c>
      <c r="G1138" s="8" t="s">
        <v>41</v>
      </c>
      <c r="H1138" s="12">
        <v>1</v>
      </c>
      <c r="I1138" s="12">
        <v>1</v>
      </c>
      <c r="J1138" s="15">
        <v>8000.0</v>
      </c>
      <c r="K1138" s="15"/>
      <c r="L1138" s="17">
        <f>IF(J1138&gt;0, K1138/J1138, 0)</f>
        <v>0</v>
      </c>
      <c r="M1138" s="15">
        <v>8000.0</v>
      </c>
      <c r="N1138" s="15"/>
      <c r="O1138" s="15">
        <f>M1138-N1138</f>
        <v>8000</v>
      </c>
      <c r="P1138" s="10" t="s">
        <v>42</v>
      </c>
      <c r="Q1138" s="10" t="s">
        <v>43</v>
      </c>
      <c r="R1138" s="10" t="s">
        <v>44</v>
      </c>
      <c r="S1138" s="8" t="s">
        <v>2137</v>
      </c>
      <c r="T1138" s="8" t="s">
        <v>44</v>
      </c>
    </row>
    <row r="1139" spans="1:20">
      <c r="A1139" s="11">
        <v>1132</v>
      </c>
      <c r="B1139" s="11" t="s">
        <v>1448</v>
      </c>
      <c r="C1139" s="11" t="s">
        <v>1371</v>
      </c>
      <c r="D1139" s="11" t="s">
        <v>655</v>
      </c>
      <c r="E1139" s="11" t="s">
        <v>34</v>
      </c>
      <c r="F1139" s="11" t="s">
        <v>35</v>
      </c>
      <c r="G1139" s="9" t="s">
        <v>41</v>
      </c>
      <c r="H1139" s="13">
        <v>1</v>
      </c>
      <c r="I1139" s="13">
        <v>2</v>
      </c>
      <c r="J1139" s="16">
        <v>14000.0</v>
      </c>
      <c r="K1139" s="16"/>
      <c r="L1139" s="18">
        <f>IF(J1139&gt;0, K1139/J1139, 0)</f>
        <v>0</v>
      </c>
      <c r="M1139" s="16">
        <v>14000.0</v>
      </c>
      <c r="N1139" s="16"/>
      <c r="O1139" s="16">
        <f>M1139-N1139</f>
        <v>14000</v>
      </c>
      <c r="P1139" s="11" t="s">
        <v>42</v>
      </c>
      <c r="Q1139" s="11" t="s">
        <v>43</v>
      </c>
      <c r="R1139" s="11" t="s">
        <v>44</v>
      </c>
      <c r="S1139" s="9" t="s">
        <v>2146</v>
      </c>
      <c r="T1139" s="9" t="s">
        <v>44</v>
      </c>
    </row>
    <row r="1140" spans="1:20">
      <c r="A1140" s="10">
        <v>1133</v>
      </c>
      <c r="B1140" s="10" t="s">
        <v>1449</v>
      </c>
      <c r="C1140" s="10" t="s">
        <v>1371</v>
      </c>
      <c r="D1140" s="10" t="s">
        <v>655</v>
      </c>
      <c r="E1140" s="10" t="s">
        <v>34</v>
      </c>
      <c r="F1140" s="10" t="s">
        <v>35</v>
      </c>
      <c r="G1140" s="8" t="s">
        <v>41</v>
      </c>
      <c r="H1140" s="12">
        <v>1</v>
      </c>
      <c r="I1140" s="12">
        <v>2</v>
      </c>
      <c r="J1140" s="15">
        <v>34000.0</v>
      </c>
      <c r="K1140" s="15"/>
      <c r="L1140" s="17">
        <f>IF(J1140&gt;0, K1140/J1140, 0)</f>
        <v>0</v>
      </c>
      <c r="M1140" s="15">
        <v>34000.0</v>
      </c>
      <c r="N1140" s="15"/>
      <c r="O1140" s="15">
        <f>M1140-N1140</f>
        <v>34000</v>
      </c>
      <c r="P1140" s="10" t="s">
        <v>42</v>
      </c>
      <c r="Q1140" s="10" t="s">
        <v>43</v>
      </c>
      <c r="R1140" s="10" t="s">
        <v>44</v>
      </c>
      <c r="S1140" s="8" t="s">
        <v>2177</v>
      </c>
      <c r="T1140" s="8" t="s">
        <v>44</v>
      </c>
    </row>
    <row r="1141" spans="1:20">
      <c r="A1141" s="11">
        <v>1134</v>
      </c>
      <c r="B1141" s="11" t="s">
        <v>1450</v>
      </c>
      <c r="C1141" s="11" t="s">
        <v>1371</v>
      </c>
      <c r="D1141" s="11" t="s">
        <v>655</v>
      </c>
      <c r="E1141" s="11" t="s">
        <v>34</v>
      </c>
      <c r="F1141" s="11" t="s">
        <v>35</v>
      </c>
      <c r="G1141" s="9" t="s">
        <v>41</v>
      </c>
      <c r="H1141" s="13">
        <v>1</v>
      </c>
      <c r="I1141" s="13">
        <v>2</v>
      </c>
      <c r="J1141" s="16">
        <v>16000.0</v>
      </c>
      <c r="K1141" s="16"/>
      <c r="L1141" s="18">
        <f>IF(J1141&gt;0, K1141/J1141, 0)</f>
        <v>0</v>
      </c>
      <c r="M1141" s="16">
        <v>16000.0</v>
      </c>
      <c r="N1141" s="16"/>
      <c r="O1141" s="16">
        <f>M1141-N1141</f>
        <v>16000</v>
      </c>
      <c r="P1141" s="11" t="s">
        <v>42</v>
      </c>
      <c r="Q1141" s="11" t="s">
        <v>43</v>
      </c>
      <c r="R1141" s="11" t="s">
        <v>44</v>
      </c>
      <c r="S1141" s="9" t="s">
        <v>2147</v>
      </c>
      <c r="T1141" s="9" t="s">
        <v>44</v>
      </c>
    </row>
    <row r="1142" spans="1:20">
      <c r="A1142" s="10">
        <v>1135</v>
      </c>
      <c r="B1142" s="10" t="s">
        <v>1451</v>
      </c>
      <c r="C1142" s="10" t="s">
        <v>1371</v>
      </c>
      <c r="D1142" s="10" t="s">
        <v>655</v>
      </c>
      <c r="E1142" s="10" t="s">
        <v>34</v>
      </c>
      <c r="F1142" s="10" t="s">
        <v>35</v>
      </c>
      <c r="G1142" s="8" t="s">
        <v>41</v>
      </c>
      <c r="H1142" s="12">
        <v>1</v>
      </c>
      <c r="I1142" s="12">
        <v>2</v>
      </c>
      <c r="J1142" s="15">
        <v>14000.0</v>
      </c>
      <c r="K1142" s="15"/>
      <c r="L1142" s="17">
        <f>IF(J1142&gt;0, K1142/J1142, 0)</f>
        <v>0</v>
      </c>
      <c r="M1142" s="15">
        <v>14000.0</v>
      </c>
      <c r="N1142" s="15"/>
      <c r="O1142" s="15">
        <f>M1142-N1142</f>
        <v>14000</v>
      </c>
      <c r="P1142" s="10" t="s">
        <v>42</v>
      </c>
      <c r="Q1142" s="10" t="s">
        <v>43</v>
      </c>
      <c r="R1142" s="10" t="s">
        <v>44</v>
      </c>
      <c r="S1142" s="8" t="s">
        <v>2116</v>
      </c>
      <c r="T1142" s="8" t="s">
        <v>44</v>
      </c>
    </row>
    <row r="1143" spans="1:20">
      <c r="A1143" s="11">
        <v>1136</v>
      </c>
      <c r="B1143" s="11" t="s">
        <v>1452</v>
      </c>
      <c r="C1143" s="11" t="s">
        <v>1371</v>
      </c>
      <c r="D1143" s="11" t="s">
        <v>655</v>
      </c>
      <c r="E1143" s="11" t="s">
        <v>34</v>
      </c>
      <c r="F1143" s="11" t="s">
        <v>35</v>
      </c>
      <c r="G1143" s="9" t="s">
        <v>41</v>
      </c>
      <c r="H1143" s="13">
        <v>1</v>
      </c>
      <c r="I1143" s="13">
        <v>2</v>
      </c>
      <c r="J1143" s="16">
        <v>14000.0</v>
      </c>
      <c r="K1143" s="16"/>
      <c r="L1143" s="18">
        <f>IF(J1143&gt;0, K1143/J1143, 0)</f>
        <v>0</v>
      </c>
      <c r="M1143" s="16">
        <v>14000.0</v>
      </c>
      <c r="N1143" s="16"/>
      <c r="O1143" s="16">
        <f>M1143-N1143</f>
        <v>14000</v>
      </c>
      <c r="P1143" s="11" t="s">
        <v>42</v>
      </c>
      <c r="Q1143" s="11" t="s">
        <v>43</v>
      </c>
      <c r="R1143" s="11" t="s">
        <v>44</v>
      </c>
      <c r="S1143" s="9" t="s">
        <v>2146</v>
      </c>
      <c r="T1143" s="9" t="s">
        <v>44</v>
      </c>
    </row>
    <row r="1144" spans="1:20">
      <c r="A1144" s="10">
        <v>1137</v>
      </c>
      <c r="B1144" s="10" t="s">
        <v>1453</v>
      </c>
      <c r="C1144" s="10" t="s">
        <v>1371</v>
      </c>
      <c r="D1144" s="10" t="s">
        <v>655</v>
      </c>
      <c r="E1144" s="10" t="s">
        <v>34</v>
      </c>
      <c r="F1144" s="10" t="s">
        <v>35</v>
      </c>
      <c r="G1144" s="8" t="s">
        <v>41</v>
      </c>
      <c r="H1144" s="12">
        <v>1</v>
      </c>
      <c r="I1144" s="12">
        <v>1</v>
      </c>
      <c r="J1144" s="15">
        <v>7000.0</v>
      </c>
      <c r="K1144" s="15"/>
      <c r="L1144" s="17">
        <f>IF(J1144&gt;0, K1144/J1144, 0)</f>
        <v>0</v>
      </c>
      <c r="M1144" s="15">
        <v>7000.0</v>
      </c>
      <c r="N1144" s="15"/>
      <c r="O1144" s="15">
        <f>M1144-N1144</f>
        <v>7000</v>
      </c>
      <c r="P1144" s="10" t="s">
        <v>42</v>
      </c>
      <c r="Q1144" s="10" t="s">
        <v>43</v>
      </c>
      <c r="R1144" s="10" t="s">
        <v>44</v>
      </c>
      <c r="S1144" s="8" t="s">
        <v>2142</v>
      </c>
      <c r="T1144" s="8" t="s">
        <v>44</v>
      </c>
    </row>
    <row r="1145" spans="1:20">
      <c r="A1145" s="11">
        <v>1138</v>
      </c>
      <c r="B1145" s="11" t="s">
        <v>1454</v>
      </c>
      <c r="C1145" s="11" t="s">
        <v>1455</v>
      </c>
      <c r="D1145" s="11" t="s">
        <v>655</v>
      </c>
      <c r="E1145" s="11" t="s">
        <v>34</v>
      </c>
      <c r="F1145" s="11" t="s">
        <v>35</v>
      </c>
      <c r="G1145" s="9" t="s">
        <v>41</v>
      </c>
      <c r="H1145" s="13">
        <v>1</v>
      </c>
      <c r="I1145" s="13">
        <v>2</v>
      </c>
      <c r="J1145" s="16">
        <v>14000.0</v>
      </c>
      <c r="K1145" s="16"/>
      <c r="L1145" s="18">
        <f>IF(J1145&gt;0, K1145/J1145, 0)</f>
        <v>0</v>
      </c>
      <c r="M1145" s="16">
        <v>14000.0</v>
      </c>
      <c r="N1145" s="16"/>
      <c r="O1145" s="16">
        <f>M1145-N1145</f>
        <v>14000</v>
      </c>
      <c r="P1145" s="11" t="s">
        <v>42</v>
      </c>
      <c r="Q1145" s="11" t="s">
        <v>43</v>
      </c>
      <c r="R1145" s="11" t="s">
        <v>44</v>
      </c>
      <c r="S1145" s="9" t="s">
        <v>2044</v>
      </c>
      <c r="T1145" s="9" t="s">
        <v>44</v>
      </c>
    </row>
    <row r="1146" spans="1:20">
      <c r="A1146" s="10">
        <v>1139</v>
      </c>
      <c r="B1146" s="10" t="s">
        <v>1456</v>
      </c>
      <c r="C1146" s="10" t="s">
        <v>1455</v>
      </c>
      <c r="D1146" s="10" t="s">
        <v>655</v>
      </c>
      <c r="E1146" s="10" t="s">
        <v>34</v>
      </c>
      <c r="F1146" s="10" t="s">
        <v>35</v>
      </c>
      <c r="G1146" s="8" t="s">
        <v>41</v>
      </c>
      <c r="H1146" s="12">
        <v>1</v>
      </c>
      <c r="I1146" s="12">
        <v>1</v>
      </c>
      <c r="J1146" s="15">
        <v>8000.0</v>
      </c>
      <c r="K1146" s="15"/>
      <c r="L1146" s="17">
        <f>IF(J1146&gt;0, K1146/J1146, 0)</f>
        <v>0</v>
      </c>
      <c r="M1146" s="15">
        <v>8000.0</v>
      </c>
      <c r="N1146" s="15"/>
      <c r="O1146" s="15">
        <f>M1146-N1146</f>
        <v>8000</v>
      </c>
      <c r="P1146" s="10" t="s">
        <v>42</v>
      </c>
      <c r="Q1146" s="10" t="s">
        <v>43</v>
      </c>
      <c r="R1146" s="10" t="s">
        <v>44</v>
      </c>
      <c r="S1146" s="8" t="s">
        <v>2020</v>
      </c>
      <c r="T1146" s="8" t="s">
        <v>44</v>
      </c>
    </row>
    <row r="1147" spans="1:20">
      <c r="A1147" s="11">
        <v>1140</v>
      </c>
      <c r="B1147" s="11" t="s">
        <v>1457</v>
      </c>
      <c r="C1147" s="11" t="s">
        <v>1455</v>
      </c>
      <c r="D1147" s="11" t="s">
        <v>655</v>
      </c>
      <c r="E1147" s="11" t="s">
        <v>34</v>
      </c>
      <c r="F1147" s="11" t="s">
        <v>35</v>
      </c>
      <c r="G1147" s="9" t="s">
        <v>41</v>
      </c>
      <c r="H1147" s="13">
        <v>1</v>
      </c>
      <c r="I1147" s="13">
        <v>2</v>
      </c>
      <c r="J1147" s="16">
        <v>14000.0</v>
      </c>
      <c r="K1147" s="16"/>
      <c r="L1147" s="18">
        <f>IF(J1147&gt;0, K1147/J1147, 0)</f>
        <v>0</v>
      </c>
      <c r="M1147" s="16">
        <v>14000.0</v>
      </c>
      <c r="N1147" s="16"/>
      <c r="O1147" s="16">
        <f>M1147-N1147</f>
        <v>14000</v>
      </c>
      <c r="P1147" s="11" t="s">
        <v>42</v>
      </c>
      <c r="Q1147" s="11" t="s">
        <v>43</v>
      </c>
      <c r="R1147" s="11" t="s">
        <v>44</v>
      </c>
      <c r="S1147" s="9" t="s">
        <v>2140</v>
      </c>
      <c r="T1147" s="9" t="s">
        <v>44</v>
      </c>
    </row>
    <row r="1148" spans="1:20">
      <c r="A1148" s="10">
        <v>1141</v>
      </c>
      <c r="B1148" s="10" t="s">
        <v>1458</v>
      </c>
      <c r="C1148" s="10" t="s">
        <v>1455</v>
      </c>
      <c r="D1148" s="10" t="s">
        <v>655</v>
      </c>
      <c r="E1148" s="10" t="s">
        <v>34</v>
      </c>
      <c r="F1148" s="10" t="s">
        <v>35</v>
      </c>
      <c r="G1148" s="8" t="s">
        <v>41</v>
      </c>
      <c r="H1148" s="12">
        <v>1</v>
      </c>
      <c r="I1148" s="12">
        <v>1</v>
      </c>
      <c r="J1148" s="15">
        <v>7000.0</v>
      </c>
      <c r="K1148" s="15"/>
      <c r="L1148" s="17">
        <f>IF(J1148&gt;0, K1148/J1148, 0)</f>
        <v>0</v>
      </c>
      <c r="M1148" s="15">
        <v>7000.0</v>
      </c>
      <c r="N1148" s="15"/>
      <c r="O1148" s="15">
        <f>M1148-N1148</f>
        <v>7000</v>
      </c>
      <c r="P1148" s="10" t="s">
        <v>42</v>
      </c>
      <c r="Q1148" s="10" t="s">
        <v>43</v>
      </c>
      <c r="R1148" s="10" t="s">
        <v>44</v>
      </c>
      <c r="S1148" s="8" t="s">
        <v>2209</v>
      </c>
      <c r="T1148" s="8" t="s">
        <v>44</v>
      </c>
    </row>
    <row r="1149" spans="1:20">
      <c r="A1149" s="11">
        <v>1142</v>
      </c>
      <c r="B1149" s="11" t="s">
        <v>1460</v>
      </c>
      <c r="C1149" s="11" t="s">
        <v>1455</v>
      </c>
      <c r="D1149" s="11" t="s">
        <v>655</v>
      </c>
      <c r="E1149" s="11" t="s">
        <v>34</v>
      </c>
      <c r="F1149" s="11" t="s">
        <v>35</v>
      </c>
      <c r="G1149" s="9" t="s">
        <v>41</v>
      </c>
      <c r="H1149" s="13">
        <v>1</v>
      </c>
      <c r="I1149" s="13">
        <v>1</v>
      </c>
      <c r="J1149" s="16">
        <v>16000.0</v>
      </c>
      <c r="K1149" s="16"/>
      <c r="L1149" s="18">
        <f>IF(J1149&gt;0, K1149/J1149, 0)</f>
        <v>0</v>
      </c>
      <c r="M1149" s="16">
        <v>16000.0</v>
      </c>
      <c r="N1149" s="16"/>
      <c r="O1149" s="16">
        <f>M1149-N1149</f>
        <v>16000</v>
      </c>
      <c r="P1149" s="11" t="s">
        <v>42</v>
      </c>
      <c r="Q1149" s="11" t="s">
        <v>43</v>
      </c>
      <c r="R1149" s="11" t="s">
        <v>44</v>
      </c>
      <c r="S1149" s="9" t="s">
        <v>2032</v>
      </c>
      <c r="T1149" s="9" t="s">
        <v>44</v>
      </c>
    </row>
    <row r="1150" spans="1:20">
      <c r="A1150" s="10">
        <v>1143</v>
      </c>
      <c r="B1150" s="10" t="s">
        <v>1461</v>
      </c>
      <c r="C1150" s="10" t="s">
        <v>1455</v>
      </c>
      <c r="D1150" s="10" t="s">
        <v>655</v>
      </c>
      <c r="E1150" s="10" t="s">
        <v>34</v>
      </c>
      <c r="F1150" s="10" t="s">
        <v>35</v>
      </c>
      <c r="G1150" s="8" t="s">
        <v>41</v>
      </c>
      <c r="H1150" s="12">
        <v>1</v>
      </c>
      <c r="I1150" s="12">
        <v>1</v>
      </c>
      <c r="J1150" s="15">
        <v>7000.0</v>
      </c>
      <c r="K1150" s="15"/>
      <c r="L1150" s="17">
        <f>IF(J1150&gt;0, K1150/J1150, 0)</f>
        <v>0</v>
      </c>
      <c r="M1150" s="15">
        <v>7000.0</v>
      </c>
      <c r="N1150" s="15"/>
      <c r="O1150" s="15">
        <f>M1150-N1150</f>
        <v>7000</v>
      </c>
      <c r="P1150" s="10" t="s">
        <v>42</v>
      </c>
      <c r="Q1150" s="10" t="s">
        <v>43</v>
      </c>
      <c r="R1150" s="10" t="s">
        <v>44</v>
      </c>
      <c r="S1150" s="8" t="s">
        <v>2034</v>
      </c>
      <c r="T1150" s="8" t="s">
        <v>44</v>
      </c>
    </row>
    <row r="1151" spans="1:20">
      <c r="A1151" s="11">
        <v>1144</v>
      </c>
      <c r="B1151" s="11" t="s">
        <v>1462</v>
      </c>
      <c r="C1151" s="11" t="s">
        <v>1455</v>
      </c>
      <c r="D1151" s="11" t="s">
        <v>655</v>
      </c>
      <c r="E1151" s="11" t="s">
        <v>34</v>
      </c>
      <c r="F1151" s="11" t="s">
        <v>35</v>
      </c>
      <c r="G1151" s="9" t="s">
        <v>41</v>
      </c>
      <c r="H1151" s="13">
        <v>1</v>
      </c>
      <c r="I1151" s="13">
        <v>2</v>
      </c>
      <c r="J1151" s="16">
        <v>17000.0</v>
      </c>
      <c r="K1151" s="16"/>
      <c r="L1151" s="18">
        <f>IF(J1151&gt;0, K1151/J1151, 0)</f>
        <v>0</v>
      </c>
      <c r="M1151" s="16">
        <v>17000.0</v>
      </c>
      <c r="N1151" s="16"/>
      <c r="O1151" s="16">
        <f>M1151-N1151</f>
        <v>17000</v>
      </c>
      <c r="P1151" s="11" t="s">
        <v>42</v>
      </c>
      <c r="Q1151" s="11" t="s">
        <v>43</v>
      </c>
      <c r="R1151" s="11" t="s">
        <v>44</v>
      </c>
      <c r="S1151" s="9" t="s">
        <v>2155</v>
      </c>
      <c r="T1151" s="9" t="s">
        <v>44</v>
      </c>
    </row>
    <row r="1152" spans="1:20">
      <c r="A1152" s="10">
        <v>1145</v>
      </c>
      <c r="B1152" s="10" t="s">
        <v>1463</v>
      </c>
      <c r="C1152" s="10" t="s">
        <v>1455</v>
      </c>
      <c r="D1152" s="10" t="s">
        <v>655</v>
      </c>
      <c r="E1152" s="10" t="s">
        <v>34</v>
      </c>
      <c r="F1152" s="10" t="s">
        <v>35</v>
      </c>
      <c r="G1152" s="8" t="s">
        <v>41</v>
      </c>
      <c r="H1152" s="12">
        <v>1</v>
      </c>
      <c r="I1152" s="12">
        <v>2</v>
      </c>
      <c r="J1152" s="15">
        <v>33000.0</v>
      </c>
      <c r="K1152" s="15"/>
      <c r="L1152" s="17">
        <f>IF(J1152&gt;0, K1152/J1152, 0)</f>
        <v>0</v>
      </c>
      <c r="M1152" s="15">
        <v>33000.0</v>
      </c>
      <c r="N1152" s="15"/>
      <c r="O1152" s="15">
        <f>M1152-N1152</f>
        <v>33000</v>
      </c>
      <c r="P1152" s="10" t="s">
        <v>42</v>
      </c>
      <c r="Q1152" s="10" t="s">
        <v>43</v>
      </c>
      <c r="R1152" s="10" t="s">
        <v>44</v>
      </c>
      <c r="S1152" s="8" t="s">
        <v>2210</v>
      </c>
      <c r="T1152" s="8" t="s">
        <v>44</v>
      </c>
    </row>
    <row r="1153" spans="1:20">
      <c r="A1153" s="11">
        <v>1146</v>
      </c>
      <c r="B1153" s="11" t="s">
        <v>1464</v>
      </c>
      <c r="C1153" s="11" t="s">
        <v>1455</v>
      </c>
      <c r="D1153" s="11" t="s">
        <v>655</v>
      </c>
      <c r="E1153" s="11" t="s">
        <v>34</v>
      </c>
      <c r="F1153" s="11" t="s">
        <v>35</v>
      </c>
      <c r="G1153" s="9" t="s">
        <v>41</v>
      </c>
      <c r="H1153" s="13">
        <v>1</v>
      </c>
      <c r="I1153" s="13">
        <v>2</v>
      </c>
      <c r="J1153" s="16">
        <v>18000.0</v>
      </c>
      <c r="K1153" s="16"/>
      <c r="L1153" s="18">
        <f>IF(J1153&gt;0, K1153/J1153, 0)</f>
        <v>0</v>
      </c>
      <c r="M1153" s="16">
        <v>18000.0</v>
      </c>
      <c r="N1153" s="16"/>
      <c r="O1153" s="16">
        <f>M1153-N1153</f>
        <v>18000</v>
      </c>
      <c r="P1153" s="11" t="s">
        <v>42</v>
      </c>
      <c r="Q1153" s="11" t="s">
        <v>43</v>
      </c>
      <c r="R1153" s="11" t="s">
        <v>44</v>
      </c>
      <c r="S1153" s="9" t="s">
        <v>2169</v>
      </c>
      <c r="T1153" s="9" t="s">
        <v>44</v>
      </c>
    </row>
    <row r="1154" spans="1:20">
      <c r="A1154" s="10">
        <v>1147</v>
      </c>
      <c r="B1154" s="10" t="s">
        <v>1465</v>
      </c>
      <c r="C1154" s="10" t="s">
        <v>1455</v>
      </c>
      <c r="D1154" s="10" t="s">
        <v>655</v>
      </c>
      <c r="E1154" s="10" t="s">
        <v>34</v>
      </c>
      <c r="F1154" s="10" t="s">
        <v>35</v>
      </c>
      <c r="G1154" s="8" t="s">
        <v>41</v>
      </c>
      <c r="H1154" s="12">
        <v>1</v>
      </c>
      <c r="I1154" s="12">
        <v>3</v>
      </c>
      <c r="J1154" s="15">
        <v>24000.0</v>
      </c>
      <c r="K1154" s="15"/>
      <c r="L1154" s="17">
        <f>IF(J1154&gt;0, K1154/J1154, 0)</f>
        <v>0</v>
      </c>
      <c r="M1154" s="15">
        <v>24000.0</v>
      </c>
      <c r="N1154" s="15"/>
      <c r="O1154" s="15">
        <f>M1154-N1154</f>
        <v>24000</v>
      </c>
      <c r="P1154" s="10" t="s">
        <v>42</v>
      </c>
      <c r="Q1154" s="10" t="s">
        <v>43</v>
      </c>
      <c r="R1154" s="10" t="s">
        <v>44</v>
      </c>
      <c r="S1154" s="8" t="s">
        <v>2211</v>
      </c>
      <c r="T1154" s="8" t="s">
        <v>44</v>
      </c>
    </row>
    <row r="1155" spans="1:20">
      <c r="A1155" s="11">
        <v>1148</v>
      </c>
      <c r="B1155" s="11" t="s">
        <v>1466</v>
      </c>
      <c r="C1155" s="11" t="s">
        <v>1455</v>
      </c>
      <c r="D1155" s="11" t="s">
        <v>655</v>
      </c>
      <c r="E1155" s="11" t="s">
        <v>70</v>
      </c>
      <c r="F1155" s="11" t="s">
        <v>35</v>
      </c>
      <c r="G1155" s="9" t="s">
        <v>41</v>
      </c>
      <c r="H1155" s="13">
        <v>1</v>
      </c>
      <c r="I1155" s="13">
        <v>1</v>
      </c>
      <c r="J1155" s="16">
        <v>18000.0</v>
      </c>
      <c r="K1155" s="16"/>
      <c r="L1155" s="18">
        <f>IF(J1155&gt;0, K1155/J1155, 0)</f>
        <v>0</v>
      </c>
      <c r="M1155" s="16">
        <v>18000.0</v>
      </c>
      <c r="N1155" s="16"/>
      <c r="O1155" s="16">
        <f>M1155-N1155</f>
        <v>18000</v>
      </c>
      <c r="P1155" s="11" t="s">
        <v>42</v>
      </c>
      <c r="Q1155" s="11" t="s">
        <v>73</v>
      </c>
      <c r="R1155" s="11" t="s">
        <v>44</v>
      </c>
      <c r="S1155" s="9" t="s">
        <v>2052</v>
      </c>
      <c r="T1155" s="9" t="s">
        <v>44</v>
      </c>
    </row>
    <row r="1156" spans="1:20">
      <c r="A1156" s="10">
        <v>1149</v>
      </c>
      <c r="B1156" s="10" t="s">
        <v>1467</v>
      </c>
      <c r="C1156" s="10" t="s">
        <v>1455</v>
      </c>
      <c r="D1156" s="10" t="s">
        <v>655</v>
      </c>
      <c r="E1156" s="10" t="s">
        <v>34</v>
      </c>
      <c r="F1156" s="10" t="s">
        <v>35</v>
      </c>
      <c r="G1156" s="8" t="s">
        <v>41</v>
      </c>
      <c r="H1156" s="12">
        <v>1</v>
      </c>
      <c r="I1156" s="12">
        <v>1</v>
      </c>
      <c r="J1156" s="15">
        <v>7500.0</v>
      </c>
      <c r="K1156" s="15"/>
      <c r="L1156" s="17">
        <f>IF(J1156&gt;0, K1156/J1156, 0)</f>
        <v>0</v>
      </c>
      <c r="M1156" s="15">
        <v>7500.0</v>
      </c>
      <c r="N1156" s="15"/>
      <c r="O1156" s="15">
        <f>M1156-N1156</f>
        <v>7500</v>
      </c>
      <c r="P1156" s="10" t="s">
        <v>42</v>
      </c>
      <c r="Q1156" s="10" t="s">
        <v>43</v>
      </c>
      <c r="R1156" s="10" t="s">
        <v>44</v>
      </c>
      <c r="S1156" s="8" t="s">
        <v>2074</v>
      </c>
      <c r="T1156" s="8" t="s">
        <v>44</v>
      </c>
    </row>
    <row r="1157" spans="1:20">
      <c r="A1157" s="11">
        <v>1150</v>
      </c>
      <c r="B1157" s="11" t="s">
        <v>1468</v>
      </c>
      <c r="C1157" s="11" t="s">
        <v>1455</v>
      </c>
      <c r="D1157" s="11" t="s">
        <v>655</v>
      </c>
      <c r="E1157" s="11" t="s">
        <v>34</v>
      </c>
      <c r="F1157" s="11" t="s">
        <v>35</v>
      </c>
      <c r="G1157" s="9" t="s">
        <v>41</v>
      </c>
      <c r="H1157" s="13">
        <v>1</v>
      </c>
      <c r="I1157" s="13">
        <v>1</v>
      </c>
      <c r="J1157" s="16">
        <v>8500.0</v>
      </c>
      <c r="K1157" s="16"/>
      <c r="L1157" s="18">
        <f>IF(J1157&gt;0, K1157/J1157, 0)</f>
        <v>0</v>
      </c>
      <c r="M1157" s="16">
        <v>8500.0</v>
      </c>
      <c r="N1157" s="16"/>
      <c r="O1157" s="16">
        <f>M1157-N1157</f>
        <v>8500</v>
      </c>
      <c r="P1157" s="11" t="s">
        <v>42</v>
      </c>
      <c r="Q1157" s="11" t="s">
        <v>43</v>
      </c>
      <c r="R1157" s="11" t="s">
        <v>44</v>
      </c>
      <c r="S1157" s="9" t="s">
        <v>2022</v>
      </c>
      <c r="T1157" s="9" t="s">
        <v>44</v>
      </c>
    </row>
    <row r="1158" spans="1:20">
      <c r="A1158" s="10">
        <v>1151</v>
      </c>
      <c r="B1158" s="10" t="s">
        <v>1469</v>
      </c>
      <c r="C1158" s="10" t="s">
        <v>1455</v>
      </c>
      <c r="D1158" s="10" t="s">
        <v>655</v>
      </c>
      <c r="E1158" s="10" t="s">
        <v>34</v>
      </c>
      <c r="F1158" s="10" t="s">
        <v>35</v>
      </c>
      <c r="G1158" s="8" t="s">
        <v>41</v>
      </c>
      <c r="H1158" s="12">
        <v>1</v>
      </c>
      <c r="I1158" s="12">
        <v>2</v>
      </c>
      <c r="J1158" s="15">
        <v>33000.0</v>
      </c>
      <c r="K1158" s="15"/>
      <c r="L1158" s="17">
        <f>IF(J1158&gt;0, K1158/J1158, 0)</f>
        <v>0</v>
      </c>
      <c r="M1158" s="15">
        <v>33000.0</v>
      </c>
      <c r="N1158" s="15"/>
      <c r="O1158" s="15">
        <f>M1158-N1158</f>
        <v>33000</v>
      </c>
      <c r="P1158" s="10" t="s">
        <v>42</v>
      </c>
      <c r="Q1158" s="10" t="s">
        <v>43</v>
      </c>
      <c r="R1158" s="10" t="s">
        <v>44</v>
      </c>
      <c r="S1158" s="8" t="s">
        <v>2210</v>
      </c>
      <c r="T1158" s="8" t="s">
        <v>44</v>
      </c>
    </row>
    <row r="1159" spans="1:20">
      <c r="A1159" s="11">
        <v>1152</v>
      </c>
      <c r="B1159" s="11" t="s">
        <v>1470</v>
      </c>
      <c r="C1159" s="11" t="s">
        <v>1455</v>
      </c>
      <c r="D1159" s="11" t="s">
        <v>655</v>
      </c>
      <c r="E1159" s="11" t="s">
        <v>34</v>
      </c>
      <c r="F1159" s="11" t="s">
        <v>35</v>
      </c>
      <c r="G1159" s="9" t="s">
        <v>41</v>
      </c>
      <c r="H1159" s="13">
        <v>1</v>
      </c>
      <c r="I1159" s="13">
        <v>1</v>
      </c>
      <c r="J1159" s="16">
        <v>18000.0</v>
      </c>
      <c r="K1159" s="16"/>
      <c r="L1159" s="18">
        <f>IF(J1159&gt;0, K1159/J1159, 0)</f>
        <v>0</v>
      </c>
      <c r="M1159" s="16">
        <v>18000.0</v>
      </c>
      <c r="N1159" s="16"/>
      <c r="O1159" s="16">
        <f>M1159-N1159</f>
        <v>18000</v>
      </c>
      <c r="P1159" s="11" t="s">
        <v>42</v>
      </c>
      <c r="Q1159" s="11" t="s">
        <v>43</v>
      </c>
      <c r="R1159" s="11" t="s">
        <v>44</v>
      </c>
      <c r="S1159" s="9" t="s">
        <v>2065</v>
      </c>
      <c r="T1159" s="9" t="s">
        <v>44</v>
      </c>
    </row>
    <row r="1160" spans="1:20">
      <c r="A1160" s="10">
        <v>1153</v>
      </c>
      <c r="B1160" s="10" t="s">
        <v>1471</v>
      </c>
      <c r="C1160" s="10" t="s">
        <v>1455</v>
      </c>
      <c r="D1160" s="10" t="s">
        <v>655</v>
      </c>
      <c r="E1160" s="10" t="s">
        <v>34</v>
      </c>
      <c r="F1160" s="10" t="s">
        <v>35</v>
      </c>
      <c r="G1160" s="8" t="s">
        <v>41</v>
      </c>
      <c r="H1160" s="12">
        <v>1</v>
      </c>
      <c r="I1160" s="12">
        <v>2</v>
      </c>
      <c r="J1160" s="15">
        <v>18000.0</v>
      </c>
      <c r="K1160" s="15"/>
      <c r="L1160" s="17">
        <f>IF(J1160&gt;0, K1160/J1160, 0)</f>
        <v>0</v>
      </c>
      <c r="M1160" s="15">
        <v>18000.0</v>
      </c>
      <c r="N1160" s="15"/>
      <c r="O1160" s="15">
        <f>M1160-N1160</f>
        <v>18000</v>
      </c>
      <c r="P1160" s="10" t="s">
        <v>42</v>
      </c>
      <c r="Q1160" s="10" t="s">
        <v>43</v>
      </c>
      <c r="R1160" s="10" t="s">
        <v>44</v>
      </c>
      <c r="S1160" s="8" t="s">
        <v>2158</v>
      </c>
      <c r="T1160" s="8" t="s">
        <v>44</v>
      </c>
    </row>
    <row r="1161" spans="1:20">
      <c r="A1161" s="11">
        <v>1154</v>
      </c>
      <c r="B1161" s="11" t="s">
        <v>1472</v>
      </c>
      <c r="C1161" s="11" t="s">
        <v>1455</v>
      </c>
      <c r="D1161" s="11" t="s">
        <v>655</v>
      </c>
      <c r="E1161" s="11" t="s">
        <v>34</v>
      </c>
      <c r="F1161" s="11" t="s">
        <v>35</v>
      </c>
      <c r="G1161" s="9" t="s">
        <v>41</v>
      </c>
      <c r="H1161" s="13">
        <v>1</v>
      </c>
      <c r="I1161" s="13">
        <v>3</v>
      </c>
      <c r="J1161" s="16">
        <v>24000.0</v>
      </c>
      <c r="K1161" s="16"/>
      <c r="L1161" s="18">
        <f>IF(J1161&gt;0, K1161/J1161, 0)</f>
        <v>0</v>
      </c>
      <c r="M1161" s="16">
        <v>24000.0</v>
      </c>
      <c r="N1161" s="16"/>
      <c r="O1161" s="16">
        <f>M1161-N1161</f>
        <v>24000</v>
      </c>
      <c r="P1161" s="11" t="s">
        <v>42</v>
      </c>
      <c r="Q1161" s="11" t="s">
        <v>43</v>
      </c>
      <c r="R1161" s="11" t="s">
        <v>44</v>
      </c>
      <c r="S1161" s="9" t="s">
        <v>2204</v>
      </c>
      <c r="T1161" s="9" t="s">
        <v>44</v>
      </c>
    </row>
    <row r="1162" spans="1:20">
      <c r="A1162" s="10">
        <v>1155</v>
      </c>
      <c r="B1162" s="10" t="s">
        <v>1473</v>
      </c>
      <c r="C1162" s="10" t="s">
        <v>1455</v>
      </c>
      <c r="D1162" s="10" t="s">
        <v>655</v>
      </c>
      <c r="E1162" s="10" t="s">
        <v>34</v>
      </c>
      <c r="F1162" s="10" t="s">
        <v>35</v>
      </c>
      <c r="G1162" s="8" t="s">
        <v>41</v>
      </c>
      <c r="H1162" s="12">
        <v>1</v>
      </c>
      <c r="I1162" s="12">
        <v>1</v>
      </c>
      <c r="J1162" s="15">
        <v>17000.0</v>
      </c>
      <c r="K1162" s="15"/>
      <c r="L1162" s="17">
        <f>IF(J1162&gt;0, K1162/J1162, 0)</f>
        <v>0</v>
      </c>
      <c r="M1162" s="15">
        <v>17000.0</v>
      </c>
      <c r="N1162" s="15"/>
      <c r="O1162" s="15">
        <f>M1162-N1162</f>
        <v>17000</v>
      </c>
      <c r="P1162" s="10" t="s">
        <v>42</v>
      </c>
      <c r="Q1162" s="10" t="s">
        <v>43</v>
      </c>
      <c r="R1162" s="10" t="s">
        <v>44</v>
      </c>
      <c r="S1162" s="8" t="s">
        <v>2072</v>
      </c>
      <c r="T1162" s="8" t="s">
        <v>44</v>
      </c>
    </row>
    <row r="1163" spans="1:20">
      <c r="A1163" s="11">
        <v>1156</v>
      </c>
      <c r="B1163" s="11" t="s">
        <v>1474</v>
      </c>
      <c r="C1163" s="11" t="s">
        <v>1455</v>
      </c>
      <c r="D1163" s="11" t="s">
        <v>655</v>
      </c>
      <c r="E1163" s="11" t="s">
        <v>34</v>
      </c>
      <c r="F1163" s="11" t="s">
        <v>35</v>
      </c>
      <c r="G1163" s="9" t="s">
        <v>41</v>
      </c>
      <c r="H1163" s="13">
        <v>1</v>
      </c>
      <c r="I1163" s="13">
        <v>2</v>
      </c>
      <c r="J1163" s="16">
        <v>16000.0</v>
      </c>
      <c r="K1163" s="16"/>
      <c r="L1163" s="18">
        <f>IF(J1163&gt;0, K1163/J1163, 0)</f>
        <v>0</v>
      </c>
      <c r="M1163" s="16">
        <v>16000.0</v>
      </c>
      <c r="N1163" s="16"/>
      <c r="O1163" s="16">
        <f>M1163-N1163</f>
        <v>16000</v>
      </c>
      <c r="P1163" s="11" t="s">
        <v>42</v>
      </c>
      <c r="Q1163" s="11" t="s">
        <v>43</v>
      </c>
      <c r="R1163" s="11" t="s">
        <v>44</v>
      </c>
      <c r="S1163" s="9" t="s">
        <v>2212</v>
      </c>
      <c r="T1163" s="9" t="s">
        <v>44</v>
      </c>
    </row>
    <row r="1164" spans="1:20">
      <c r="A1164" s="10">
        <v>1157</v>
      </c>
      <c r="B1164" s="10" t="s">
        <v>1475</v>
      </c>
      <c r="C1164" s="10" t="s">
        <v>1455</v>
      </c>
      <c r="D1164" s="10" t="s">
        <v>655</v>
      </c>
      <c r="E1164" s="10" t="s">
        <v>34</v>
      </c>
      <c r="F1164" s="10" t="s">
        <v>35</v>
      </c>
      <c r="G1164" s="8" t="s">
        <v>41</v>
      </c>
      <c r="H1164" s="12">
        <v>1</v>
      </c>
      <c r="I1164" s="12">
        <v>1</v>
      </c>
      <c r="J1164" s="15">
        <v>18000.0</v>
      </c>
      <c r="K1164" s="15"/>
      <c r="L1164" s="17">
        <f>IF(J1164&gt;0, K1164/J1164, 0)</f>
        <v>0</v>
      </c>
      <c r="M1164" s="15">
        <v>18000.0</v>
      </c>
      <c r="N1164" s="15"/>
      <c r="O1164" s="15">
        <f>M1164-N1164</f>
        <v>18000</v>
      </c>
      <c r="P1164" s="10" t="s">
        <v>42</v>
      </c>
      <c r="Q1164" s="10" t="s">
        <v>43</v>
      </c>
      <c r="R1164" s="10" t="s">
        <v>44</v>
      </c>
      <c r="S1164" s="8" t="s">
        <v>2021</v>
      </c>
      <c r="T1164" s="8" t="s">
        <v>44</v>
      </c>
    </row>
    <row r="1165" spans="1:20">
      <c r="A1165" s="11">
        <v>1158</v>
      </c>
      <c r="B1165" s="11" t="s">
        <v>1476</v>
      </c>
      <c r="C1165" s="11" t="s">
        <v>1455</v>
      </c>
      <c r="D1165" s="11" t="s">
        <v>655</v>
      </c>
      <c r="E1165" s="11" t="s">
        <v>34</v>
      </c>
      <c r="F1165" s="11" t="s">
        <v>35</v>
      </c>
      <c r="G1165" s="9" t="s">
        <v>41</v>
      </c>
      <c r="H1165" s="13">
        <v>1</v>
      </c>
      <c r="I1165" s="13">
        <v>2</v>
      </c>
      <c r="J1165" s="16">
        <v>14000.0</v>
      </c>
      <c r="K1165" s="16"/>
      <c r="L1165" s="18">
        <f>IF(J1165&gt;0, K1165/J1165, 0)</f>
        <v>0</v>
      </c>
      <c r="M1165" s="16">
        <v>14000.0</v>
      </c>
      <c r="N1165" s="16"/>
      <c r="O1165" s="16">
        <f>M1165-N1165</f>
        <v>14000</v>
      </c>
      <c r="P1165" s="11" t="s">
        <v>42</v>
      </c>
      <c r="Q1165" s="11" t="s">
        <v>43</v>
      </c>
      <c r="R1165" s="11" t="s">
        <v>44</v>
      </c>
      <c r="S1165" s="9" t="s">
        <v>2213</v>
      </c>
      <c r="T1165" s="9" t="s">
        <v>44</v>
      </c>
    </row>
    <row r="1166" spans="1:20">
      <c r="A1166" s="10">
        <v>1159</v>
      </c>
      <c r="B1166" s="10" t="s">
        <v>1477</v>
      </c>
      <c r="C1166" s="10" t="s">
        <v>1455</v>
      </c>
      <c r="D1166" s="10" t="s">
        <v>655</v>
      </c>
      <c r="E1166" s="10" t="s">
        <v>34</v>
      </c>
      <c r="F1166" s="10" t="s">
        <v>35</v>
      </c>
      <c r="G1166" s="8" t="s">
        <v>41</v>
      </c>
      <c r="H1166" s="12">
        <v>1</v>
      </c>
      <c r="I1166" s="12">
        <v>1</v>
      </c>
      <c r="J1166" s="15">
        <v>8000.0</v>
      </c>
      <c r="K1166" s="15"/>
      <c r="L1166" s="17">
        <f>IF(J1166&gt;0, K1166/J1166, 0)</f>
        <v>0</v>
      </c>
      <c r="M1166" s="15">
        <v>8000.0</v>
      </c>
      <c r="N1166" s="15"/>
      <c r="O1166" s="15">
        <f>M1166-N1166</f>
        <v>8000</v>
      </c>
      <c r="P1166" s="10" t="s">
        <v>42</v>
      </c>
      <c r="Q1166" s="10" t="s">
        <v>43</v>
      </c>
      <c r="R1166" s="10" t="s">
        <v>44</v>
      </c>
      <c r="S1166" s="8" t="s">
        <v>2129</v>
      </c>
      <c r="T1166" s="8" t="s">
        <v>44</v>
      </c>
    </row>
    <row r="1167" spans="1:20">
      <c r="A1167" s="11">
        <v>1160</v>
      </c>
      <c r="B1167" s="11" t="s">
        <v>1478</v>
      </c>
      <c r="C1167" s="11" t="s">
        <v>1455</v>
      </c>
      <c r="D1167" s="11" t="s">
        <v>655</v>
      </c>
      <c r="E1167" s="11" t="s">
        <v>34</v>
      </c>
      <c r="F1167" s="11" t="s">
        <v>35</v>
      </c>
      <c r="G1167" s="9" t="s">
        <v>41</v>
      </c>
      <c r="H1167" s="13">
        <v>1</v>
      </c>
      <c r="I1167" s="13">
        <v>3</v>
      </c>
      <c r="J1167" s="16">
        <v>21000.0</v>
      </c>
      <c r="K1167" s="16"/>
      <c r="L1167" s="18">
        <f>IF(J1167&gt;0, K1167/J1167, 0)</f>
        <v>0</v>
      </c>
      <c r="M1167" s="16">
        <v>21000.0</v>
      </c>
      <c r="N1167" s="16"/>
      <c r="O1167" s="16">
        <f>M1167-N1167</f>
        <v>21000</v>
      </c>
      <c r="P1167" s="11" t="s">
        <v>42</v>
      </c>
      <c r="Q1167" s="11" t="s">
        <v>43</v>
      </c>
      <c r="R1167" s="11" t="s">
        <v>44</v>
      </c>
      <c r="S1167" s="9" t="s">
        <v>2163</v>
      </c>
      <c r="T1167" s="9" t="s">
        <v>44</v>
      </c>
    </row>
    <row r="1168" spans="1:20">
      <c r="A1168" s="10">
        <v>1161</v>
      </c>
      <c r="B1168" s="10" t="s">
        <v>1479</v>
      </c>
      <c r="C1168" s="10" t="s">
        <v>1455</v>
      </c>
      <c r="D1168" s="10" t="s">
        <v>655</v>
      </c>
      <c r="E1168" s="10" t="s">
        <v>34</v>
      </c>
      <c r="F1168" s="10" t="s">
        <v>35</v>
      </c>
      <c r="G1168" s="8" t="s">
        <v>41</v>
      </c>
      <c r="H1168" s="12">
        <v>1</v>
      </c>
      <c r="I1168" s="12">
        <v>1</v>
      </c>
      <c r="J1168" s="15">
        <v>17000.0</v>
      </c>
      <c r="K1168" s="15"/>
      <c r="L1168" s="17">
        <f>IF(J1168&gt;0, K1168/J1168, 0)</f>
        <v>0</v>
      </c>
      <c r="M1168" s="15">
        <v>17000.0</v>
      </c>
      <c r="N1168" s="15"/>
      <c r="O1168" s="15">
        <f>M1168-N1168</f>
        <v>17000</v>
      </c>
      <c r="P1168" s="10" t="s">
        <v>42</v>
      </c>
      <c r="Q1168" s="10" t="s">
        <v>43</v>
      </c>
      <c r="R1168" s="10" t="s">
        <v>44</v>
      </c>
      <c r="S1168" s="8" t="s">
        <v>2090</v>
      </c>
      <c r="T1168" s="8" t="s">
        <v>44</v>
      </c>
    </row>
    <row r="1169" spans="1:20">
      <c r="A1169" s="11">
        <v>1162</v>
      </c>
      <c r="B1169" s="11" t="s">
        <v>1480</v>
      </c>
      <c r="C1169" s="11" t="s">
        <v>1455</v>
      </c>
      <c r="D1169" s="11" t="s">
        <v>655</v>
      </c>
      <c r="E1169" s="11" t="s">
        <v>34</v>
      </c>
      <c r="F1169" s="11" t="s">
        <v>35</v>
      </c>
      <c r="G1169" s="9" t="s">
        <v>41</v>
      </c>
      <c r="H1169" s="13">
        <v>1</v>
      </c>
      <c r="I1169" s="13">
        <v>1</v>
      </c>
      <c r="J1169" s="16">
        <v>8000.0</v>
      </c>
      <c r="K1169" s="16"/>
      <c r="L1169" s="18">
        <f>IF(J1169&gt;0, K1169/J1169, 0)</f>
        <v>0</v>
      </c>
      <c r="M1169" s="16">
        <v>8000.0</v>
      </c>
      <c r="N1169" s="16"/>
      <c r="O1169" s="16">
        <f>M1169-N1169</f>
        <v>8000</v>
      </c>
      <c r="P1169" s="11" t="s">
        <v>42</v>
      </c>
      <c r="Q1169" s="11" t="s">
        <v>43</v>
      </c>
      <c r="R1169" s="11" t="s">
        <v>44</v>
      </c>
      <c r="S1169" s="9" t="s">
        <v>2087</v>
      </c>
      <c r="T1169" s="9" t="s">
        <v>44</v>
      </c>
    </row>
    <row r="1170" spans="1:20">
      <c r="A1170" s="10">
        <v>1163</v>
      </c>
      <c r="B1170" s="10" t="s">
        <v>1481</v>
      </c>
      <c r="C1170" s="10" t="s">
        <v>1455</v>
      </c>
      <c r="D1170" s="10" t="s">
        <v>655</v>
      </c>
      <c r="E1170" s="10" t="s">
        <v>34</v>
      </c>
      <c r="F1170" s="10" t="s">
        <v>35</v>
      </c>
      <c r="G1170" s="8" t="s">
        <v>41</v>
      </c>
      <c r="H1170" s="12">
        <v>1</v>
      </c>
      <c r="I1170" s="12">
        <v>1</v>
      </c>
      <c r="J1170" s="15">
        <v>7000.0</v>
      </c>
      <c r="K1170" s="15"/>
      <c r="L1170" s="17">
        <f>IF(J1170&gt;0, K1170/J1170, 0)</f>
        <v>0</v>
      </c>
      <c r="M1170" s="15">
        <v>7000.0</v>
      </c>
      <c r="N1170" s="15"/>
      <c r="O1170" s="15">
        <f>M1170-N1170</f>
        <v>7000</v>
      </c>
      <c r="P1170" s="10" t="s">
        <v>42</v>
      </c>
      <c r="Q1170" s="10" t="s">
        <v>43</v>
      </c>
      <c r="R1170" s="10" t="s">
        <v>44</v>
      </c>
      <c r="S1170" s="8" t="s">
        <v>2142</v>
      </c>
      <c r="T1170" s="8" t="s">
        <v>44</v>
      </c>
    </row>
    <row r="1171" spans="1:20">
      <c r="A1171" s="11">
        <v>1164</v>
      </c>
      <c r="B1171" s="11" t="s">
        <v>1482</v>
      </c>
      <c r="C1171" s="11" t="s">
        <v>1455</v>
      </c>
      <c r="D1171" s="11" t="s">
        <v>655</v>
      </c>
      <c r="E1171" s="11" t="s">
        <v>34</v>
      </c>
      <c r="F1171" s="11" t="s">
        <v>35</v>
      </c>
      <c r="G1171" s="9" t="s">
        <v>41</v>
      </c>
      <c r="H1171" s="13">
        <v>1</v>
      </c>
      <c r="I1171" s="13">
        <v>1</v>
      </c>
      <c r="J1171" s="16">
        <v>9000.0</v>
      </c>
      <c r="K1171" s="16"/>
      <c r="L1171" s="18">
        <f>IF(J1171&gt;0, K1171/J1171, 0)</f>
        <v>0</v>
      </c>
      <c r="M1171" s="16">
        <v>9000.0</v>
      </c>
      <c r="N1171" s="16"/>
      <c r="O1171" s="16">
        <f>M1171-N1171</f>
        <v>9000</v>
      </c>
      <c r="P1171" s="11" t="s">
        <v>42</v>
      </c>
      <c r="Q1171" s="11" t="s">
        <v>43</v>
      </c>
      <c r="R1171" s="11" t="s">
        <v>44</v>
      </c>
      <c r="S1171" s="9" t="s">
        <v>2106</v>
      </c>
      <c r="T1171" s="9" t="s">
        <v>44</v>
      </c>
    </row>
    <row r="1172" spans="1:20">
      <c r="A1172" s="10">
        <v>1165</v>
      </c>
      <c r="B1172" s="10" t="s">
        <v>1483</v>
      </c>
      <c r="C1172" s="10" t="s">
        <v>1455</v>
      </c>
      <c r="D1172" s="10" t="s">
        <v>655</v>
      </c>
      <c r="E1172" s="10" t="s">
        <v>34</v>
      </c>
      <c r="F1172" s="10" t="s">
        <v>35</v>
      </c>
      <c r="G1172" s="8" t="s">
        <v>41</v>
      </c>
      <c r="H1172" s="12">
        <v>1</v>
      </c>
      <c r="I1172" s="12">
        <v>2</v>
      </c>
      <c r="J1172" s="15">
        <v>16000.0</v>
      </c>
      <c r="K1172" s="15"/>
      <c r="L1172" s="17">
        <f>IF(J1172&gt;0, K1172/J1172, 0)</f>
        <v>0</v>
      </c>
      <c r="M1172" s="15">
        <v>16000.0</v>
      </c>
      <c r="N1172" s="15"/>
      <c r="O1172" s="15">
        <f>M1172-N1172</f>
        <v>16000</v>
      </c>
      <c r="P1172" s="10" t="s">
        <v>42</v>
      </c>
      <c r="Q1172" s="10" t="s">
        <v>43</v>
      </c>
      <c r="R1172" s="10" t="s">
        <v>44</v>
      </c>
      <c r="S1172" s="8" t="s">
        <v>2146</v>
      </c>
      <c r="T1172" s="8" t="s">
        <v>44</v>
      </c>
    </row>
    <row r="1173" spans="1:20">
      <c r="A1173" s="11">
        <v>1166</v>
      </c>
      <c r="B1173" s="11" t="s">
        <v>1484</v>
      </c>
      <c r="C1173" s="11" t="s">
        <v>1455</v>
      </c>
      <c r="D1173" s="11" t="s">
        <v>655</v>
      </c>
      <c r="E1173" s="11" t="s">
        <v>34</v>
      </c>
      <c r="F1173" s="11" t="s">
        <v>35</v>
      </c>
      <c r="G1173" s="9" t="s">
        <v>41</v>
      </c>
      <c r="H1173" s="13">
        <v>1</v>
      </c>
      <c r="I1173" s="13">
        <v>1</v>
      </c>
      <c r="J1173" s="16">
        <v>16000.0</v>
      </c>
      <c r="K1173" s="16"/>
      <c r="L1173" s="18">
        <f>IF(J1173&gt;0, K1173/J1173, 0)</f>
        <v>0</v>
      </c>
      <c r="M1173" s="16">
        <v>16000.0</v>
      </c>
      <c r="N1173" s="16"/>
      <c r="O1173" s="16">
        <f>M1173-N1173</f>
        <v>16000</v>
      </c>
      <c r="P1173" s="11" t="s">
        <v>42</v>
      </c>
      <c r="Q1173" s="11" t="s">
        <v>43</v>
      </c>
      <c r="R1173" s="11" t="s">
        <v>44</v>
      </c>
      <c r="S1173" s="9" t="s">
        <v>2072</v>
      </c>
      <c r="T1173" s="9" t="s">
        <v>44</v>
      </c>
    </row>
    <row r="1174" spans="1:20">
      <c r="A1174" s="10">
        <v>1167</v>
      </c>
      <c r="B1174" s="10" t="s">
        <v>1485</v>
      </c>
      <c r="C1174" s="10" t="s">
        <v>1455</v>
      </c>
      <c r="D1174" s="10" t="s">
        <v>655</v>
      </c>
      <c r="E1174" s="10" t="s">
        <v>34</v>
      </c>
      <c r="F1174" s="10" t="s">
        <v>35</v>
      </c>
      <c r="G1174" s="8" t="s">
        <v>41</v>
      </c>
      <c r="H1174" s="12">
        <v>1</v>
      </c>
      <c r="I1174" s="12">
        <v>1</v>
      </c>
      <c r="J1174" s="15">
        <v>9000.0</v>
      </c>
      <c r="K1174" s="15"/>
      <c r="L1174" s="17">
        <f>IF(J1174&gt;0, K1174/J1174, 0)</f>
        <v>0</v>
      </c>
      <c r="M1174" s="15">
        <v>9000.0</v>
      </c>
      <c r="N1174" s="15"/>
      <c r="O1174" s="15">
        <f>M1174-N1174</f>
        <v>9000</v>
      </c>
      <c r="P1174" s="10" t="s">
        <v>42</v>
      </c>
      <c r="Q1174" s="10" t="s">
        <v>43</v>
      </c>
      <c r="R1174" s="10" t="s">
        <v>44</v>
      </c>
      <c r="S1174" s="8" t="s">
        <v>2071</v>
      </c>
      <c r="T1174" s="8" t="s">
        <v>44</v>
      </c>
    </row>
    <row r="1175" spans="1:20">
      <c r="A1175" s="11">
        <v>1168</v>
      </c>
      <c r="B1175" s="11" t="s">
        <v>1486</v>
      </c>
      <c r="C1175" s="11" t="s">
        <v>1455</v>
      </c>
      <c r="D1175" s="11" t="s">
        <v>655</v>
      </c>
      <c r="E1175" s="11" t="s">
        <v>34</v>
      </c>
      <c r="F1175" s="11" t="s">
        <v>35</v>
      </c>
      <c r="G1175" s="9" t="s">
        <v>41</v>
      </c>
      <c r="H1175" s="13">
        <v>1</v>
      </c>
      <c r="I1175" s="13">
        <v>1</v>
      </c>
      <c r="J1175" s="16">
        <v>7000.0</v>
      </c>
      <c r="K1175" s="16"/>
      <c r="L1175" s="18">
        <f>IF(J1175&gt;0, K1175/J1175, 0)</f>
        <v>0</v>
      </c>
      <c r="M1175" s="16">
        <v>7000.0</v>
      </c>
      <c r="N1175" s="16"/>
      <c r="O1175" s="16">
        <f>M1175-N1175</f>
        <v>7000</v>
      </c>
      <c r="P1175" s="11" t="s">
        <v>42</v>
      </c>
      <c r="Q1175" s="11" t="s">
        <v>43</v>
      </c>
      <c r="R1175" s="11" t="s">
        <v>44</v>
      </c>
      <c r="S1175" s="9" t="s">
        <v>2100</v>
      </c>
      <c r="T1175" s="9" t="s">
        <v>44</v>
      </c>
    </row>
    <row r="1176" spans="1:20">
      <c r="A1176" s="10">
        <v>1169</v>
      </c>
      <c r="B1176" s="10" t="s">
        <v>1487</v>
      </c>
      <c r="C1176" s="10" t="s">
        <v>1455</v>
      </c>
      <c r="D1176" s="10" t="s">
        <v>655</v>
      </c>
      <c r="E1176" s="10" t="s">
        <v>34</v>
      </c>
      <c r="F1176" s="10" t="s">
        <v>35</v>
      </c>
      <c r="G1176" s="8" t="s">
        <v>41</v>
      </c>
      <c r="H1176" s="12">
        <v>1</v>
      </c>
      <c r="I1176" s="12">
        <v>1</v>
      </c>
      <c r="J1176" s="15">
        <v>8000.0</v>
      </c>
      <c r="K1176" s="15"/>
      <c r="L1176" s="17">
        <f>IF(J1176&gt;0, K1176/J1176, 0)</f>
        <v>0</v>
      </c>
      <c r="M1176" s="15">
        <v>8000.0</v>
      </c>
      <c r="N1176" s="15"/>
      <c r="O1176" s="15">
        <f>M1176-N1176</f>
        <v>8000</v>
      </c>
      <c r="P1176" s="10" t="s">
        <v>42</v>
      </c>
      <c r="Q1176" s="10" t="s">
        <v>43</v>
      </c>
      <c r="R1176" s="10" t="s">
        <v>44</v>
      </c>
      <c r="S1176" s="8" t="s">
        <v>2098</v>
      </c>
      <c r="T1176" s="8" t="s">
        <v>44</v>
      </c>
    </row>
    <row r="1177" spans="1:20">
      <c r="A1177" s="11">
        <v>1170</v>
      </c>
      <c r="B1177" s="11" t="s">
        <v>1488</v>
      </c>
      <c r="C1177" s="11" t="s">
        <v>1455</v>
      </c>
      <c r="D1177" s="11" t="s">
        <v>655</v>
      </c>
      <c r="E1177" s="11" t="s">
        <v>34</v>
      </c>
      <c r="F1177" s="11" t="s">
        <v>35</v>
      </c>
      <c r="G1177" s="9" t="s">
        <v>41</v>
      </c>
      <c r="H1177" s="13">
        <v>1</v>
      </c>
      <c r="I1177" s="13">
        <v>1</v>
      </c>
      <c r="J1177" s="16">
        <v>8000.0</v>
      </c>
      <c r="K1177" s="16"/>
      <c r="L1177" s="18">
        <f>IF(J1177&gt;0, K1177/J1177, 0)</f>
        <v>0</v>
      </c>
      <c r="M1177" s="16">
        <v>8000.0</v>
      </c>
      <c r="N1177" s="16"/>
      <c r="O1177" s="16">
        <f>M1177-N1177</f>
        <v>8000</v>
      </c>
      <c r="P1177" s="11" t="s">
        <v>42</v>
      </c>
      <c r="Q1177" s="11" t="s">
        <v>43</v>
      </c>
      <c r="R1177" s="11" t="s">
        <v>44</v>
      </c>
      <c r="S1177" s="9" t="s">
        <v>2144</v>
      </c>
      <c r="T1177" s="9" t="s">
        <v>44</v>
      </c>
    </row>
    <row r="1178" spans="1:20">
      <c r="A1178" s="10">
        <v>1171</v>
      </c>
      <c r="B1178" s="10" t="s">
        <v>1489</v>
      </c>
      <c r="C1178" s="10" t="s">
        <v>1455</v>
      </c>
      <c r="D1178" s="10" t="s">
        <v>655</v>
      </c>
      <c r="E1178" s="10" t="s">
        <v>34</v>
      </c>
      <c r="F1178" s="10" t="s">
        <v>35</v>
      </c>
      <c r="G1178" s="8" t="s">
        <v>41</v>
      </c>
      <c r="H1178" s="12">
        <v>1</v>
      </c>
      <c r="I1178" s="12">
        <v>2</v>
      </c>
      <c r="J1178" s="15">
        <v>14000.0</v>
      </c>
      <c r="K1178" s="15"/>
      <c r="L1178" s="17">
        <f>IF(J1178&gt;0, K1178/J1178, 0)</f>
        <v>0</v>
      </c>
      <c r="M1178" s="15">
        <v>14000.0</v>
      </c>
      <c r="N1178" s="15"/>
      <c r="O1178" s="15">
        <f>M1178-N1178</f>
        <v>14000</v>
      </c>
      <c r="P1178" s="10" t="s">
        <v>42</v>
      </c>
      <c r="Q1178" s="10" t="s">
        <v>43</v>
      </c>
      <c r="R1178" s="10" t="s">
        <v>44</v>
      </c>
      <c r="S1178" s="8" t="s">
        <v>2116</v>
      </c>
      <c r="T1178" s="8" t="s">
        <v>44</v>
      </c>
    </row>
    <row r="1179" spans="1:20">
      <c r="A1179" s="11">
        <v>1172</v>
      </c>
      <c r="B1179" s="11" t="s">
        <v>1490</v>
      </c>
      <c r="C1179" s="11" t="s">
        <v>1455</v>
      </c>
      <c r="D1179" s="11" t="s">
        <v>655</v>
      </c>
      <c r="E1179" s="11" t="s">
        <v>34</v>
      </c>
      <c r="F1179" s="11" t="s">
        <v>35</v>
      </c>
      <c r="G1179" s="9" t="s">
        <v>41</v>
      </c>
      <c r="H1179" s="13">
        <v>1</v>
      </c>
      <c r="I1179" s="13">
        <v>1</v>
      </c>
      <c r="J1179" s="16">
        <v>7500.0</v>
      </c>
      <c r="K1179" s="16"/>
      <c r="L1179" s="18">
        <f>IF(J1179&gt;0, K1179/J1179, 0)</f>
        <v>0</v>
      </c>
      <c r="M1179" s="16">
        <v>7500.0</v>
      </c>
      <c r="N1179" s="16"/>
      <c r="O1179" s="16">
        <f>M1179-N1179</f>
        <v>7500</v>
      </c>
      <c r="P1179" s="11" t="s">
        <v>42</v>
      </c>
      <c r="Q1179" s="11" t="s">
        <v>43</v>
      </c>
      <c r="R1179" s="11" t="s">
        <v>44</v>
      </c>
      <c r="S1179" s="9" t="s">
        <v>2142</v>
      </c>
      <c r="T1179" s="9" t="s">
        <v>44</v>
      </c>
    </row>
    <row r="1180" spans="1:20">
      <c r="A1180" s="10">
        <v>1173</v>
      </c>
      <c r="B1180" s="10" t="s">
        <v>1492</v>
      </c>
      <c r="C1180" s="10" t="s">
        <v>1455</v>
      </c>
      <c r="D1180" s="10" t="s">
        <v>655</v>
      </c>
      <c r="E1180" s="10" t="s">
        <v>34</v>
      </c>
      <c r="F1180" s="10" t="s">
        <v>35</v>
      </c>
      <c r="G1180" s="8" t="s">
        <v>41</v>
      </c>
      <c r="H1180" s="12">
        <v>1</v>
      </c>
      <c r="I1180" s="12">
        <v>1</v>
      </c>
      <c r="J1180" s="15">
        <v>8500.0</v>
      </c>
      <c r="K1180" s="15"/>
      <c r="L1180" s="17">
        <f>IF(J1180&gt;0, K1180/J1180, 0)</f>
        <v>0</v>
      </c>
      <c r="M1180" s="15">
        <v>8500.0</v>
      </c>
      <c r="N1180" s="15"/>
      <c r="O1180" s="15">
        <f>M1180-N1180</f>
        <v>8500</v>
      </c>
      <c r="P1180" s="10" t="s">
        <v>42</v>
      </c>
      <c r="Q1180" s="10" t="s">
        <v>43</v>
      </c>
      <c r="R1180" s="10" t="s">
        <v>44</v>
      </c>
      <c r="S1180" s="8" t="s">
        <v>2214</v>
      </c>
      <c r="T1180" s="8" t="s">
        <v>44</v>
      </c>
    </row>
    <row r="1181" spans="1:20">
      <c r="A1181" s="11">
        <v>1174</v>
      </c>
      <c r="B1181" s="11" t="s">
        <v>1495</v>
      </c>
      <c r="C1181" s="11" t="s">
        <v>1455</v>
      </c>
      <c r="D1181" s="11" t="s">
        <v>655</v>
      </c>
      <c r="E1181" s="11" t="s">
        <v>34</v>
      </c>
      <c r="F1181" s="11" t="s">
        <v>35</v>
      </c>
      <c r="G1181" s="9" t="s">
        <v>41</v>
      </c>
      <c r="H1181" s="13">
        <v>1</v>
      </c>
      <c r="I1181" s="13">
        <v>2</v>
      </c>
      <c r="J1181" s="16">
        <v>14000.0</v>
      </c>
      <c r="K1181" s="16"/>
      <c r="L1181" s="18">
        <f>IF(J1181&gt;0, K1181/J1181, 0)</f>
        <v>0</v>
      </c>
      <c r="M1181" s="16">
        <v>14000.0</v>
      </c>
      <c r="N1181" s="16"/>
      <c r="O1181" s="16">
        <f>M1181-N1181</f>
        <v>14000</v>
      </c>
      <c r="P1181" s="11" t="s">
        <v>42</v>
      </c>
      <c r="Q1181" s="11" t="s">
        <v>43</v>
      </c>
      <c r="R1181" s="11" t="s">
        <v>44</v>
      </c>
      <c r="S1181" s="9" t="s">
        <v>2146</v>
      </c>
      <c r="T1181" s="9" t="s">
        <v>44</v>
      </c>
    </row>
    <row r="1182" spans="1:20">
      <c r="A1182" s="10">
        <v>1175</v>
      </c>
      <c r="B1182" s="10" t="s">
        <v>1496</v>
      </c>
      <c r="C1182" s="10" t="s">
        <v>1455</v>
      </c>
      <c r="D1182" s="10" t="s">
        <v>655</v>
      </c>
      <c r="E1182" s="10" t="s">
        <v>34</v>
      </c>
      <c r="F1182" s="10" t="s">
        <v>35</v>
      </c>
      <c r="G1182" s="8" t="s">
        <v>41</v>
      </c>
      <c r="H1182" s="12">
        <v>1</v>
      </c>
      <c r="I1182" s="12">
        <v>1</v>
      </c>
      <c r="J1182" s="15">
        <v>8000.0</v>
      </c>
      <c r="K1182" s="15"/>
      <c r="L1182" s="17">
        <f>IF(J1182&gt;0, K1182/J1182, 0)</f>
        <v>0</v>
      </c>
      <c r="M1182" s="15">
        <v>8000.0</v>
      </c>
      <c r="N1182" s="15"/>
      <c r="O1182" s="15">
        <f>M1182-N1182</f>
        <v>8000</v>
      </c>
      <c r="P1182" s="10" t="s">
        <v>42</v>
      </c>
      <c r="Q1182" s="10" t="s">
        <v>43</v>
      </c>
      <c r="R1182" s="10" t="s">
        <v>44</v>
      </c>
      <c r="S1182" s="8" t="s">
        <v>2115</v>
      </c>
      <c r="T1182" s="8" t="s">
        <v>44</v>
      </c>
    </row>
    <row r="1183" spans="1:20">
      <c r="A1183" s="11">
        <v>1176</v>
      </c>
      <c r="B1183" s="11" t="s">
        <v>1497</v>
      </c>
      <c r="C1183" s="11" t="s">
        <v>1455</v>
      </c>
      <c r="D1183" s="11" t="s">
        <v>655</v>
      </c>
      <c r="E1183" s="11" t="s">
        <v>34</v>
      </c>
      <c r="F1183" s="11" t="s">
        <v>35</v>
      </c>
      <c r="G1183" s="9" t="s">
        <v>41</v>
      </c>
      <c r="H1183" s="13">
        <v>1</v>
      </c>
      <c r="I1183" s="13">
        <v>1</v>
      </c>
      <c r="J1183" s="16">
        <v>7000.0</v>
      </c>
      <c r="K1183" s="16"/>
      <c r="L1183" s="18">
        <f>IF(J1183&gt;0, K1183/J1183, 0)</f>
        <v>0</v>
      </c>
      <c r="M1183" s="16">
        <v>7000.0</v>
      </c>
      <c r="N1183" s="16"/>
      <c r="O1183" s="16">
        <f>M1183-N1183</f>
        <v>7000</v>
      </c>
      <c r="P1183" s="11" t="s">
        <v>42</v>
      </c>
      <c r="Q1183" s="11" t="s">
        <v>43</v>
      </c>
      <c r="R1183" s="11" t="s">
        <v>44</v>
      </c>
      <c r="S1183" s="9" t="s">
        <v>2179</v>
      </c>
      <c r="T1183" s="9" t="s">
        <v>44</v>
      </c>
    </row>
    <row r="1184" spans="1:20">
      <c r="A1184" s="10">
        <v>1177</v>
      </c>
      <c r="B1184" s="10" t="s">
        <v>1498</v>
      </c>
      <c r="C1184" s="10" t="s">
        <v>1455</v>
      </c>
      <c r="D1184" s="10" t="s">
        <v>655</v>
      </c>
      <c r="E1184" s="10" t="s">
        <v>34</v>
      </c>
      <c r="F1184" s="10" t="s">
        <v>35</v>
      </c>
      <c r="G1184" s="8" t="s">
        <v>41</v>
      </c>
      <c r="H1184" s="12">
        <v>1</v>
      </c>
      <c r="I1184" s="12">
        <v>1</v>
      </c>
      <c r="J1184" s="15">
        <v>7000.0</v>
      </c>
      <c r="K1184" s="15"/>
      <c r="L1184" s="17">
        <f>IF(J1184&gt;0, K1184/J1184, 0)</f>
        <v>0</v>
      </c>
      <c r="M1184" s="15">
        <v>7000.0</v>
      </c>
      <c r="N1184" s="15"/>
      <c r="O1184" s="15">
        <f>M1184-N1184</f>
        <v>7000</v>
      </c>
      <c r="P1184" s="10" t="s">
        <v>42</v>
      </c>
      <c r="Q1184" s="10" t="s">
        <v>43</v>
      </c>
      <c r="R1184" s="10" t="s">
        <v>44</v>
      </c>
      <c r="S1184" s="8" t="s">
        <v>2101</v>
      </c>
      <c r="T1184" s="8" t="s">
        <v>44</v>
      </c>
    </row>
    <row r="1185" spans="1:20">
      <c r="A1185" s="11">
        <v>1178</v>
      </c>
      <c r="B1185" s="11" t="s">
        <v>1499</v>
      </c>
      <c r="C1185" s="11" t="s">
        <v>1455</v>
      </c>
      <c r="D1185" s="11" t="s">
        <v>655</v>
      </c>
      <c r="E1185" s="11" t="s">
        <v>34</v>
      </c>
      <c r="F1185" s="11" t="s">
        <v>35</v>
      </c>
      <c r="G1185" s="9" t="s">
        <v>41</v>
      </c>
      <c r="H1185" s="13">
        <v>1</v>
      </c>
      <c r="I1185" s="13">
        <v>1</v>
      </c>
      <c r="J1185" s="16">
        <v>7000.0</v>
      </c>
      <c r="K1185" s="16"/>
      <c r="L1185" s="18">
        <f>IF(J1185&gt;0, K1185/J1185, 0)</f>
        <v>0</v>
      </c>
      <c r="M1185" s="16">
        <v>7000.0</v>
      </c>
      <c r="N1185" s="16"/>
      <c r="O1185" s="16">
        <f>M1185-N1185</f>
        <v>7000</v>
      </c>
      <c r="P1185" s="11" t="s">
        <v>42</v>
      </c>
      <c r="Q1185" s="11" t="s">
        <v>43</v>
      </c>
      <c r="R1185" s="11" t="s">
        <v>44</v>
      </c>
      <c r="S1185" s="9" t="s">
        <v>2055</v>
      </c>
      <c r="T1185" s="9" t="s">
        <v>44</v>
      </c>
    </row>
    <row r="1186" spans="1:20">
      <c r="A1186" s="10">
        <v>1179</v>
      </c>
      <c r="B1186" s="10" t="s">
        <v>1500</v>
      </c>
      <c r="C1186" s="10" t="s">
        <v>1455</v>
      </c>
      <c r="D1186" s="10" t="s">
        <v>655</v>
      </c>
      <c r="E1186" s="10" t="s">
        <v>34</v>
      </c>
      <c r="F1186" s="10" t="s">
        <v>35</v>
      </c>
      <c r="G1186" s="8" t="s">
        <v>41</v>
      </c>
      <c r="H1186" s="12">
        <v>1</v>
      </c>
      <c r="I1186" s="12">
        <v>1</v>
      </c>
      <c r="J1186" s="15">
        <v>7500.0</v>
      </c>
      <c r="K1186" s="15"/>
      <c r="L1186" s="17">
        <f>IF(J1186&gt;0, K1186/J1186, 0)</f>
        <v>0</v>
      </c>
      <c r="M1186" s="15">
        <v>7500.0</v>
      </c>
      <c r="N1186" s="15"/>
      <c r="O1186" s="15">
        <f>M1186-N1186</f>
        <v>7500</v>
      </c>
      <c r="P1186" s="10" t="s">
        <v>42</v>
      </c>
      <c r="Q1186" s="10" t="s">
        <v>43</v>
      </c>
      <c r="R1186" s="10" t="s">
        <v>44</v>
      </c>
      <c r="S1186" s="8" t="s">
        <v>2046</v>
      </c>
      <c r="T1186" s="8" t="s">
        <v>44</v>
      </c>
    </row>
    <row r="1187" spans="1:20">
      <c r="A1187" s="11">
        <v>1180</v>
      </c>
      <c r="B1187" s="11" t="s">
        <v>1501</v>
      </c>
      <c r="C1187" s="11" t="s">
        <v>1455</v>
      </c>
      <c r="D1187" s="11" t="s">
        <v>655</v>
      </c>
      <c r="E1187" s="11" t="s">
        <v>34</v>
      </c>
      <c r="F1187" s="11" t="s">
        <v>35</v>
      </c>
      <c r="G1187" s="9" t="s">
        <v>41</v>
      </c>
      <c r="H1187" s="13">
        <v>1</v>
      </c>
      <c r="I1187" s="13">
        <v>1</v>
      </c>
      <c r="J1187" s="16">
        <v>8000.0</v>
      </c>
      <c r="K1187" s="16"/>
      <c r="L1187" s="18">
        <f>IF(J1187&gt;0, K1187/J1187, 0)</f>
        <v>0</v>
      </c>
      <c r="M1187" s="16">
        <v>8000.0</v>
      </c>
      <c r="N1187" s="16"/>
      <c r="O1187" s="16">
        <f>M1187-N1187</f>
        <v>8000</v>
      </c>
      <c r="P1187" s="11" t="s">
        <v>42</v>
      </c>
      <c r="Q1187" s="11" t="s">
        <v>43</v>
      </c>
      <c r="R1187" s="11" t="s">
        <v>44</v>
      </c>
      <c r="S1187" s="9" t="s">
        <v>2020</v>
      </c>
      <c r="T1187" s="9" t="s">
        <v>44</v>
      </c>
    </row>
    <row r="1188" spans="1:20">
      <c r="A1188" s="10">
        <v>1181</v>
      </c>
      <c r="B1188" s="10" t="s">
        <v>1502</v>
      </c>
      <c r="C1188" s="10" t="s">
        <v>1455</v>
      </c>
      <c r="D1188" s="10" t="s">
        <v>655</v>
      </c>
      <c r="E1188" s="10" t="s">
        <v>34</v>
      </c>
      <c r="F1188" s="10" t="s">
        <v>35</v>
      </c>
      <c r="G1188" s="8" t="s">
        <v>41</v>
      </c>
      <c r="H1188" s="12">
        <v>1</v>
      </c>
      <c r="I1188" s="12">
        <v>1</v>
      </c>
      <c r="J1188" s="15">
        <v>7000.0</v>
      </c>
      <c r="K1188" s="15"/>
      <c r="L1188" s="17">
        <f>IF(J1188&gt;0, K1188/J1188, 0)</f>
        <v>0</v>
      </c>
      <c r="M1188" s="15">
        <v>7000.0</v>
      </c>
      <c r="N1188" s="15"/>
      <c r="O1188" s="15">
        <f>M1188-N1188</f>
        <v>7000</v>
      </c>
      <c r="P1188" s="10" t="s">
        <v>42</v>
      </c>
      <c r="Q1188" s="10" t="s">
        <v>43</v>
      </c>
      <c r="R1188" s="10" t="s">
        <v>44</v>
      </c>
      <c r="S1188" s="8" t="s">
        <v>2034</v>
      </c>
      <c r="T1188" s="8" t="s">
        <v>44</v>
      </c>
    </row>
    <row r="1189" spans="1:20">
      <c r="A1189" s="11">
        <v>1182</v>
      </c>
      <c r="B1189" s="11" t="s">
        <v>1503</v>
      </c>
      <c r="C1189" s="11" t="s">
        <v>1455</v>
      </c>
      <c r="D1189" s="11" t="s">
        <v>655</v>
      </c>
      <c r="E1189" s="11" t="s">
        <v>34</v>
      </c>
      <c r="F1189" s="11" t="s">
        <v>35</v>
      </c>
      <c r="G1189" s="9" t="s">
        <v>41</v>
      </c>
      <c r="H1189" s="13">
        <v>1</v>
      </c>
      <c r="I1189" s="13">
        <v>1</v>
      </c>
      <c r="J1189" s="16">
        <v>8000.0</v>
      </c>
      <c r="K1189" s="16"/>
      <c r="L1189" s="18">
        <f>IF(J1189&gt;0, K1189/J1189, 0)</f>
        <v>0</v>
      </c>
      <c r="M1189" s="16">
        <v>8000.0</v>
      </c>
      <c r="N1189" s="16"/>
      <c r="O1189" s="16">
        <f>M1189-N1189</f>
        <v>8000</v>
      </c>
      <c r="P1189" s="11" t="s">
        <v>42</v>
      </c>
      <c r="Q1189" s="11" t="s">
        <v>43</v>
      </c>
      <c r="R1189" s="11" t="s">
        <v>44</v>
      </c>
      <c r="S1189" s="9" t="s">
        <v>2137</v>
      </c>
      <c r="T1189" s="9" t="s">
        <v>44</v>
      </c>
    </row>
    <row r="1190" spans="1:20">
      <c r="A1190" s="10">
        <v>1183</v>
      </c>
      <c r="B1190" s="10" t="s">
        <v>1504</v>
      </c>
      <c r="C1190" s="10" t="s">
        <v>1455</v>
      </c>
      <c r="D1190" s="10" t="s">
        <v>655</v>
      </c>
      <c r="E1190" s="10" t="s">
        <v>34</v>
      </c>
      <c r="F1190" s="10" t="s">
        <v>35</v>
      </c>
      <c r="G1190" s="8" t="s">
        <v>41</v>
      </c>
      <c r="H1190" s="12">
        <v>1</v>
      </c>
      <c r="I1190" s="12">
        <v>1</v>
      </c>
      <c r="J1190" s="15">
        <v>8000.0</v>
      </c>
      <c r="K1190" s="15"/>
      <c r="L1190" s="17">
        <f>IF(J1190&gt;0, K1190/J1190, 0)</f>
        <v>0</v>
      </c>
      <c r="M1190" s="15">
        <v>8000.0</v>
      </c>
      <c r="N1190" s="15"/>
      <c r="O1190" s="15">
        <f>M1190-N1190</f>
        <v>8000</v>
      </c>
      <c r="P1190" s="10" t="s">
        <v>42</v>
      </c>
      <c r="Q1190" s="10" t="s">
        <v>43</v>
      </c>
      <c r="R1190" s="10" t="s">
        <v>44</v>
      </c>
      <c r="S1190" s="8" t="s">
        <v>2051</v>
      </c>
      <c r="T1190" s="8" t="s">
        <v>44</v>
      </c>
    </row>
    <row r="1191" spans="1:20">
      <c r="A1191" s="11">
        <v>1184</v>
      </c>
      <c r="B1191" s="11" t="s">
        <v>1505</v>
      </c>
      <c r="C1191" s="11" t="s">
        <v>1455</v>
      </c>
      <c r="D1191" s="11" t="s">
        <v>655</v>
      </c>
      <c r="E1191" s="11" t="s">
        <v>34</v>
      </c>
      <c r="F1191" s="11" t="s">
        <v>35</v>
      </c>
      <c r="G1191" s="9" t="s">
        <v>41</v>
      </c>
      <c r="H1191" s="13">
        <v>1</v>
      </c>
      <c r="I1191" s="13">
        <v>1</v>
      </c>
      <c r="J1191" s="16">
        <v>7000.0</v>
      </c>
      <c r="K1191" s="16"/>
      <c r="L1191" s="18">
        <f>IF(J1191&gt;0, K1191/J1191, 0)</f>
        <v>0</v>
      </c>
      <c r="M1191" s="16">
        <v>7000.0</v>
      </c>
      <c r="N1191" s="16"/>
      <c r="O1191" s="16">
        <f>M1191-N1191</f>
        <v>7000</v>
      </c>
      <c r="P1191" s="11" t="s">
        <v>42</v>
      </c>
      <c r="Q1191" s="11" t="s">
        <v>43</v>
      </c>
      <c r="R1191" s="11" t="s">
        <v>44</v>
      </c>
      <c r="S1191" s="9" t="s">
        <v>2101</v>
      </c>
      <c r="T1191" s="9" t="s">
        <v>44</v>
      </c>
    </row>
    <row r="1192" spans="1:20">
      <c r="A1192" s="10">
        <v>1185</v>
      </c>
      <c r="B1192" s="10" t="s">
        <v>1506</v>
      </c>
      <c r="C1192" s="10" t="s">
        <v>1455</v>
      </c>
      <c r="D1192" s="10" t="s">
        <v>655</v>
      </c>
      <c r="E1192" s="10" t="s">
        <v>34</v>
      </c>
      <c r="F1192" s="10" t="s">
        <v>35</v>
      </c>
      <c r="G1192" s="8" t="s">
        <v>41</v>
      </c>
      <c r="H1192" s="12">
        <v>1</v>
      </c>
      <c r="I1192" s="12">
        <v>1</v>
      </c>
      <c r="J1192" s="15">
        <v>8000.0</v>
      </c>
      <c r="K1192" s="15"/>
      <c r="L1192" s="17">
        <f>IF(J1192&gt;0, K1192/J1192, 0)</f>
        <v>0</v>
      </c>
      <c r="M1192" s="15">
        <v>8000.0</v>
      </c>
      <c r="N1192" s="15"/>
      <c r="O1192" s="15">
        <f>M1192-N1192</f>
        <v>8000</v>
      </c>
      <c r="P1192" s="10" t="s">
        <v>42</v>
      </c>
      <c r="Q1192" s="10" t="s">
        <v>43</v>
      </c>
      <c r="R1192" s="10" t="s">
        <v>44</v>
      </c>
      <c r="S1192" s="8" t="s">
        <v>2062</v>
      </c>
      <c r="T1192" s="8" t="s">
        <v>44</v>
      </c>
    </row>
    <row r="1193" spans="1:20">
      <c r="A1193" s="11">
        <v>1186</v>
      </c>
      <c r="B1193" s="11" t="s">
        <v>1507</v>
      </c>
      <c r="C1193" s="11" t="s">
        <v>1455</v>
      </c>
      <c r="D1193" s="11" t="s">
        <v>655</v>
      </c>
      <c r="E1193" s="11" t="s">
        <v>34</v>
      </c>
      <c r="F1193" s="11" t="s">
        <v>35</v>
      </c>
      <c r="G1193" s="9" t="s">
        <v>41</v>
      </c>
      <c r="H1193" s="13">
        <v>1</v>
      </c>
      <c r="I1193" s="13">
        <v>1</v>
      </c>
      <c r="J1193" s="16">
        <v>16500.0</v>
      </c>
      <c r="K1193" s="16"/>
      <c r="L1193" s="18">
        <f>IF(J1193&gt;0, K1193/J1193, 0)</f>
        <v>0</v>
      </c>
      <c r="M1193" s="16">
        <v>16500.0</v>
      </c>
      <c r="N1193" s="16"/>
      <c r="O1193" s="16">
        <f>M1193-N1193</f>
        <v>16500</v>
      </c>
      <c r="P1193" s="11" t="s">
        <v>42</v>
      </c>
      <c r="Q1193" s="11" t="s">
        <v>43</v>
      </c>
      <c r="R1193" s="11" t="s">
        <v>44</v>
      </c>
      <c r="S1193" s="9" t="s">
        <v>2121</v>
      </c>
      <c r="T1193" s="9" t="s">
        <v>44</v>
      </c>
    </row>
    <row r="1194" spans="1:20">
      <c r="A1194" s="10">
        <v>1187</v>
      </c>
      <c r="B1194" s="10" t="s">
        <v>1508</v>
      </c>
      <c r="C1194" s="10" t="s">
        <v>1455</v>
      </c>
      <c r="D1194" s="10" t="s">
        <v>655</v>
      </c>
      <c r="E1194" s="10" t="s">
        <v>34</v>
      </c>
      <c r="F1194" s="10" t="s">
        <v>35</v>
      </c>
      <c r="G1194" s="8" t="s">
        <v>41</v>
      </c>
      <c r="H1194" s="12">
        <v>1</v>
      </c>
      <c r="I1194" s="12">
        <v>1</v>
      </c>
      <c r="J1194" s="15">
        <v>8000.0</v>
      </c>
      <c r="K1194" s="15"/>
      <c r="L1194" s="17">
        <f>IF(J1194&gt;0, K1194/J1194, 0)</f>
        <v>0</v>
      </c>
      <c r="M1194" s="15">
        <v>8000.0</v>
      </c>
      <c r="N1194" s="15"/>
      <c r="O1194" s="15">
        <f>M1194-N1194</f>
        <v>8000</v>
      </c>
      <c r="P1194" s="10" t="s">
        <v>42</v>
      </c>
      <c r="Q1194" s="10" t="s">
        <v>43</v>
      </c>
      <c r="R1194" s="10" t="s">
        <v>44</v>
      </c>
      <c r="S1194" s="8" t="s">
        <v>2112</v>
      </c>
      <c r="T1194" s="8" t="s">
        <v>44</v>
      </c>
    </row>
    <row r="1195" spans="1:20">
      <c r="A1195" s="11">
        <v>1188</v>
      </c>
      <c r="B1195" s="11" t="s">
        <v>1509</v>
      </c>
      <c r="C1195" s="11" t="s">
        <v>1455</v>
      </c>
      <c r="D1195" s="11" t="s">
        <v>655</v>
      </c>
      <c r="E1195" s="11" t="s">
        <v>34</v>
      </c>
      <c r="F1195" s="11" t="s">
        <v>35</v>
      </c>
      <c r="G1195" s="9" t="s">
        <v>41</v>
      </c>
      <c r="H1195" s="13">
        <v>1</v>
      </c>
      <c r="I1195" s="13">
        <v>1</v>
      </c>
      <c r="J1195" s="16">
        <v>18000.0</v>
      </c>
      <c r="K1195" s="16"/>
      <c r="L1195" s="18">
        <f>IF(J1195&gt;0, K1195/J1195, 0)</f>
        <v>0</v>
      </c>
      <c r="M1195" s="16">
        <v>18000.0</v>
      </c>
      <c r="N1195" s="16"/>
      <c r="O1195" s="16">
        <f>M1195-N1195</f>
        <v>18000</v>
      </c>
      <c r="P1195" s="11" t="s">
        <v>42</v>
      </c>
      <c r="Q1195" s="11" t="s">
        <v>43</v>
      </c>
      <c r="R1195" s="11" t="s">
        <v>44</v>
      </c>
      <c r="S1195" s="9" t="s">
        <v>2021</v>
      </c>
      <c r="T1195" s="9" t="s">
        <v>44</v>
      </c>
    </row>
    <row r="1196" spans="1:20">
      <c r="A1196" s="10">
        <v>1189</v>
      </c>
      <c r="B1196" s="10" t="s">
        <v>1510</v>
      </c>
      <c r="C1196" s="10" t="s">
        <v>1455</v>
      </c>
      <c r="D1196" s="10" t="s">
        <v>655</v>
      </c>
      <c r="E1196" s="10" t="s">
        <v>34</v>
      </c>
      <c r="F1196" s="10" t="s">
        <v>35</v>
      </c>
      <c r="G1196" s="8" t="s">
        <v>41</v>
      </c>
      <c r="H1196" s="12">
        <v>1</v>
      </c>
      <c r="I1196" s="12">
        <v>1</v>
      </c>
      <c r="J1196" s="15">
        <v>8000.0</v>
      </c>
      <c r="K1196" s="15"/>
      <c r="L1196" s="17">
        <f>IF(J1196&gt;0, K1196/J1196, 0)</f>
        <v>0</v>
      </c>
      <c r="M1196" s="15">
        <v>8000.0</v>
      </c>
      <c r="N1196" s="15"/>
      <c r="O1196" s="15">
        <f>M1196-N1196</f>
        <v>8000</v>
      </c>
      <c r="P1196" s="10" t="s">
        <v>42</v>
      </c>
      <c r="Q1196" s="10" t="s">
        <v>43</v>
      </c>
      <c r="R1196" s="10" t="s">
        <v>44</v>
      </c>
      <c r="S1196" s="8" t="s">
        <v>2098</v>
      </c>
      <c r="T1196" s="8" t="s">
        <v>44</v>
      </c>
    </row>
    <row r="1197" spans="1:20">
      <c r="A1197" s="11">
        <v>1190</v>
      </c>
      <c r="B1197" s="11" t="s">
        <v>1511</v>
      </c>
      <c r="C1197" s="11" t="s">
        <v>1455</v>
      </c>
      <c r="D1197" s="11" t="s">
        <v>655</v>
      </c>
      <c r="E1197" s="11" t="s">
        <v>34</v>
      </c>
      <c r="F1197" s="11" t="s">
        <v>35</v>
      </c>
      <c r="G1197" s="9" t="s">
        <v>41</v>
      </c>
      <c r="H1197" s="13">
        <v>1</v>
      </c>
      <c r="I1197" s="13">
        <v>1</v>
      </c>
      <c r="J1197" s="16">
        <v>7000.0</v>
      </c>
      <c r="K1197" s="16"/>
      <c r="L1197" s="18">
        <f>IF(J1197&gt;0, K1197/J1197, 0)</f>
        <v>0</v>
      </c>
      <c r="M1197" s="16">
        <v>7000.0</v>
      </c>
      <c r="N1197" s="16"/>
      <c r="O1197" s="16">
        <f>M1197-N1197</f>
        <v>7000</v>
      </c>
      <c r="P1197" s="11" t="s">
        <v>42</v>
      </c>
      <c r="Q1197" s="11" t="s">
        <v>43</v>
      </c>
      <c r="R1197" s="11" t="s">
        <v>44</v>
      </c>
      <c r="S1197" s="9" t="s">
        <v>2053</v>
      </c>
      <c r="T1197" s="9" t="s">
        <v>44</v>
      </c>
    </row>
    <row r="1198" spans="1:20">
      <c r="A1198" s="10">
        <v>1191</v>
      </c>
      <c r="B1198" s="10" t="s">
        <v>1512</v>
      </c>
      <c r="C1198" s="10" t="s">
        <v>1455</v>
      </c>
      <c r="D1198" s="10" t="s">
        <v>655</v>
      </c>
      <c r="E1198" s="10" t="s">
        <v>34</v>
      </c>
      <c r="F1198" s="10" t="s">
        <v>35</v>
      </c>
      <c r="G1198" s="8" t="s">
        <v>41</v>
      </c>
      <c r="H1198" s="12">
        <v>1</v>
      </c>
      <c r="I1198" s="12">
        <v>1</v>
      </c>
      <c r="J1198" s="15">
        <v>7000.0</v>
      </c>
      <c r="K1198" s="15"/>
      <c r="L1198" s="17">
        <f>IF(J1198&gt;0, K1198/J1198, 0)</f>
        <v>0</v>
      </c>
      <c r="M1198" s="15">
        <v>7000.0</v>
      </c>
      <c r="N1198" s="15"/>
      <c r="O1198" s="15">
        <f>M1198-N1198</f>
        <v>7000</v>
      </c>
      <c r="P1198" s="10" t="s">
        <v>42</v>
      </c>
      <c r="Q1198" s="10" t="s">
        <v>43</v>
      </c>
      <c r="R1198" s="10" t="s">
        <v>44</v>
      </c>
      <c r="S1198" s="8" t="s">
        <v>2100</v>
      </c>
      <c r="T1198" s="8" t="s">
        <v>44</v>
      </c>
    </row>
    <row r="1199" spans="1:20">
      <c r="A1199" s="11">
        <v>1192</v>
      </c>
      <c r="B1199" s="11" t="s">
        <v>1513</v>
      </c>
      <c r="C1199" s="11" t="s">
        <v>1455</v>
      </c>
      <c r="D1199" s="11" t="s">
        <v>655</v>
      </c>
      <c r="E1199" s="11" t="s">
        <v>34</v>
      </c>
      <c r="F1199" s="11" t="s">
        <v>35</v>
      </c>
      <c r="G1199" s="9" t="s">
        <v>41</v>
      </c>
      <c r="H1199" s="13">
        <v>1</v>
      </c>
      <c r="I1199" s="13">
        <v>1</v>
      </c>
      <c r="J1199" s="16">
        <v>8000.0</v>
      </c>
      <c r="K1199" s="16"/>
      <c r="L1199" s="18">
        <f>IF(J1199&gt;0, K1199/J1199, 0)</f>
        <v>0</v>
      </c>
      <c r="M1199" s="16">
        <v>8000.0</v>
      </c>
      <c r="N1199" s="16"/>
      <c r="O1199" s="16">
        <f>M1199-N1199</f>
        <v>8000</v>
      </c>
      <c r="P1199" s="11" t="s">
        <v>42</v>
      </c>
      <c r="Q1199" s="11" t="s">
        <v>43</v>
      </c>
      <c r="R1199" s="11" t="s">
        <v>44</v>
      </c>
      <c r="S1199" s="9" t="s">
        <v>2020</v>
      </c>
      <c r="T1199" s="9" t="s">
        <v>44</v>
      </c>
    </row>
    <row r="1200" spans="1:20">
      <c r="A1200" s="10">
        <v>1193</v>
      </c>
      <c r="B1200" s="10" t="s">
        <v>1514</v>
      </c>
      <c r="C1200" s="10" t="s">
        <v>1455</v>
      </c>
      <c r="D1200" s="10" t="s">
        <v>655</v>
      </c>
      <c r="E1200" s="10" t="s">
        <v>34</v>
      </c>
      <c r="F1200" s="10" t="s">
        <v>35</v>
      </c>
      <c r="G1200" s="8" t="s">
        <v>41</v>
      </c>
      <c r="H1200" s="12">
        <v>1</v>
      </c>
      <c r="I1200" s="12">
        <v>1</v>
      </c>
      <c r="J1200" s="15">
        <v>7000.0</v>
      </c>
      <c r="K1200" s="15"/>
      <c r="L1200" s="17">
        <f>IF(J1200&gt;0, K1200/J1200, 0)</f>
        <v>0</v>
      </c>
      <c r="M1200" s="15">
        <v>7000.0</v>
      </c>
      <c r="N1200" s="15"/>
      <c r="O1200" s="15">
        <f>M1200-N1200</f>
        <v>7000</v>
      </c>
      <c r="P1200" s="10" t="s">
        <v>42</v>
      </c>
      <c r="Q1200" s="10" t="s">
        <v>43</v>
      </c>
      <c r="R1200" s="10" t="s">
        <v>44</v>
      </c>
      <c r="S1200" s="8" t="s">
        <v>2088</v>
      </c>
      <c r="T1200" s="8" t="s">
        <v>44</v>
      </c>
    </row>
    <row r="1201" spans="1:20">
      <c r="A1201" s="11">
        <v>1194</v>
      </c>
      <c r="B1201" s="11" t="s">
        <v>1515</v>
      </c>
      <c r="C1201" s="11" t="s">
        <v>1455</v>
      </c>
      <c r="D1201" s="11" t="s">
        <v>655</v>
      </c>
      <c r="E1201" s="11" t="s">
        <v>34</v>
      </c>
      <c r="F1201" s="11" t="s">
        <v>35</v>
      </c>
      <c r="G1201" s="9" t="s">
        <v>41</v>
      </c>
      <c r="H1201" s="13">
        <v>1</v>
      </c>
      <c r="I1201" s="13">
        <v>1</v>
      </c>
      <c r="J1201" s="16">
        <v>8500.0</v>
      </c>
      <c r="K1201" s="16"/>
      <c r="L1201" s="18">
        <f>IF(J1201&gt;0, K1201/J1201, 0)</f>
        <v>0</v>
      </c>
      <c r="M1201" s="16">
        <v>8500.0</v>
      </c>
      <c r="N1201" s="16"/>
      <c r="O1201" s="16">
        <f>M1201-N1201</f>
        <v>8500</v>
      </c>
      <c r="P1201" s="11" t="s">
        <v>42</v>
      </c>
      <c r="Q1201" s="11" t="s">
        <v>43</v>
      </c>
      <c r="R1201" s="11" t="s">
        <v>44</v>
      </c>
      <c r="S1201" s="9" t="s">
        <v>2024</v>
      </c>
      <c r="T1201" s="9" t="s">
        <v>44</v>
      </c>
    </row>
    <row r="1202" spans="1:20">
      <c r="A1202" s="10">
        <v>1195</v>
      </c>
      <c r="B1202" s="10" t="s">
        <v>1516</v>
      </c>
      <c r="C1202" s="10" t="s">
        <v>1455</v>
      </c>
      <c r="D1202" s="10" t="s">
        <v>655</v>
      </c>
      <c r="E1202" s="10" t="s">
        <v>34</v>
      </c>
      <c r="F1202" s="10" t="s">
        <v>35</v>
      </c>
      <c r="G1202" s="8" t="s">
        <v>41</v>
      </c>
      <c r="H1202" s="12">
        <v>1</v>
      </c>
      <c r="I1202" s="12">
        <v>1</v>
      </c>
      <c r="J1202" s="15">
        <v>8000.0</v>
      </c>
      <c r="K1202" s="15"/>
      <c r="L1202" s="17">
        <f>IF(J1202&gt;0, K1202/J1202, 0)</f>
        <v>0</v>
      </c>
      <c r="M1202" s="15">
        <v>8000.0</v>
      </c>
      <c r="N1202" s="15"/>
      <c r="O1202" s="15">
        <f>M1202-N1202</f>
        <v>8000</v>
      </c>
      <c r="P1202" s="10" t="s">
        <v>42</v>
      </c>
      <c r="Q1202" s="10" t="s">
        <v>43</v>
      </c>
      <c r="R1202" s="10" t="s">
        <v>44</v>
      </c>
      <c r="S1202" s="8" t="s">
        <v>2111</v>
      </c>
      <c r="T1202" s="8" t="s">
        <v>44</v>
      </c>
    </row>
    <row r="1203" spans="1:20">
      <c r="A1203" s="11">
        <v>1196</v>
      </c>
      <c r="B1203" s="11" t="s">
        <v>1517</v>
      </c>
      <c r="C1203" s="11" t="s">
        <v>1455</v>
      </c>
      <c r="D1203" s="11" t="s">
        <v>655</v>
      </c>
      <c r="E1203" s="11" t="s">
        <v>34</v>
      </c>
      <c r="F1203" s="11" t="s">
        <v>35</v>
      </c>
      <c r="G1203" s="9" t="s">
        <v>41</v>
      </c>
      <c r="H1203" s="13">
        <v>1</v>
      </c>
      <c r="I1203" s="13">
        <v>2</v>
      </c>
      <c r="J1203" s="16">
        <v>16000.0</v>
      </c>
      <c r="K1203" s="16"/>
      <c r="L1203" s="18">
        <f>IF(J1203&gt;0, K1203/J1203, 0)</f>
        <v>0</v>
      </c>
      <c r="M1203" s="16">
        <v>16000.0</v>
      </c>
      <c r="N1203" s="16"/>
      <c r="O1203" s="16">
        <f>M1203-N1203</f>
        <v>16000</v>
      </c>
      <c r="P1203" s="11" t="s">
        <v>42</v>
      </c>
      <c r="Q1203" s="11" t="s">
        <v>43</v>
      </c>
      <c r="R1203" s="11" t="s">
        <v>44</v>
      </c>
      <c r="S1203" s="9" t="s">
        <v>2091</v>
      </c>
      <c r="T1203" s="9" t="s">
        <v>44</v>
      </c>
    </row>
    <row r="1204" spans="1:20">
      <c r="A1204" s="10">
        <v>1197</v>
      </c>
      <c r="B1204" s="10" t="s">
        <v>1518</v>
      </c>
      <c r="C1204" s="10" t="s">
        <v>1455</v>
      </c>
      <c r="D1204" s="10" t="s">
        <v>655</v>
      </c>
      <c r="E1204" s="10" t="s">
        <v>34</v>
      </c>
      <c r="F1204" s="10" t="s">
        <v>35</v>
      </c>
      <c r="G1204" s="8" t="s">
        <v>41</v>
      </c>
      <c r="H1204" s="12">
        <v>1</v>
      </c>
      <c r="I1204" s="12">
        <v>1</v>
      </c>
      <c r="J1204" s="15">
        <v>7000.0</v>
      </c>
      <c r="K1204" s="15"/>
      <c r="L1204" s="17">
        <f>IF(J1204&gt;0, K1204/J1204, 0)</f>
        <v>0</v>
      </c>
      <c r="M1204" s="15">
        <v>7000.0</v>
      </c>
      <c r="N1204" s="15"/>
      <c r="O1204" s="15">
        <f>M1204-N1204</f>
        <v>7000</v>
      </c>
      <c r="P1204" s="10" t="s">
        <v>42</v>
      </c>
      <c r="Q1204" s="10" t="s">
        <v>43</v>
      </c>
      <c r="R1204" s="10" t="s">
        <v>44</v>
      </c>
      <c r="S1204" s="8" t="s">
        <v>2053</v>
      </c>
      <c r="T1204" s="8" t="s">
        <v>44</v>
      </c>
    </row>
    <row r="1205" spans="1:20">
      <c r="A1205" s="11">
        <v>1198</v>
      </c>
      <c r="B1205" s="11" t="s">
        <v>1519</v>
      </c>
      <c r="C1205" s="11" t="s">
        <v>1455</v>
      </c>
      <c r="D1205" s="11" t="s">
        <v>655</v>
      </c>
      <c r="E1205" s="11" t="s">
        <v>34</v>
      </c>
      <c r="F1205" s="11" t="s">
        <v>35</v>
      </c>
      <c r="G1205" s="9" t="s">
        <v>41</v>
      </c>
      <c r="H1205" s="13">
        <v>1</v>
      </c>
      <c r="I1205" s="13">
        <v>1</v>
      </c>
      <c r="J1205" s="16">
        <v>7000.0</v>
      </c>
      <c r="K1205" s="16"/>
      <c r="L1205" s="18">
        <f>IF(J1205&gt;0, K1205/J1205, 0)</f>
        <v>0</v>
      </c>
      <c r="M1205" s="16">
        <v>7000.0</v>
      </c>
      <c r="N1205" s="16"/>
      <c r="O1205" s="16">
        <f>M1205-N1205</f>
        <v>7000</v>
      </c>
      <c r="P1205" s="11" t="s">
        <v>42</v>
      </c>
      <c r="Q1205" s="11" t="s">
        <v>43</v>
      </c>
      <c r="R1205" s="11" t="s">
        <v>44</v>
      </c>
      <c r="S1205" s="9" t="s">
        <v>2088</v>
      </c>
      <c r="T1205" s="9" t="s">
        <v>44</v>
      </c>
    </row>
    <row r="1206" spans="1:20">
      <c r="A1206" s="10">
        <v>1199</v>
      </c>
      <c r="B1206" s="10" t="s">
        <v>1520</v>
      </c>
      <c r="C1206" s="10" t="s">
        <v>1521</v>
      </c>
      <c r="D1206" s="10" t="s">
        <v>655</v>
      </c>
      <c r="E1206" s="10" t="s">
        <v>34</v>
      </c>
      <c r="F1206" s="10" t="s">
        <v>35</v>
      </c>
      <c r="G1206" s="8" t="s">
        <v>41</v>
      </c>
      <c r="H1206" s="12">
        <v>1</v>
      </c>
      <c r="I1206" s="12">
        <v>1</v>
      </c>
      <c r="J1206" s="15">
        <v>18000.0</v>
      </c>
      <c r="K1206" s="15"/>
      <c r="L1206" s="17">
        <f>IF(J1206&gt;0, K1206/J1206, 0)</f>
        <v>0</v>
      </c>
      <c r="M1206" s="15">
        <v>18000.0</v>
      </c>
      <c r="N1206" s="15"/>
      <c r="O1206" s="15">
        <f>M1206-N1206</f>
        <v>18000</v>
      </c>
      <c r="P1206" s="10" t="s">
        <v>42</v>
      </c>
      <c r="Q1206" s="10" t="s">
        <v>43</v>
      </c>
      <c r="R1206" s="10" t="s">
        <v>44</v>
      </c>
      <c r="S1206" s="8" t="s">
        <v>2026</v>
      </c>
      <c r="T1206" s="8" t="s">
        <v>44</v>
      </c>
    </row>
    <row r="1207" spans="1:20">
      <c r="A1207" s="11">
        <v>1200</v>
      </c>
      <c r="B1207" s="11" t="s">
        <v>1522</v>
      </c>
      <c r="C1207" s="11" t="s">
        <v>1521</v>
      </c>
      <c r="D1207" s="11" t="s">
        <v>655</v>
      </c>
      <c r="E1207" s="11" t="s">
        <v>70</v>
      </c>
      <c r="F1207" s="11" t="s">
        <v>35</v>
      </c>
      <c r="G1207" s="9" t="s">
        <v>41</v>
      </c>
      <c r="H1207" s="13">
        <v>1</v>
      </c>
      <c r="I1207" s="13">
        <v>1</v>
      </c>
      <c r="J1207" s="16">
        <v>11000.0</v>
      </c>
      <c r="K1207" s="16"/>
      <c r="L1207" s="18">
        <f>IF(J1207&gt;0, K1207/J1207, 0)</f>
        <v>0</v>
      </c>
      <c r="M1207" s="16">
        <v>11000.0</v>
      </c>
      <c r="N1207" s="16"/>
      <c r="O1207" s="16">
        <f>M1207-N1207</f>
        <v>11000</v>
      </c>
      <c r="P1207" s="11" t="s">
        <v>42</v>
      </c>
      <c r="Q1207" s="11" t="s">
        <v>73</v>
      </c>
      <c r="R1207" s="11" t="s">
        <v>44</v>
      </c>
      <c r="S1207" s="9" t="s">
        <v>2052</v>
      </c>
      <c r="T1207" s="9" t="s">
        <v>44</v>
      </c>
    </row>
    <row r="1208" spans="1:20">
      <c r="A1208" s="10">
        <v>1201</v>
      </c>
      <c r="B1208" s="10" t="s">
        <v>1523</v>
      </c>
      <c r="C1208" s="10" t="s">
        <v>1521</v>
      </c>
      <c r="D1208" s="10" t="s">
        <v>655</v>
      </c>
      <c r="E1208" s="10" t="s">
        <v>34</v>
      </c>
      <c r="F1208" s="10" t="s">
        <v>35</v>
      </c>
      <c r="G1208" s="8" t="s">
        <v>41</v>
      </c>
      <c r="H1208" s="12">
        <v>1</v>
      </c>
      <c r="I1208" s="12">
        <v>1</v>
      </c>
      <c r="J1208" s="15">
        <v>8500.0</v>
      </c>
      <c r="K1208" s="15"/>
      <c r="L1208" s="17">
        <f>IF(J1208&gt;0, K1208/J1208, 0)</f>
        <v>0</v>
      </c>
      <c r="M1208" s="15">
        <v>8500.0</v>
      </c>
      <c r="N1208" s="15"/>
      <c r="O1208" s="15">
        <f>M1208-N1208</f>
        <v>8500</v>
      </c>
      <c r="P1208" s="10" t="s">
        <v>42</v>
      </c>
      <c r="Q1208" s="10" t="s">
        <v>43</v>
      </c>
      <c r="R1208" s="10" t="s">
        <v>44</v>
      </c>
      <c r="S1208" s="8" t="s">
        <v>2024</v>
      </c>
      <c r="T1208" s="8" t="s">
        <v>44</v>
      </c>
    </row>
    <row r="1209" spans="1:20">
      <c r="A1209" s="11">
        <v>1202</v>
      </c>
      <c r="B1209" s="11" t="s">
        <v>1524</v>
      </c>
      <c r="C1209" s="11" t="s">
        <v>1521</v>
      </c>
      <c r="D1209" s="11" t="s">
        <v>655</v>
      </c>
      <c r="E1209" s="11" t="s">
        <v>34</v>
      </c>
      <c r="F1209" s="11" t="s">
        <v>35</v>
      </c>
      <c r="G1209" s="9" t="s">
        <v>41</v>
      </c>
      <c r="H1209" s="13">
        <v>1</v>
      </c>
      <c r="I1209" s="13">
        <v>1</v>
      </c>
      <c r="J1209" s="16">
        <v>7500.0</v>
      </c>
      <c r="K1209" s="16"/>
      <c r="L1209" s="18">
        <f>IF(J1209&gt;0, K1209/J1209, 0)</f>
        <v>0</v>
      </c>
      <c r="M1209" s="16">
        <v>7500.0</v>
      </c>
      <c r="N1209" s="16"/>
      <c r="O1209" s="16">
        <f>M1209-N1209</f>
        <v>7500</v>
      </c>
      <c r="P1209" s="11" t="s">
        <v>42</v>
      </c>
      <c r="Q1209" s="11" t="s">
        <v>43</v>
      </c>
      <c r="R1209" s="11" t="s">
        <v>44</v>
      </c>
      <c r="S1209" s="9" t="s">
        <v>2023</v>
      </c>
      <c r="T1209" s="9" t="s">
        <v>44</v>
      </c>
    </row>
    <row r="1210" spans="1:20">
      <c r="A1210" s="10">
        <v>1203</v>
      </c>
      <c r="B1210" s="10" t="s">
        <v>1525</v>
      </c>
      <c r="C1210" s="10" t="s">
        <v>1521</v>
      </c>
      <c r="D1210" s="10" t="s">
        <v>655</v>
      </c>
      <c r="E1210" s="10" t="s">
        <v>34</v>
      </c>
      <c r="F1210" s="10" t="s">
        <v>35</v>
      </c>
      <c r="G1210" s="8" t="s">
        <v>41</v>
      </c>
      <c r="H1210" s="12">
        <v>1</v>
      </c>
      <c r="I1210" s="12">
        <v>2</v>
      </c>
      <c r="J1210" s="15">
        <v>16000.0</v>
      </c>
      <c r="K1210" s="15"/>
      <c r="L1210" s="17">
        <f>IF(J1210&gt;0, K1210/J1210, 0)</f>
        <v>0</v>
      </c>
      <c r="M1210" s="15">
        <v>16000.0</v>
      </c>
      <c r="N1210" s="15"/>
      <c r="O1210" s="15">
        <f>M1210-N1210</f>
        <v>16000</v>
      </c>
      <c r="P1210" s="10" t="s">
        <v>42</v>
      </c>
      <c r="Q1210" s="10" t="s">
        <v>43</v>
      </c>
      <c r="R1210" s="10" t="s">
        <v>44</v>
      </c>
      <c r="S1210" s="8" t="s">
        <v>2050</v>
      </c>
      <c r="T1210" s="8" t="s">
        <v>44</v>
      </c>
    </row>
    <row r="1211" spans="1:20">
      <c r="A1211" s="11">
        <v>1204</v>
      </c>
      <c r="B1211" s="11" t="s">
        <v>1526</v>
      </c>
      <c r="C1211" s="11" t="s">
        <v>1521</v>
      </c>
      <c r="D1211" s="11" t="s">
        <v>655</v>
      </c>
      <c r="E1211" s="11" t="s">
        <v>34</v>
      </c>
      <c r="F1211" s="11" t="s">
        <v>35</v>
      </c>
      <c r="G1211" s="9" t="s">
        <v>41</v>
      </c>
      <c r="H1211" s="13">
        <v>1</v>
      </c>
      <c r="I1211" s="13">
        <v>1</v>
      </c>
      <c r="J1211" s="16">
        <v>9000.0</v>
      </c>
      <c r="K1211" s="16"/>
      <c r="L1211" s="18">
        <f>IF(J1211&gt;0, K1211/J1211, 0)</f>
        <v>0</v>
      </c>
      <c r="M1211" s="16">
        <v>9000.0</v>
      </c>
      <c r="N1211" s="16"/>
      <c r="O1211" s="16">
        <f>M1211-N1211</f>
        <v>9000</v>
      </c>
      <c r="P1211" s="11" t="s">
        <v>42</v>
      </c>
      <c r="Q1211" s="11" t="s">
        <v>43</v>
      </c>
      <c r="R1211" s="11" t="s">
        <v>44</v>
      </c>
      <c r="S1211" s="9" t="s">
        <v>2105</v>
      </c>
      <c r="T1211" s="9" t="s">
        <v>44</v>
      </c>
    </row>
    <row r="1212" spans="1:20">
      <c r="A1212" s="10">
        <v>1205</v>
      </c>
      <c r="B1212" s="10" t="s">
        <v>1527</v>
      </c>
      <c r="C1212" s="10" t="s">
        <v>1521</v>
      </c>
      <c r="D1212" s="10" t="s">
        <v>655</v>
      </c>
      <c r="E1212" s="10" t="s">
        <v>34</v>
      </c>
      <c r="F1212" s="10" t="s">
        <v>35</v>
      </c>
      <c r="G1212" s="8" t="s">
        <v>41</v>
      </c>
      <c r="H1212" s="12">
        <v>1</v>
      </c>
      <c r="I1212" s="12">
        <v>1</v>
      </c>
      <c r="J1212" s="15">
        <v>16500.0</v>
      </c>
      <c r="K1212" s="15"/>
      <c r="L1212" s="17">
        <f>IF(J1212&gt;0, K1212/J1212, 0)</f>
        <v>0</v>
      </c>
      <c r="M1212" s="15">
        <v>16500.0</v>
      </c>
      <c r="N1212" s="15"/>
      <c r="O1212" s="15">
        <f>M1212-N1212</f>
        <v>16500</v>
      </c>
      <c r="P1212" s="10" t="s">
        <v>42</v>
      </c>
      <c r="Q1212" s="10" t="s">
        <v>43</v>
      </c>
      <c r="R1212" s="10" t="s">
        <v>44</v>
      </c>
      <c r="S1212" s="8" t="s">
        <v>2070</v>
      </c>
      <c r="T1212" s="8" t="s">
        <v>44</v>
      </c>
    </row>
    <row r="1213" spans="1:20">
      <c r="A1213" s="11">
        <v>1206</v>
      </c>
      <c r="B1213" s="11" t="s">
        <v>1528</v>
      </c>
      <c r="C1213" s="11" t="s">
        <v>1521</v>
      </c>
      <c r="D1213" s="11" t="s">
        <v>655</v>
      </c>
      <c r="E1213" s="11" t="s">
        <v>34</v>
      </c>
      <c r="F1213" s="11" t="s">
        <v>35</v>
      </c>
      <c r="G1213" s="9" t="s">
        <v>41</v>
      </c>
      <c r="H1213" s="13">
        <v>1</v>
      </c>
      <c r="I1213" s="13">
        <v>1</v>
      </c>
      <c r="J1213" s="16">
        <v>9000.0</v>
      </c>
      <c r="K1213" s="16"/>
      <c r="L1213" s="18">
        <f>IF(J1213&gt;0, K1213/J1213, 0)</f>
        <v>0</v>
      </c>
      <c r="M1213" s="16">
        <v>9000.0</v>
      </c>
      <c r="N1213" s="16"/>
      <c r="O1213" s="16">
        <f>M1213-N1213</f>
        <v>9000</v>
      </c>
      <c r="P1213" s="11" t="s">
        <v>42</v>
      </c>
      <c r="Q1213" s="11" t="s">
        <v>43</v>
      </c>
      <c r="R1213" s="11" t="s">
        <v>44</v>
      </c>
      <c r="S1213" s="9" t="s">
        <v>2148</v>
      </c>
      <c r="T1213" s="9" t="s">
        <v>44</v>
      </c>
    </row>
    <row r="1214" spans="1:20">
      <c r="A1214" s="10">
        <v>1207</v>
      </c>
      <c r="B1214" s="10" t="s">
        <v>1529</v>
      </c>
      <c r="C1214" s="10" t="s">
        <v>1521</v>
      </c>
      <c r="D1214" s="10" t="s">
        <v>655</v>
      </c>
      <c r="E1214" s="10" t="s">
        <v>34</v>
      </c>
      <c r="F1214" s="10" t="s">
        <v>35</v>
      </c>
      <c r="G1214" s="8" t="s">
        <v>41</v>
      </c>
      <c r="H1214" s="12">
        <v>1</v>
      </c>
      <c r="I1214" s="12">
        <v>1</v>
      </c>
      <c r="J1214" s="15">
        <v>8000.0</v>
      </c>
      <c r="K1214" s="15"/>
      <c r="L1214" s="17">
        <f>IF(J1214&gt;0, K1214/J1214, 0)</f>
        <v>0</v>
      </c>
      <c r="M1214" s="15">
        <v>8000.0</v>
      </c>
      <c r="N1214" s="15"/>
      <c r="O1214" s="15">
        <f>M1214-N1214</f>
        <v>8000</v>
      </c>
      <c r="P1214" s="10" t="s">
        <v>42</v>
      </c>
      <c r="Q1214" s="10" t="s">
        <v>43</v>
      </c>
      <c r="R1214" s="10" t="s">
        <v>44</v>
      </c>
      <c r="S1214" s="8" t="s">
        <v>2028</v>
      </c>
      <c r="T1214" s="8" t="s">
        <v>44</v>
      </c>
    </row>
    <row r="1215" spans="1:20">
      <c r="A1215" s="11">
        <v>1208</v>
      </c>
      <c r="B1215" s="11" t="s">
        <v>1530</v>
      </c>
      <c r="C1215" s="11" t="s">
        <v>1521</v>
      </c>
      <c r="D1215" s="11" t="s">
        <v>655</v>
      </c>
      <c r="E1215" s="11" t="s">
        <v>34</v>
      </c>
      <c r="F1215" s="11" t="s">
        <v>35</v>
      </c>
      <c r="G1215" s="9" t="s">
        <v>41</v>
      </c>
      <c r="H1215" s="13">
        <v>1</v>
      </c>
      <c r="I1215" s="13">
        <v>1</v>
      </c>
      <c r="J1215" s="16">
        <v>8000.0</v>
      </c>
      <c r="K1215" s="16"/>
      <c r="L1215" s="18">
        <f>IF(J1215&gt;0, K1215/J1215, 0)</f>
        <v>0</v>
      </c>
      <c r="M1215" s="16">
        <v>8000.0</v>
      </c>
      <c r="N1215" s="16"/>
      <c r="O1215" s="16">
        <f>M1215-N1215</f>
        <v>8000</v>
      </c>
      <c r="P1215" s="11" t="s">
        <v>42</v>
      </c>
      <c r="Q1215" s="11" t="s">
        <v>43</v>
      </c>
      <c r="R1215" s="11" t="s">
        <v>44</v>
      </c>
      <c r="S1215" s="9" t="s">
        <v>2068</v>
      </c>
      <c r="T1215" s="9" t="s">
        <v>44</v>
      </c>
    </row>
    <row r="1216" spans="1:20">
      <c r="A1216" s="10">
        <v>1209</v>
      </c>
      <c r="B1216" s="10" t="s">
        <v>1531</v>
      </c>
      <c r="C1216" s="10" t="s">
        <v>1521</v>
      </c>
      <c r="D1216" s="10" t="s">
        <v>655</v>
      </c>
      <c r="E1216" s="10" t="s">
        <v>70</v>
      </c>
      <c r="F1216" s="10" t="s">
        <v>35</v>
      </c>
      <c r="G1216" s="8" t="s">
        <v>41</v>
      </c>
      <c r="H1216" s="12">
        <v>1</v>
      </c>
      <c r="I1216" s="12">
        <v>1</v>
      </c>
      <c r="J1216" s="15">
        <v>8000.0</v>
      </c>
      <c r="K1216" s="15"/>
      <c r="L1216" s="17">
        <f>IF(J1216&gt;0, K1216/J1216, 0)</f>
        <v>0</v>
      </c>
      <c r="M1216" s="15">
        <v>8000.0</v>
      </c>
      <c r="N1216" s="15"/>
      <c r="O1216" s="15">
        <f>M1216-N1216</f>
        <v>8000</v>
      </c>
      <c r="P1216" s="10" t="s">
        <v>42</v>
      </c>
      <c r="Q1216" s="10" t="s">
        <v>73</v>
      </c>
      <c r="R1216" s="10" t="s">
        <v>44</v>
      </c>
      <c r="S1216" s="8" t="s">
        <v>2138</v>
      </c>
      <c r="T1216" s="8" t="s">
        <v>44</v>
      </c>
    </row>
    <row r="1217" spans="1:20">
      <c r="A1217" s="11">
        <v>1210</v>
      </c>
      <c r="B1217" s="11" t="s">
        <v>1532</v>
      </c>
      <c r="C1217" s="11" t="s">
        <v>1521</v>
      </c>
      <c r="D1217" s="11" t="s">
        <v>655</v>
      </c>
      <c r="E1217" s="11" t="s">
        <v>34</v>
      </c>
      <c r="F1217" s="11" t="s">
        <v>35</v>
      </c>
      <c r="G1217" s="9" t="s">
        <v>41</v>
      </c>
      <c r="H1217" s="13">
        <v>1</v>
      </c>
      <c r="I1217" s="13">
        <v>1</v>
      </c>
      <c r="J1217" s="16">
        <v>17000.0</v>
      </c>
      <c r="K1217" s="16"/>
      <c r="L1217" s="18">
        <f>IF(J1217&gt;0, K1217/J1217, 0)</f>
        <v>0</v>
      </c>
      <c r="M1217" s="16">
        <v>17000.0</v>
      </c>
      <c r="N1217" s="16"/>
      <c r="O1217" s="16">
        <f>M1217-N1217</f>
        <v>17000</v>
      </c>
      <c r="P1217" s="11" t="s">
        <v>42</v>
      </c>
      <c r="Q1217" s="11" t="s">
        <v>43</v>
      </c>
      <c r="R1217" s="11" t="s">
        <v>44</v>
      </c>
      <c r="S1217" s="9" t="s">
        <v>2073</v>
      </c>
      <c r="T1217" s="9" t="s">
        <v>44</v>
      </c>
    </row>
    <row r="1218" spans="1:20">
      <c r="A1218" s="10">
        <v>1211</v>
      </c>
      <c r="B1218" s="10" t="s">
        <v>1533</v>
      </c>
      <c r="C1218" s="10" t="s">
        <v>1521</v>
      </c>
      <c r="D1218" s="10" t="s">
        <v>655</v>
      </c>
      <c r="E1218" s="10" t="s">
        <v>70</v>
      </c>
      <c r="F1218" s="10" t="s">
        <v>35</v>
      </c>
      <c r="G1218" s="8" t="s">
        <v>41</v>
      </c>
      <c r="H1218" s="12">
        <v>1</v>
      </c>
      <c r="I1218" s="12">
        <v>1</v>
      </c>
      <c r="J1218" s="15">
        <v>10000.0</v>
      </c>
      <c r="K1218" s="15"/>
      <c r="L1218" s="17">
        <f>IF(J1218&gt;0, K1218/J1218, 0)</f>
        <v>0</v>
      </c>
      <c r="M1218" s="15">
        <v>10000.0</v>
      </c>
      <c r="N1218" s="15"/>
      <c r="O1218" s="15">
        <f>M1218-N1218</f>
        <v>10000</v>
      </c>
      <c r="P1218" s="10" t="s">
        <v>42</v>
      </c>
      <c r="Q1218" s="10" t="s">
        <v>73</v>
      </c>
      <c r="R1218" s="10" t="s">
        <v>44</v>
      </c>
      <c r="S1218" s="8" t="s">
        <v>2084</v>
      </c>
      <c r="T1218" s="8" t="s">
        <v>44</v>
      </c>
    </row>
    <row r="1219" spans="1:20">
      <c r="A1219" s="11">
        <v>1212</v>
      </c>
      <c r="B1219" s="11" t="s">
        <v>1534</v>
      </c>
      <c r="C1219" s="11" t="s">
        <v>1521</v>
      </c>
      <c r="D1219" s="11" t="s">
        <v>655</v>
      </c>
      <c r="E1219" s="11" t="s">
        <v>34</v>
      </c>
      <c r="F1219" s="11" t="s">
        <v>35</v>
      </c>
      <c r="G1219" s="9" t="s">
        <v>41</v>
      </c>
      <c r="H1219" s="13">
        <v>1</v>
      </c>
      <c r="I1219" s="13">
        <v>1</v>
      </c>
      <c r="J1219" s="16">
        <v>8000.0</v>
      </c>
      <c r="K1219" s="16"/>
      <c r="L1219" s="18">
        <f>IF(J1219&gt;0, K1219/J1219, 0)</f>
        <v>0</v>
      </c>
      <c r="M1219" s="16">
        <v>8000.0</v>
      </c>
      <c r="N1219" s="16"/>
      <c r="O1219" s="16">
        <f>M1219-N1219</f>
        <v>8000</v>
      </c>
      <c r="P1219" s="11" t="s">
        <v>42</v>
      </c>
      <c r="Q1219" s="11" t="s">
        <v>43</v>
      </c>
      <c r="R1219" s="11" t="s">
        <v>44</v>
      </c>
      <c r="S1219" s="9" t="s">
        <v>2062</v>
      </c>
      <c r="T1219" s="9" t="s">
        <v>44</v>
      </c>
    </row>
    <row r="1220" spans="1:20">
      <c r="A1220" s="10">
        <v>1213</v>
      </c>
      <c r="B1220" s="10" t="s">
        <v>1535</v>
      </c>
      <c r="C1220" s="10" t="s">
        <v>1521</v>
      </c>
      <c r="D1220" s="10" t="s">
        <v>655</v>
      </c>
      <c r="E1220" s="10" t="s">
        <v>34</v>
      </c>
      <c r="F1220" s="10" t="s">
        <v>35</v>
      </c>
      <c r="G1220" s="8" t="s">
        <v>41</v>
      </c>
      <c r="H1220" s="12">
        <v>1</v>
      </c>
      <c r="I1220" s="12">
        <v>1</v>
      </c>
      <c r="J1220" s="15">
        <v>8000.0</v>
      </c>
      <c r="K1220" s="15"/>
      <c r="L1220" s="17">
        <f>IF(J1220&gt;0, K1220/J1220, 0)</f>
        <v>0</v>
      </c>
      <c r="M1220" s="15">
        <v>8000.0</v>
      </c>
      <c r="N1220" s="15"/>
      <c r="O1220" s="15">
        <f>M1220-N1220</f>
        <v>8000</v>
      </c>
      <c r="P1220" s="10" t="s">
        <v>42</v>
      </c>
      <c r="Q1220" s="10" t="s">
        <v>43</v>
      </c>
      <c r="R1220" s="10" t="s">
        <v>44</v>
      </c>
      <c r="S1220" s="8" t="s">
        <v>2051</v>
      </c>
      <c r="T1220" s="8" t="s">
        <v>44</v>
      </c>
    </row>
    <row r="1221" spans="1:20">
      <c r="A1221" s="11">
        <v>1214</v>
      </c>
      <c r="B1221" s="11" t="s">
        <v>1536</v>
      </c>
      <c r="C1221" s="11" t="s">
        <v>1521</v>
      </c>
      <c r="D1221" s="11" t="s">
        <v>655</v>
      </c>
      <c r="E1221" s="11" t="s">
        <v>34</v>
      </c>
      <c r="F1221" s="11" t="s">
        <v>35</v>
      </c>
      <c r="G1221" s="9" t="s">
        <v>41</v>
      </c>
      <c r="H1221" s="13">
        <v>1</v>
      </c>
      <c r="I1221" s="13">
        <v>2</v>
      </c>
      <c r="J1221" s="16">
        <v>14000.0</v>
      </c>
      <c r="K1221" s="16"/>
      <c r="L1221" s="18">
        <f>IF(J1221&gt;0, K1221/J1221, 0)</f>
        <v>0</v>
      </c>
      <c r="M1221" s="16">
        <v>14000.0</v>
      </c>
      <c r="N1221" s="16"/>
      <c r="O1221" s="16">
        <f>M1221-N1221</f>
        <v>14000</v>
      </c>
      <c r="P1221" s="11" t="s">
        <v>42</v>
      </c>
      <c r="Q1221" s="11" t="s">
        <v>43</v>
      </c>
      <c r="R1221" s="11" t="s">
        <v>44</v>
      </c>
      <c r="S1221" s="9" t="s">
        <v>2063</v>
      </c>
      <c r="T1221" s="9" t="s">
        <v>44</v>
      </c>
    </row>
    <row r="1222" spans="1:20">
      <c r="A1222" s="10">
        <v>1215</v>
      </c>
      <c r="B1222" s="10" t="s">
        <v>1537</v>
      </c>
      <c r="C1222" s="10" t="s">
        <v>1538</v>
      </c>
      <c r="D1222" s="10" t="s">
        <v>655</v>
      </c>
      <c r="E1222" s="10" t="s">
        <v>34</v>
      </c>
      <c r="F1222" s="10" t="s">
        <v>35</v>
      </c>
      <c r="G1222" s="8" t="s">
        <v>41</v>
      </c>
      <c r="H1222" s="12">
        <v>1</v>
      </c>
      <c r="I1222" s="12">
        <v>1</v>
      </c>
      <c r="J1222" s="15">
        <v>18000.0</v>
      </c>
      <c r="K1222" s="15"/>
      <c r="L1222" s="17">
        <f>IF(J1222&gt;0, K1222/J1222, 0)</f>
        <v>0</v>
      </c>
      <c r="M1222" s="15">
        <v>18000.0</v>
      </c>
      <c r="N1222" s="15"/>
      <c r="O1222" s="15">
        <f>M1222-N1222</f>
        <v>18000</v>
      </c>
      <c r="P1222" s="10" t="s">
        <v>42</v>
      </c>
      <c r="Q1222" s="10" t="s">
        <v>43</v>
      </c>
      <c r="R1222" s="10" t="s">
        <v>44</v>
      </c>
      <c r="S1222" s="8" t="s">
        <v>2121</v>
      </c>
      <c r="T1222" s="8" t="s">
        <v>44</v>
      </c>
    </row>
    <row r="1223" spans="1:20">
      <c r="A1223" s="11">
        <v>1216</v>
      </c>
      <c r="B1223" s="11" t="s">
        <v>1539</v>
      </c>
      <c r="C1223" s="11" t="s">
        <v>1538</v>
      </c>
      <c r="D1223" s="11" t="s">
        <v>655</v>
      </c>
      <c r="E1223" s="11" t="s">
        <v>34</v>
      </c>
      <c r="F1223" s="11" t="s">
        <v>35</v>
      </c>
      <c r="G1223" s="9" t="s">
        <v>41</v>
      </c>
      <c r="H1223" s="13">
        <v>1</v>
      </c>
      <c r="I1223" s="13">
        <v>1</v>
      </c>
      <c r="J1223" s="16">
        <v>9500.0</v>
      </c>
      <c r="K1223" s="16"/>
      <c r="L1223" s="18">
        <f>IF(J1223&gt;0, K1223/J1223, 0)</f>
        <v>0</v>
      </c>
      <c r="M1223" s="16">
        <v>9500.0</v>
      </c>
      <c r="N1223" s="16"/>
      <c r="O1223" s="16">
        <f>M1223-N1223</f>
        <v>9500</v>
      </c>
      <c r="P1223" s="11" t="s">
        <v>42</v>
      </c>
      <c r="Q1223" s="11" t="s">
        <v>43</v>
      </c>
      <c r="R1223" s="11" t="s">
        <v>44</v>
      </c>
      <c r="S1223" s="9" t="s">
        <v>2162</v>
      </c>
      <c r="T1223" s="9" t="s">
        <v>44</v>
      </c>
    </row>
    <row r="1224" spans="1:20">
      <c r="A1224" s="10">
        <v>1217</v>
      </c>
      <c r="B1224" s="10" t="s">
        <v>1540</v>
      </c>
      <c r="C1224" s="10" t="s">
        <v>1538</v>
      </c>
      <c r="D1224" s="10" t="s">
        <v>655</v>
      </c>
      <c r="E1224" s="10" t="s">
        <v>34</v>
      </c>
      <c r="F1224" s="10" t="s">
        <v>35</v>
      </c>
      <c r="G1224" s="8" t="s">
        <v>41</v>
      </c>
      <c r="H1224" s="12">
        <v>1</v>
      </c>
      <c r="I1224" s="12">
        <v>2</v>
      </c>
      <c r="J1224" s="15">
        <v>16000.0</v>
      </c>
      <c r="K1224" s="15"/>
      <c r="L1224" s="17">
        <f>IF(J1224&gt;0, K1224/J1224, 0)</f>
        <v>0</v>
      </c>
      <c r="M1224" s="15">
        <v>16000.0</v>
      </c>
      <c r="N1224" s="15"/>
      <c r="O1224" s="15">
        <f>M1224-N1224</f>
        <v>16000</v>
      </c>
      <c r="P1224" s="10" t="s">
        <v>42</v>
      </c>
      <c r="Q1224" s="10" t="s">
        <v>43</v>
      </c>
      <c r="R1224" s="10" t="s">
        <v>44</v>
      </c>
      <c r="S1224" s="8" t="s">
        <v>2215</v>
      </c>
      <c r="T1224" s="8" t="s">
        <v>44</v>
      </c>
    </row>
    <row r="1225" spans="1:20">
      <c r="A1225" s="11">
        <v>1218</v>
      </c>
      <c r="B1225" s="11" t="s">
        <v>1541</v>
      </c>
      <c r="C1225" s="11" t="s">
        <v>1538</v>
      </c>
      <c r="D1225" s="11" t="s">
        <v>655</v>
      </c>
      <c r="E1225" s="11" t="s">
        <v>34</v>
      </c>
      <c r="F1225" s="11" t="s">
        <v>35</v>
      </c>
      <c r="G1225" s="9" t="s">
        <v>41</v>
      </c>
      <c r="H1225" s="13">
        <v>1</v>
      </c>
      <c r="I1225" s="13">
        <v>1</v>
      </c>
      <c r="J1225" s="16">
        <v>8000.0</v>
      </c>
      <c r="K1225" s="16"/>
      <c r="L1225" s="18">
        <f>IF(J1225&gt;0, K1225/J1225, 0)</f>
        <v>0</v>
      </c>
      <c r="M1225" s="16">
        <v>8000.0</v>
      </c>
      <c r="N1225" s="16"/>
      <c r="O1225" s="16">
        <f>M1225-N1225</f>
        <v>8000</v>
      </c>
      <c r="P1225" s="11" t="s">
        <v>42</v>
      </c>
      <c r="Q1225" s="11" t="s">
        <v>43</v>
      </c>
      <c r="R1225" s="11" t="s">
        <v>44</v>
      </c>
      <c r="S1225" s="9" t="s">
        <v>2101</v>
      </c>
      <c r="T1225" s="9" t="s">
        <v>44</v>
      </c>
    </row>
    <row r="1226" spans="1:20">
      <c r="A1226" s="10">
        <v>1219</v>
      </c>
      <c r="B1226" s="10" t="s">
        <v>1542</v>
      </c>
      <c r="C1226" s="10" t="s">
        <v>1538</v>
      </c>
      <c r="D1226" s="10" t="s">
        <v>655</v>
      </c>
      <c r="E1226" s="10" t="s">
        <v>70</v>
      </c>
      <c r="F1226" s="10" t="s">
        <v>35</v>
      </c>
      <c r="G1226" s="8" t="s">
        <v>41</v>
      </c>
      <c r="H1226" s="12">
        <v>1</v>
      </c>
      <c r="I1226" s="12">
        <v>1</v>
      </c>
      <c r="J1226" s="15">
        <v>11000.0</v>
      </c>
      <c r="K1226" s="15"/>
      <c r="L1226" s="17">
        <f>IF(J1226&gt;0, K1226/J1226, 0)</f>
        <v>0</v>
      </c>
      <c r="M1226" s="15">
        <v>11000.0</v>
      </c>
      <c r="N1226" s="15"/>
      <c r="O1226" s="15">
        <f>M1226-N1226</f>
        <v>11000</v>
      </c>
      <c r="P1226" s="10" t="s">
        <v>42</v>
      </c>
      <c r="Q1226" s="10" t="s">
        <v>73</v>
      </c>
      <c r="R1226" s="10" t="s">
        <v>44</v>
      </c>
      <c r="S1226" s="8" t="s">
        <v>2075</v>
      </c>
      <c r="T1226" s="8" t="s">
        <v>44</v>
      </c>
    </row>
    <row r="1227" spans="1:20">
      <c r="A1227" s="11">
        <v>1220</v>
      </c>
      <c r="B1227" s="11" t="s">
        <v>1543</v>
      </c>
      <c r="C1227" s="11" t="s">
        <v>1538</v>
      </c>
      <c r="D1227" s="11" t="s">
        <v>655</v>
      </c>
      <c r="E1227" s="11" t="s">
        <v>34</v>
      </c>
      <c r="F1227" s="11" t="s">
        <v>35</v>
      </c>
      <c r="G1227" s="9" t="s">
        <v>41</v>
      </c>
      <c r="H1227" s="13">
        <v>1</v>
      </c>
      <c r="I1227" s="13">
        <v>1</v>
      </c>
      <c r="J1227" s="16">
        <v>9000.0</v>
      </c>
      <c r="K1227" s="16"/>
      <c r="L1227" s="18">
        <f>IF(J1227&gt;0, K1227/J1227, 0)</f>
        <v>0</v>
      </c>
      <c r="M1227" s="16">
        <v>9000.0</v>
      </c>
      <c r="N1227" s="16"/>
      <c r="O1227" s="16">
        <f>M1227-N1227</f>
        <v>9000</v>
      </c>
      <c r="P1227" s="11" t="s">
        <v>42</v>
      </c>
      <c r="Q1227" s="11" t="s">
        <v>43</v>
      </c>
      <c r="R1227" s="11" t="s">
        <v>44</v>
      </c>
      <c r="S1227" s="9" t="s">
        <v>2023</v>
      </c>
      <c r="T1227" s="9" t="s">
        <v>44</v>
      </c>
    </row>
    <row r="1228" spans="1:20">
      <c r="A1228" s="10">
        <v>1221</v>
      </c>
      <c r="B1228" s="10" t="s">
        <v>1544</v>
      </c>
      <c r="C1228" s="10" t="s">
        <v>1538</v>
      </c>
      <c r="D1228" s="10" t="s">
        <v>655</v>
      </c>
      <c r="E1228" s="10" t="s">
        <v>34</v>
      </c>
      <c r="F1228" s="10" t="s">
        <v>35</v>
      </c>
      <c r="G1228" s="8" t="s">
        <v>41</v>
      </c>
      <c r="H1228" s="12">
        <v>1</v>
      </c>
      <c r="I1228" s="12">
        <v>2</v>
      </c>
      <c r="J1228" s="15">
        <v>16000.0</v>
      </c>
      <c r="K1228" s="15"/>
      <c r="L1228" s="17">
        <f>IF(J1228&gt;0, K1228/J1228, 0)</f>
        <v>0</v>
      </c>
      <c r="M1228" s="15">
        <v>16000.0</v>
      </c>
      <c r="N1228" s="15"/>
      <c r="O1228" s="15">
        <f>M1228-N1228</f>
        <v>16000</v>
      </c>
      <c r="P1228" s="10" t="s">
        <v>42</v>
      </c>
      <c r="Q1228" s="10" t="s">
        <v>43</v>
      </c>
      <c r="R1228" s="10" t="s">
        <v>44</v>
      </c>
      <c r="S1228" s="8" t="s">
        <v>2147</v>
      </c>
      <c r="T1228" s="8" t="s">
        <v>44</v>
      </c>
    </row>
    <row r="1229" spans="1:20">
      <c r="A1229" s="11">
        <v>1222</v>
      </c>
      <c r="B1229" s="11" t="s">
        <v>1545</v>
      </c>
      <c r="C1229" s="11" t="s">
        <v>1538</v>
      </c>
      <c r="D1229" s="11" t="s">
        <v>655</v>
      </c>
      <c r="E1229" s="11" t="s">
        <v>34</v>
      </c>
      <c r="F1229" s="11" t="s">
        <v>35</v>
      </c>
      <c r="G1229" s="9" t="s">
        <v>41</v>
      </c>
      <c r="H1229" s="13">
        <v>1</v>
      </c>
      <c r="I1229" s="13">
        <v>1</v>
      </c>
      <c r="J1229" s="16">
        <v>18000.0</v>
      </c>
      <c r="K1229" s="16"/>
      <c r="L1229" s="18">
        <f>IF(J1229&gt;0, K1229/J1229, 0)</f>
        <v>0</v>
      </c>
      <c r="M1229" s="16">
        <v>18000.0</v>
      </c>
      <c r="N1229" s="16"/>
      <c r="O1229" s="16">
        <f>M1229-N1229</f>
        <v>18000</v>
      </c>
      <c r="P1229" s="11" t="s">
        <v>42</v>
      </c>
      <c r="Q1229" s="11" t="s">
        <v>43</v>
      </c>
      <c r="R1229" s="11" t="s">
        <v>44</v>
      </c>
      <c r="S1229" s="9" t="s">
        <v>2107</v>
      </c>
      <c r="T1229" s="9" t="s">
        <v>44</v>
      </c>
    </row>
    <row r="1230" spans="1:20">
      <c r="A1230" s="10">
        <v>1223</v>
      </c>
      <c r="B1230" s="10" t="s">
        <v>1546</v>
      </c>
      <c r="C1230" s="10" t="s">
        <v>1538</v>
      </c>
      <c r="D1230" s="10" t="s">
        <v>655</v>
      </c>
      <c r="E1230" s="10" t="s">
        <v>34</v>
      </c>
      <c r="F1230" s="10" t="s">
        <v>35</v>
      </c>
      <c r="G1230" s="8" t="s">
        <v>41</v>
      </c>
      <c r="H1230" s="12">
        <v>1</v>
      </c>
      <c r="I1230" s="12">
        <v>2</v>
      </c>
      <c r="J1230" s="15">
        <v>16000.0</v>
      </c>
      <c r="K1230" s="15"/>
      <c r="L1230" s="17">
        <f>IF(J1230&gt;0, K1230/J1230, 0)</f>
        <v>0</v>
      </c>
      <c r="M1230" s="15">
        <v>16000.0</v>
      </c>
      <c r="N1230" s="15"/>
      <c r="O1230" s="15">
        <f>M1230-N1230</f>
        <v>16000</v>
      </c>
      <c r="P1230" s="10" t="s">
        <v>42</v>
      </c>
      <c r="Q1230" s="10" t="s">
        <v>43</v>
      </c>
      <c r="R1230" s="10" t="s">
        <v>44</v>
      </c>
      <c r="S1230" s="8" t="s">
        <v>2116</v>
      </c>
      <c r="T1230" s="8" t="s">
        <v>44</v>
      </c>
    </row>
    <row r="1231" spans="1:20">
      <c r="A1231" s="11">
        <v>1224</v>
      </c>
      <c r="B1231" s="11" t="s">
        <v>1547</v>
      </c>
      <c r="C1231" s="11" t="s">
        <v>1538</v>
      </c>
      <c r="D1231" s="11" t="s">
        <v>655</v>
      </c>
      <c r="E1231" s="11" t="s">
        <v>34</v>
      </c>
      <c r="F1231" s="11" t="s">
        <v>35</v>
      </c>
      <c r="G1231" s="9" t="s">
        <v>41</v>
      </c>
      <c r="H1231" s="13">
        <v>1</v>
      </c>
      <c r="I1231" s="13">
        <v>1</v>
      </c>
      <c r="J1231" s="16">
        <v>18000.0</v>
      </c>
      <c r="K1231" s="16"/>
      <c r="L1231" s="18">
        <f>IF(J1231&gt;0, K1231/J1231, 0)</f>
        <v>0</v>
      </c>
      <c r="M1231" s="16">
        <v>18000.0</v>
      </c>
      <c r="N1231" s="16"/>
      <c r="O1231" s="16">
        <f>M1231-N1231</f>
        <v>18000</v>
      </c>
      <c r="P1231" s="11" t="s">
        <v>42</v>
      </c>
      <c r="Q1231" s="11" t="s">
        <v>43</v>
      </c>
      <c r="R1231" s="11" t="s">
        <v>44</v>
      </c>
      <c r="S1231" s="9" t="s">
        <v>2065</v>
      </c>
      <c r="T1231" s="9" t="s">
        <v>44</v>
      </c>
    </row>
    <row r="1232" spans="1:20">
      <c r="A1232" s="10">
        <v>1225</v>
      </c>
      <c r="B1232" s="10" t="s">
        <v>1548</v>
      </c>
      <c r="C1232" s="10" t="s">
        <v>1538</v>
      </c>
      <c r="D1232" s="10" t="s">
        <v>655</v>
      </c>
      <c r="E1232" s="10" t="s">
        <v>34</v>
      </c>
      <c r="F1232" s="10" t="s">
        <v>35</v>
      </c>
      <c r="G1232" s="8" t="s">
        <v>41</v>
      </c>
      <c r="H1232" s="12">
        <v>1</v>
      </c>
      <c r="I1232" s="12">
        <v>1</v>
      </c>
      <c r="J1232" s="15">
        <v>7000.0</v>
      </c>
      <c r="K1232" s="15"/>
      <c r="L1232" s="17">
        <f>IF(J1232&gt;0, K1232/J1232, 0)</f>
        <v>0</v>
      </c>
      <c r="M1232" s="15">
        <v>7000.0</v>
      </c>
      <c r="N1232" s="15"/>
      <c r="O1232" s="15">
        <f>M1232-N1232</f>
        <v>7000</v>
      </c>
      <c r="P1232" s="10" t="s">
        <v>42</v>
      </c>
      <c r="Q1232" s="10" t="s">
        <v>43</v>
      </c>
      <c r="R1232" s="10" t="s">
        <v>44</v>
      </c>
      <c r="S1232" s="8" t="s">
        <v>2046</v>
      </c>
      <c r="T1232" s="8" t="s">
        <v>44</v>
      </c>
    </row>
    <row r="1233" spans="1:20">
      <c r="A1233" s="11">
        <v>1226</v>
      </c>
      <c r="B1233" s="11" t="s">
        <v>1549</v>
      </c>
      <c r="C1233" s="11" t="s">
        <v>1538</v>
      </c>
      <c r="D1233" s="11" t="s">
        <v>655</v>
      </c>
      <c r="E1233" s="11" t="s">
        <v>34</v>
      </c>
      <c r="F1233" s="11" t="s">
        <v>35</v>
      </c>
      <c r="G1233" s="9" t="s">
        <v>41</v>
      </c>
      <c r="H1233" s="13">
        <v>1</v>
      </c>
      <c r="I1233" s="13">
        <v>1</v>
      </c>
      <c r="J1233" s="16">
        <v>9000.0</v>
      </c>
      <c r="K1233" s="16"/>
      <c r="L1233" s="18">
        <f>IF(J1233&gt;0, K1233/J1233, 0)</f>
        <v>0</v>
      </c>
      <c r="M1233" s="16">
        <v>9000.0</v>
      </c>
      <c r="N1233" s="16"/>
      <c r="O1233" s="16">
        <f>M1233-N1233</f>
        <v>9000</v>
      </c>
      <c r="P1233" s="11" t="s">
        <v>42</v>
      </c>
      <c r="Q1233" s="11" t="s">
        <v>43</v>
      </c>
      <c r="R1233" s="11" t="s">
        <v>44</v>
      </c>
      <c r="S1233" s="9" t="s">
        <v>2075</v>
      </c>
      <c r="T1233" s="9" t="s">
        <v>44</v>
      </c>
    </row>
    <row r="1234" spans="1:20">
      <c r="A1234" s="10">
        <v>1227</v>
      </c>
      <c r="B1234" s="10" t="s">
        <v>1551</v>
      </c>
      <c r="C1234" s="10" t="s">
        <v>1538</v>
      </c>
      <c r="D1234" s="10" t="s">
        <v>655</v>
      </c>
      <c r="E1234" s="10" t="s">
        <v>34</v>
      </c>
      <c r="F1234" s="10" t="s">
        <v>35</v>
      </c>
      <c r="G1234" s="8" t="s">
        <v>41</v>
      </c>
      <c r="H1234" s="12">
        <v>1</v>
      </c>
      <c r="I1234" s="12">
        <v>4</v>
      </c>
      <c r="J1234" s="15">
        <v>28000.0</v>
      </c>
      <c r="K1234" s="15"/>
      <c r="L1234" s="17">
        <f>IF(J1234&gt;0, K1234/J1234, 0)</f>
        <v>0</v>
      </c>
      <c r="M1234" s="15">
        <v>28000.0</v>
      </c>
      <c r="N1234" s="15"/>
      <c r="O1234" s="15">
        <f>M1234-N1234</f>
        <v>28000</v>
      </c>
      <c r="P1234" s="10" t="s">
        <v>42</v>
      </c>
      <c r="Q1234" s="10" t="s">
        <v>43</v>
      </c>
      <c r="R1234" s="10" t="s">
        <v>44</v>
      </c>
      <c r="S1234" s="8" t="s">
        <v>2193</v>
      </c>
      <c r="T1234" s="8" t="s">
        <v>44</v>
      </c>
    </row>
    <row r="1235" spans="1:20">
      <c r="A1235" s="11">
        <v>1228</v>
      </c>
      <c r="B1235" s="11" t="s">
        <v>1552</v>
      </c>
      <c r="C1235" s="11" t="s">
        <v>1538</v>
      </c>
      <c r="D1235" s="11" t="s">
        <v>655</v>
      </c>
      <c r="E1235" s="11" t="s">
        <v>70</v>
      </c>
      <c r="F1235" s="11" t="s">
        <v>35</v>
      </c>
      <c r="G1235" s="9" t="s">
        <v>41</v>
      </c>
      <c r="H1235" s="13">
        <v>1</v>
      </c>
      <c r="I1235" s="13">
        <v>1</v>
      </c>
      <c r="J1235" s="16">
        <v>18000.0</v>
      </c>
      <c r="K1235" s="16"/>
      <c r="L1235" s="18">
        <f>IF(J1235&gt;0, K1235/J1235, 0)</f>
        <v>0</v>
      </c>
      <c r="M1235" s="16">
        <v>18000.0</v>
      </c>
      <c r="N1235" s="16"/>
      <c r="O1235" s="16">
        <f>M1235-N1235</f>
        <v>18000</v>
      </c>
      <c r="P1235" s="11" t="s">
        <v>42</v>
      </c>
      <c r="Q1235" s="11" t="s">
        <v>73</v>
      </c>
      <c r="R1235" s="11" t="s">
        <v>44</v>
      </c>
      <c r="S1235" s="9" t="s">
        <v>2039</v>
      </c>
      <c r="T1235" s="9" t="s">
        <v>44</v>
      </c>
    </row>
    <row r="1236" spans="1:20">
      <c r="A1236" s="10">
        <v>1229</v>
      </c>
      <c r="B1236" s="10" t="s">
        <v>1553</v>
      </c>
      <c r="C1236" s="10" t="s">
        <v>1538</v>
      </c>
      <c r="D1236" s="10" t="s">
        <v>655</v>
      </c>
      <c r="E1236" s="10" t="s">
        <v>34</v>
      </c>
      <c r="F1236" s="10" t="s">
        <v>35</v>
      </c>
      <c r="G1236" s="8" t="s">
        <v>41</v>
      </c>
      <c r="H1236" s="12">
        <v>1</v>
      </c>
      <c r="I1236" s="12">
        <v>1</v>
      </c>
      <c r="J1236" s="15">
        <v>7000.0</v>
      </c>
      <c r="K1236" s="15"/>
      <c r="L1236" s="17">
        <f>IF(J1236&gt;0, K1236/J1236, 0)</f>
        <v>0</v>
      </c>
      <c r="M1236" s="15">
        <v>7000.0</v>
      </c>
      <c r="N1236" s="15"/>
      <c r="O1236" s="15">
        <f>M1236-N1236</f>
        <v>7000</v>
      </c>
      <c r="P1236" s="10" t="s">
        <v>42</v>
      </c>
      <c r="Q1236" s="10" t="s">
        <v>43</v>
      </c>
      <c r="R1236" s="10" t="s">
        <v>44</v>
      </c>
      <c r="S1236" s="8" t="s">
        <v>2034</v>
      </c>
      <c r="T1236" s="8" t="s">
        <v>44</v>
      </c>
    </row>
    <row r="1237" spans="1:20">
      <c r="A1237" s="11">
        <v>1230</v>
      </c>
      <c r="B1237" s="11" t="s">
        <v>1555</v>
      </c>
      <c r="C1237" s="11" t="s">
        <v>1538</v>
      </c>
      <c r="D1237" s="11" t="s">
        <v>655</v>
      </c>
      <c r="E1237" s="11" t="s">
        <v>34</v>
      </c>
      <c r="F1237" s="11" t="s">
        <v>35</v>
      </c>
      <c r="G1237" s="9" t="s">
        <v>41</v>
      </c>
      <c r="H1237" s="13">
        <v>1</v>
      </c>
      <c r="I1237" s="13">
        <v>1</v>
      </c>
      <c r="J1237" s="16">
        <v>7000.0</v>
      </c>
      <c r="K1237" s="16"/>
      <c r="L1237" s="18">
        <f>IF(J1237&gt;0, K1237/J1237, 0)</f>
        <v>0</v>
      </c>
      <c r="M1237" s="16">
        <v>7000.0</v>
      </c>
      <c r="N1237" s="16"/>
      <c r="O1237" s="16">
        <f>M1237-N1237</f>
        <v>7000</v>
      </c>
      <c r="P1237" s="11" t="s">
        <v>42</v>
      </c>
      <c r="Q1237" s="11" t="s">
        <v>43</v>
      </c>
      <c r="R1237" s="11" t="s">
        <v>44</v>
      </c>
      <c r="S1237" s="9" t="s">
        <v>2046</v>
      </c>
      <c r="T1237" s="9" t="s">
        <v>44</v>
      </c>
    </row>
    <row r="1238" spans="1:20">
      <c r="A1238" s="10">
        <v>1231</v>
      </c>
      <c r="B1238" s="10" t="s">
        <v>1556</v>
      </c>
      <c r="C1238" s="10" t="s">
        <v>1538</v>
      </c>
      <c r="D1238" s="10" t="s">
        <v>655</v>
      </c>
      <c r="E1238" s="10" t="s">
        <v>34</v>
      </c>
      <c r="F1238" s="10" t="s">
        <v>35</v>
      </c>
      <c r="G1238" s="8" t="s">
        <v>41</v>
      </c>
      <c r="H1238" s="12">
        <v>1</v>
      </c>
      <c r="I1238" s="12">
        <v>1</v>
      </c>
      <c r="J1238" s="15">
        <v>8000.0</v>
      </c>
      <c r="K1238" s="15"/>
      <c r="L1238" s="17">
        <f>IF(J1238&gt;0, K1238/J1238, 0)</f>
        <v>0</v>
      </c>
      <c r="M1238" s="15">
        <v>8000.0</v>
      </c>
      <c r="N1238" s="15"/>
      <c r="O1238" s="15">
        <f>M1238-N1238</f>
        <v>8000</v>
      </c>
      <c r="P1238" s="10" t="s">
        <v>42</v>
      </c>
      <c r="Q1238" s="10" t="s">
        <v>43</v>
      </c>
      <c r="R1238" s="10" t="s">
        <v>44</v>
      </c>
      <c r="S1238" s="8" t="s">
        <v>2045</v>
      </c>
      <c r="T1238" s="8" t="s">
        <v>44</v>
      </c>
    </row>
    <row r="1239" spans="1:20">
      <c r="A1239" s="11">
        <v>1232</v>
      </c>
      <c r="B1239" s="11" t="s">
        <v>1557</v>
      </c>
      <c r="C1239" s="11" t="s">
        <v>1538</v>
      </c>
      <c r="D1239" s="11" t="s">
        <v>655</v>
      </c>
      <c r="E1239" s="11" t="s">
        <v>34</v>
      </c>
      <c r="F1239" s="11" t="s">
        <v>35</v>
      </c>
      <c r="G1239" s="9" t="s">
        <v>41</v>
      </c>
      <c r="H1239" s="13">
        <v>1</v>
      </c>
      <c r="I1239" s="13">
        <v>1</v>
      </c>
      <c r="J1239" s="16">
        <v>8000.0</v>
      </c>
      <c r="K1239" s="16"/>
      <c r="L1239" s="18">
        <f>IF(J1239&gt;0, K1239/J1239, 0)</f>
        <v>0</v>
      </c>
      <c r="M1239" s="16">
        <v>8000.0</v>
      </c>
      <c r="N1239" s="16"/>
      <c r="O1239" s="16">
        <f>M1239-N1239</f>
        <v>8000</v>
      </c>
      <c r="P1239" s="11" t="s">
        <v>42</v>
      </c>
      <c r="Q1239" s="11" t="s">
        <v>43</v>
      </c>
      <c r="R1239" s="11" t="s">
        <v>44</v>
      </c>
      <c r="S1239" s="9" t="s">
        <v>2020</v>
      </c>
      <c r="T1239" s="9" t="s">
        <v>44</v>
      </c>
    </row>
    <row r="1240" spans="1:20">
      <c r="A1240" s="10">
        <v>1233</v>
      </c>
      <c r="B1240" s="10" t="s">
        <v>1558</v>
      </c>
      <c r="C1240" s="10" t="s">
        <v>1538</v>
      </c>
      <c r="D1240" s="10" t="s">
        <v>655</v>
      </c>
      <c r="E1240" s="10" t="s">
        <v>34</v>
      </c>
      <c r="F1240" s="10" t="s">
        <v>35</v>
      </c>
      <c r="G1240" s="8" t="s">
        <v>41</v>
      </c>
      <c r="H1240" s="12">
        <v>1</v>
      </c>
      <c r="I1240" s="12">
        <v>1</v>
      </c>
      <c r="J1240" s="15">
        <v>8000.0</v>
      </c>
      <c r="K1240" s="15"/>
      <c r="L1240" s="17">
        <f>IF(J1240&gt;0, K1240/J1240, 0)</f>
        <v>0</v>
      </c>
      <c r="M1240" s="15">
        <v>8000.0</v>
      </c>
      <c r="N1240" s="15"/>
      <c r="O1240" s="15">
        <f>M1240-N1240</f>
        <v>8000</v>
      </c>
      <c r="P1240" s="10" t="s">
        <v>42</v>
      </c>
      <c r="Q1240" s="10" t="s">
        <v>43</v>
      </c>
      <c r="R1240" s="10" t="s">
        <v>44</v>
      </c>
      <c r="S1240" s="8" t="s">
        <v>2053</v>
      </c>
      <c r="T1240" s="8" t="s">
        <v>44</v>
      </c>
    </row>
    <row r="1241" spans="1:20">
      <c r="A1241" s="11">
        <v>1234</v>
      </c>
      <c r="B1241" s="11" t="s">
        <v>1559</v>
      </c>
      <c r="C1241" s="11" t="s">
        <v>1538</v>
      </c>
      <c r="D1241" s="11" t="s">
        <v>655</v>
      </c>
      <c r="E1241" s="11" t="s">
        <v>34</v>
      </c>
      <c r="F1241" s="11" t="s">
        <v>35</v>
      </c>
      <c r="G1241" s="9" t="s">
        <v>41</v>
      </c>
      <c r="H1241" s="13">
        <v>1</v>
      </c>
      <c r="I1241" s="13">
        <v>1</v>
      </c>
      <c r="J1241" s="16">
        <v>17000.0</v>
      </c>
      <c r="K1241" s="16"/>
      <c r="L1241" s="18">
        <f>IF(J1241&gt;0, K1241/J1241, 0)</f>
        <v>0</v>
      </c>
      <c r="M1241" s="16">
        <v>17000.0</v>
      </c>
      <c r="N1241" s="16"/>
      <c r="O1241" s="16">
        <f>M1241-N1241</f>
        <v>17000</v>
      </c>
      <c r="P1241" s="11" t="s">
        <v>42</v>
      </c>
      <c r="Q1241" s="11" t="s">
        <v>43</v>
      </c>
      <c r="R1241" s="11" t="s">
        <v>44</v>
      </c>
      <c r="S1241" s="9" t="s">
        <v>2078</v>
      </c>
      <c r="T1241" s="9" t="s">
        <v>44</v>
      </c>
    </row>
    <row r="1242" spans="1:20">
      <c r="A1242" s="10">
        <v>1235</v>
      </c>
      <c r="B1242" s="10" t="s">
        <v>1560</v>
      </c>
      <c r="C1242" s="10" t="s">
        <v>1538</v>
      </c>
      <c r="D1242" s="10" t="s">
        <v>655</v>
      </c>
      <c r="E1242" s="10" t="s">
        <v>70</v>
      </c>
      <c r="F1242" s="10" t="s">
        <v>35</v>
      </c>
      <c r="G1242" s="8" t="s">
        <v>41</v>
      </c>
      <c r="H1242" s="12">
        <v>1</v>
      </c>
      <c r="I1242" s="12">
        <v>1</v>
      </c>
      <c r="J1242" s="15">
        <v>10000.0</v>
      </c>
      <c r="K1242" s="15"/>
      <c r="L1242" s="17">
        <f>IF(J1242&gt;0, K1242/J1242, 0)</f>
        <v>0</v>
      </c>
      <c r="M1242" s="15">
        <v>10000.0</v>
      </c>
      <c r="N1242" s="15"/>
      <c r="O1242" s="15">
        <f>M1242-N1242</f>
        <v>10000</v>
      </c>
      <c r="P1242" s="10" t="s">
        <v>42</v>
      </c>
      <c r="Q1242" s="10" t="s">
        <v>73</v>
      </c>
      <c r="R1242" s="10" t="s">
        <v>44</v>
      </c>
      <c r="S1242" s="8" t="s">
        <v>2076</v>
      </c>
      <c r="T1242" s="8" t="s">
        <v>44</v>
      </c>
    </row>
    <row r="1243" spans="1:20">
      <c r="A1243" s="11">
        <v>1236</v>
      </c>
      <c r="B1243" s="11" t="s">
        <v>1561</v>
      </c>
      <c r="C1243" s="11" t="s">
        <v>1538</v>
      </c>
      <c r="D1243" s="11" t="s">
        <v>655</v>
      </c>
      <c r="E1243" s="11" t="s">
        <v>34</v>
      </c>
      <c r="F1243" s="11" t="s">
        <v>35</v>
      </c>
      <c r="G1243" s="9" t="s">
        <v>41</v>
      </c>
      <c r="H1243" s="13">
        <v>1</v>
      </c>
      <c r="I1243" s="13">
        <v>2</v>
      </c>
      <c r="J1243" s="16">
        <v>14000.0</v>
      </c>
      <c r="K1243" s="16"/>
      <c r="L1243" s="18">
        <f>IF(J1243&gt;0, K1243/J1243, 0)</f>
        <v>0</v>
      </c>
      <c r="M1243" s="16">
        <v>14000.0</v>
      </c>
      <c r="N1243" s="16"/>
      <c r="O1243" s="16">
        <f>M1243-N1243</f>
        <v>14000</v>
      </c>
      <c r="P1243" s="11" t="s">
        <v>42</v>
      </c>
      <c r="Q1243" s="11" t="s">
        <v>43</v>
      </c>
      <c r="R1243" s="11" t="s">
        <v>44</v>
      </c>
      <c r="S1243" s="9" t="s">
        <v>2140</v>
      </c>
      <c r="T1243" s="9" t="s">
        <v>44</v>
      </c>
    </row>
    <row r="1244" spans="1:20">
      <c r="A1244" s="10">
        <v>1237</v>
      </c>
      <c r="B1244" s="10" t="s">
        <v>1562</v>
      </c>
      <c r="C1244" s="10" t="s">
        <v>1538</v>
      </c>
      <c r="D1244" s="10" t="s">
        <v>655</v>
      </c>
      <c r="E1244" s="10" t="s">
        <v>34</v>
      </c>
      <c r="F1244" s="10" t="s">
        <v>35</v>
      </c>
      <c r="G1244" s="8" t="s">
        <v>41</v>
      </c>
      <c r="H1244" s="12">
        <v>1</v>
      </c>
      <c r="I1244" s="12">
        <v>1</v>
      </c>
      <c r="J1244" s="15">
        <v>8000.0</v>
      </c>
      <c r="K1244" s="15"/>
      <c r="L1244" s="17">
        <f>IF(J1244&gt;0, K1244/J1244, 0)</f>
        <v>0</v>
      </c>
      <c r="M1244" s="15">
        <v>8000.0</v>
      </c>
      <c r="N1244" s="15"/>
      <c r="O1244" s="15">
        <f>M1244-N1244</f>
        <v>8000</v>
      </c>
      <c r="P1244" s="10" t="s">
        <v>42</v>
      </c>
      <c r="Q1244" s="10" t="s">
        <v>43</v>
      </c>
      <c r="R1244" s="10" t="s">
        <v>44</v>
      </c>
      <c r="S1244" s="8" t="s">
        <v>2111</v>
      </c>
      <c r="T1244" s="8" t="s">
        <v>44</v>
      </c>
    </row>
    <row r="1245" spans="1:20">
      <c r="A1245" s="11">
        <v>1238</v>
      </c>
      <c r="B1245" s="11" t="s">
        <v>1563</v>
      </c>
      <c r="C1245" s="11" t="s">
        <v>1538</v>
      </c>
      <c r="D1245" s="11" t="s">
        <v>655</v>
      </c>
      <c r="E1245" s="11" t="s">
        <v>34</v>
      </c>
      <c r="F1245" s="11" t="s">
        <v>35</v>
      </c>
      <c r="G1245" s="9" t="s">
        <v>41</v>
      </c>
      <c r="H1245" s="13">
        <v>1</v>
      </c>
      <c r="I1245" s="13">
        <v>1</v>
      </c>
      <c r="J1245" s="16">
        <v>18000.0</v>
      </c>
      <c r="K1245" s="16"/>
      <c r="L1245" s="18">
        <f>IF(J1245&gt;0, K1245/J1245, 0)</f>
        <v>0</v>
      </c>
      <c r="M1245" s="16">
        <v>18000.0</v>
      </c>
      <c r="N1245" s="16"/>
      <c r="O1245" s="16">
        <f>M1245-N1245</f>
        <v>18000</v>
      </c>
      <c r="P1245" s="11" t="s">
        <v>42</v>
      </c>
      <c r="Q1245" s="11" t="s">
        <v>43</v>
      </c>
      <c r="R1245" s="11" t="s">
        <v>44</v>
      </c>
      <c r="S1245" s="9" t="s">
        <v>2118</v>
      </c>
      <c r="T1245" s="9" t="s">
        <v>44</v>
      </c>
    </row>
    <row r="1246" spans="1:20">
      <c r="A1246" s="10">
        <v>1239</v>
      </c>
      <c r="B1246" s="10" t="s">
        <v>1564</v>
      </c>
      <c r="C1246" s="10" t="s">
        <v>1538</v>
      </c>
      <c r="D1246" s="10" t="s">
        <v>655</v>
      </c>
      <c r="E1246" s="10" t="s">
        <v>70</v>
      </c>
      <c r="F1246" s="10" t="s">
        <v>35</v>
      </c>
      <c r="G1246" s="8" t="s">
        <v>41</v>
      </c>
      <c r="H1246" s="12">
        <v>1</v>
      </c>
      <c r="I1246" s="12">
        <v>1</v>
      </c>
      <c r="J1246" s="15">
        <v>9000.0</v>
      </c>
      <c r="K1246" s="15"/>
      <c r="L1246" s="17">
        <f>IF(J1246&gt;0, K1246/J1246, 0)</f>
        <v>0</v>
      </c>
      <c r="M1246" s="15">
        <v>9000.0</v>
      </c>
      <c r="N1246" s="15"/>
      <c r="O1246" s="15">
        <f>M1246-N1246</f>
        <v>9000</v>
      </c>
      <c r="P1246" s="10" t="s">
        <v>42</v>
      </c>
      <c r="Q1246" s="10" t="s">
        <v>73</v>
      </c>
      <c r="R1246" s="10" t="s">
        <v>44</v>
      </c>
      <c r="S1246" s="8" t="s">
        <v>2077</v>
      </c>
      <c r="T1246" s="8" t="s">
        <v>44</v>
      </c>
    </row>
    <row r="1247" spans="1:20">
      <c r="A1247" s="11">
        <v>1240</v>
      </c>
      <c r="B1247" s="11" t="s">
        <v>1565</v>
      </c>
      <c r="C1247" s="11" t="s">
        <v>1538</v>
      </c>
      <c r="D1247" s="11" t="s">
        <v>655</v>
      </c>
      <c r="E1247" s="11" t="s">
        <v>34</v>
      </c>
      <c r="F1247" s="11" t="s">
        <v>35</v>
      </c>
      <c r="G1247" s="9" t="s">
        <v>41</v>
      </c>
      <c r="H1247" s="13">
        <v>1</v>
      </c>
      <c r="I1247" s="13">
        <v>1</v>
      </c>
      <c r="J1247" s="16">
        <v>17000.0</v>
      </c>
      <c r="K1247" s="16"/>
      <c r="L1247" s="18">
        <f>IF(J1247&gt;0, K1247/J1247, 0)</f>
        <v>0</v>
      </c>
      <c r="M1247" s="16">
        <v>17000.0</v>
      </c>
      <c r="N1247" s="16"/>
      <c r="O1247" s="16">
        <f>M1247-N1247</f>
        <v>17000</v>
      </c>
      <c r="P1247" s="11" t="s">
        <v>42</v>
      </c>
      <c r="Q1247" s="11" t="s">
        <v>43</v>
      </c>
      <c r="R1247" s="11" t="s">
        <v>44</v>
      </c>
      <c r="S1247" s="9" t="s">
        <v>2073</v>
      </c>
      <c r="T1247" s="9" t="s">
        <v>44</v>
      </c>
    </row>
    <row r="1248" spans="1:20">
      <c r="A1248" s="10">
        <v>1241</v>
      </c>
      <c r="B1248" s="10" t="s">
        <v>1566</v>
      </c>
      <c r="C1248" s="10" t="s">
        <v>1538</v>
      </c>
      <c r="D1248" s="10" t="s">
        <v>655</v>
      </c>
      <c r="E1248" s="10" t="s">
        <v>34</v>
      </c>
      <c r="F1248" s="10" t="s">
        <v>35</v>
      </c>
      <c r="G1248" s="8" t="s">
        <v>41</v>
      </c>
      <c r="H1248" s="12">
        <v>1</v>
      </c>
      <c r="I1248" s="12">
        <v>1</v>
      </c>
      <c r="J1248" s="15">
        <v>7000.0</v>
      </c>
      <c r="K1248" s="15"/>
      <c r="L1248" s="17">
        <f>IF(J1248&gt;0, K1248/J1248, 0)</f>
        <v>0</v>
      </c>
      <c r="M1248" s="15">
        <v>7000.0</v>
      </c>
      <c r="N1248" s="15"/>
      <c r="O1248" s="15">
        <f>M1248-N1248</f>
        <v>7000</v>
      </c>
      <c r="P1248" s="10" t="s">
        <v>42</v>
      </c>
      <c r="Q1248" s="10" t="s">
        <v>43</v>
      </c>
      <c r="R1248" s="10" t="s">
        <v>44</v>
      </c>
      <c r="S1248" s="8" t="s">
        <v>2077</v>
      </c>
      <c r="T1248" s="8" t="s">
        <v>44</v>
      </c>
    </row>
    <row r="1249" spans="1:20">
      <c r="A1249" s="11">
        <v>1242</v>
      </c>
      <c r="B1249" s="11" t="s">
        <v>1567</v>
      </c>
      <c r="C1249" s="11" t="s">
        <v>1538</v>
      </c>
      <c r="D1249" s="11" t="s">
        <v>655</v>
      </c>
      <c r="E1249" s="11" t="s">
        <v>34</v>
      </c>
      <c r="F1249" s="11" t="s">
        <v>35</v>
      </c>
      <c r="G1249" s="9" t="s">
        <v>41</v>
      </c>
      <c r="H1249" s="13">
        <v>1</v>
      </c>
      <c r="I1249" s="13">
        <v>1</v>
      </c>
      <c r="J1249" s="16">
        <v>8000.0</v>
      </c>
      <c r="K1249" s="16"/>
      <c r="L1249" s="18">
        <f>IF(J1249&gt;0, K1249/J1249, 0)</f>
        <v>0</v>
      </c>
      <c r="M1249" s="16">
        <v>8000.0</v>
      </c>
      <c r="N1249" s="16"/>
      <c r="O1249" s="16">
        <f>M1249-N1249</f>
        <v>8000</v>
      </c>
      <c r="P1249" s="11" t="s">
        <v>42</v>
      </c>
      <c r="Q1249" s="11" t="s">
        <v>43</v>
      </c>
      <c r="R1249" s="11" t="s">
        <v>44</v>
      </c>
      <c r="S1249" s="9" t="s">
        <v>2062</v>
      </c>
      <c r="T1249" s="9" t="s">
        <v>44</v>
      </c>
    </row>
    <row r="1250" spans="1:20">
      <c r="A1250" s="10">
        <v>1243</v>
      </c>
      <c r="B1250" s="10" t="s">
        <v>1568</v>
      </c>
      <c r="C1250" s="10" t="s">
        <v>1538</v>
      </c>
      <c r="D1250" s="10" t="s">
        <v>655</v>
      </c>
      <c r="E1250" s="10" t="s">
        <v>70</v>
      </c>
      <c r="F1250" s="10" t="s">
        <v>35</v>
      </c>
      <c r="G1250" s="8" t="s">
        <v>41</v>
      </c>
      <c r="H1250" s="12">
        <v>1</v>
      </c>
      <c r="I1250" s="12">
        <v>1</v>
      </c>
      <c r="J1250" s="15">
        <v>10000.0</v>
      </c>
      <c r="K1250" s="15"/>
      <c r="L1250" s="17">
        <f>IF(J1250&gt;0, K1250/J1250, 0)</f>
        <v>0</v>
      </c>
      <c r="M1250" s="15">
        <v>10000.0</v>
      </c>
      <c r="N1250" s="15"/>
      <c r="O1250" s="15">
        <f>M1250-N1250</f>
        <v>10000</v>
      </c>
      <c r="P1250" s="10" t="s">
        <v>42</v>
      </c>
      <c r="Q1250" s="10" t="s">
        <v>73</v>
      </c>
      <c r="R1250" s="10" t="s">
        <v>44</v>
      </c>
      <c r="S1250" s="8" t="s">
        <v>2083</v>
      </c>
      <c r="T1250" s="8" t="s">
        <v>44</v>
      </c>
    </row>
    <row r="1251" spans="1:20">
      <c r="A1251" s="11">
        <v>1244</v>
      </c>
      <c r="B1251" s="11" t="s">
        <v>1569</v>
      </c>
      <c r="C1251" s="11" t="s">
        <v>1538</v>
      </c>
      <c r="D1251" s="11" t="s">
        <v>655</v>
      </c>
      <c r="E1251" s="11" t="s">
        <v>34</v>
      </c>
      <c r="F1251" s="11" t="s">
        <v>35</v>
      </c>
      <c r="G1251" s="9" t="s">
        <v>41</v>
      </c>
      <c r="H1251" s="13">
        <v>1</v>
      </c>
      <c r="I1251" s="13">
        <v>1</v>
      </c>
      <c r="J1251" s="16">
        <v>9000.0</v>
      </c>
      <c r="K1251" s="16"/>
      <c r="L1251" s="18">
        <f>IF(J1251&gt;0, K1251/J1251, 0)</f>
        <v>0</v>
      </c>
      <c r="M1251" s="16">
        <v>9000.0</v>
      </c>
      <c r="N1251" s="16"/>
      <c r="O1251" s="16">
        <f>M1251-N1251</f>
        <v>9000</v>
      </c>
      <c r="P1251" s="11" t="s">
        <v>42</v>
      </c>
      <c r="Q1251" s="11" t="s">
        <v>43</v>
      </c>
      <c r="R1251" s="11" t="s">
        <v>44</v>
      </c>
      <c r="S1251" s="9" t="s">
        <v>2030</v>
      </c>
      <c r="T1251" s="9" t="s">
        <v>44</v>
      </c>
    </row>
    <row r="1252" spans="1:20">
      <c r="A1252" s="10">
        <v>1245</v>
      </c>
      <c r="B1252" s="10" t="s">
        <v>1570</v>
      </c>
      <c r="C1252" s="10" t="s">
        <v>1538</v>
      </c>
      <c r="D1252" s="10" t="s">
        <v>655</v>
      </c>
      <c r="E1252" s="10" t="s">
        <v>70</v>
      </c>
      <c r="F1252" s="10" t="s">
        <v>35</v>
      </c>
      <c r="G1252" s="8" t="s">
        <v>41</v>
      </c>
      <c r="H1252" s="12">
        <v>1</v>
      </c>
      <c r="I1252" s="12">
        <v>1</v>
      </c>
      <c r="J1252" s="15">
        <v>9000.0</v>
      </c>
      <c r="K1252" s="15"/>
      <c r="L1252" s="17">
        <f>IF(J1252&gt;0, K1252/J1252, 0)</f>
        <v>0</v>
      </c>
      <c r="M1252" s="15">
        <v>9000.0</v>
      </c>
      <c r="N1252" s="15"/>
      <c r="O1252" s="15">
        <f>M1252-N1252</f>
        <v>9000</v>
      </c>
      <c r="P1252" s="10" t="s">
        <v>42</v>
      </c>
      <c r="Q1252" s="10" t="s">
        <v>73</v>
      </c>
      <c r="R1252" s="10" t="s">
        <v>44</v>
      </c>
      <c r="S1252" s="8" t="s">
        <v>2038</v>
      </c>
      <c r="T1252" s="8" t="s">
        <v>44</v>
      </c>
    </row>
    <row r="1253" spans="1:20">
      <c r="A1253" s="11">
        <v>1246</v>
      </c>
      <c r="B1253" s="11" t="s">
        <v>1571</v>
      </c>
      <c r="C1253" s="11" t="s">
        <v>1538</v>
      </c>
      <c r="D1253" s="11" t="s">
        <v>655</v>
      </c>
      <c r="E1253" s="11" t="s">
        <v>34</v>
      </c>
      <c r="F1253" s="11" t="s">
        <v>35</v>
      </c>
      <c r="G1253" s="9" t="s">
        <v>41</v>
      </c>
      <c r="H1253" s="13">
        <v>1</v>
      </c>
      <c r="I1253" s="13">
        <v>1</v>
      </c>
      <c r="J1253" s="16">
        <v>9000.0</v>
      </c>
      <c r="K1253" s="16"/>
      <c r="L1253" s="18">
        <f>IF(J1253&gt;0, K1253/J1253, 0)</f>
        <v>0</v>
      </c>
      <c r="M1253" s="16">
        <v>9000.0</v>
      </c>
      <c r="N1253" s="16"/>
      <c r="O1253" s="16">
        <f>M1253-N1253</f>
        <v>9000</v>
      </c>
      <c r="P1253" s="11" t="s">
        <v>42</v>
      </c>
      <c r="Q1253" s="11" t="s">
        <v>43</v>
      </c>
      <c r="R1253" s="11" t="s">
        <v>44</v>
      </c>
      <c r="S1253" s="9" t="s">
        <v>2083</v>
      </c>
      <c r="T1253" s="9" t="s">
        <v>44</v>
      </c>
    </row>
    <row r="1254" spans="1:20">
      <c r="A1254" s="10">
        <v>1247</v>
      </c>
      <c r="B1254" s="10" t="s">
        <v>1572</v>
      </c>
      <c r="C1254" s="10" t="s">
        <v>1538</v>
      </c>
      <c r="D1254" s="10" t="s">
        <v>655</v>
      </c>
      <c r="E1254" s="10" t="s">
        <v>34</v>
      </c>
      <c r="F1254" s="10" t="s">
        <v>35</v>
      </c>
      <c r="G1254" s="8" t="s">
        <v>41</v>
      </c>
      <c r="H1254" s="12">
        <v>1</v>
      </c>
      <c r="I1254" s="12">
        <v>1</v>
      </c>
      <c r="J1254" s="15">
        <v>7000.0</v>
      </c>
      <c r="K1254" s="15"/>
      <c r="L1254" s="17">
        <f>IF(J1254&gt;0, K1254/J1254, 0)</f>
        <v>0</v>
      </c>
      <c r="M1254" s="15">
        <v>7000.0</v>
      </c>
      <c r="N1254" s="15"/>
      <c r="O1254" s="15">
        <f>M1254-N1254</f>
        <v>7000</v>
      </c>
      <c r="P1254" s="10" t="s">
        <v>42</v>
      </c>
      <c r="Q1254" s="10" t="s">
        <v>43</v>
      </c>
      <c r="R1254" s="10" t="s">
        <v>44</v>
      </c>
      <c r="S1254" s="8" t="s">
        <v>2101</v>
      </c>
      <c r="T1254" s="8" t="s">
        <v>44</v>
      </c>
    </row>
    <row r="1255" spans="1:20">
      <c r="A1255" s="11">
        <v>1248</v>
      </c>
      <c r="B1255" s="11" t="s">
        <v>1573</v>
      </c>
      <c r="C1255" s="11" t="s">
        <v>1538</v>
      </c>
      <c r="D1255" s="11" t="s">
        <v>655</v>
      </c>
      <c r="E1255" s="11" t="s">
        <v>34</v>
      </c>
      <c r="F1255" s="11" t="s">
        <v>35</v>
      </c>
      <c r="G1255" s="9" t="s">
        <v>41</v>
      </c>
      <c r="H1255" s="13">
        <v>1</v>
      </c>
      <c r="I1255" s="13">
        <v>1</v>
      </c>
      <c r="J1255" s="16">
        <v>8000.0</v>
      </c>
      <c r="K1255" s="16"/>
      <c r="L1255" s="18">
        <f>IF(J1255&gt;0, K1255/J1255, 0)</f>
        <v>0</v>
      </c>
      <c r="M1255" s="16">
        <v>8000.0</v>
      </c>
      <c r="N1255" s="16"/>
      <c r="O1255" s="16">
        <f>M1255-N1255</f>
        <v>8000</v>
      </c>
      <c r="P1255" s="11" t="s">
        <v>42</v>
      </c>
      <c r="Q1255" s="11" t="s">
        <v>43</v>
      </c>
      <c r="R1255" s="11" t="s">
        <v>44</v>
      </c>
      <c r="S1255" s="9" t="s">
        <v>2062</v>
      </c>
      <c r="T1255" s="9" t="s">
        <v>44</v>
      </c>
    </row>
    <row r="1256" spans="1:20">
      <c r="A1256" s="10">
        <v>1249</v>
      </c>
      <c r="B1256" s="10" t="s">
        <v>1574</v>
      </c>
      <c r="C1256" s="10" t="s">
        <v>1538</v>
      </c>
      <c r="D1256" s="10" t="s">
        <v>655</v>
      </c>
      <c r="E1256" s="10" t="s">
        <v>34</v>
      </c>
      <c r="F1256" s="10" t="s">
        <v>35</v>
      </c>
      <c r="G1256" s="8" t="s">
        <v>41</v>
      </c>
      <c r="H1256" s="12">
        <v>1</v>
      </c>
      <c r="I1256" s="12">
        <v>2</v>
      </c>
      <c r="J1256" s="15">
        <v>14000.0</v>
      </c>
      <c r="K1256" s="15"/>
      <c r="L1256" s="17">
        <f>IF(J1256&gt;0, K1256/J1256, 0)</f>
        <v>0</v>
      </c>
      <c r="M1256" s="15">
        <v>14000.0</v>
      </c>
      <c r="N1256" s="15"/>
      <c r="O1256" s="15">
        <f>M1256-N1256</f>
        <v>14000</v>
      </c>
      <c r="P1256" s="10" t="s">
        <v>42</v>
      </c>
      <c r="Q1256" s="10" t="s">
        <v>43</v>
      </c>
      <c r="R1256" s="10" t="s">
        <v>44</v>
      </c>
      <c r="S1256" s="8" t="s">
        <v>2140</v>
      </c>
      <c r="T1256" s="8" t="s">
        <v>44</v>
      </c>
    </row>
    <row r="1257" spans="1:20">
      <c r="A1257" s="11">
        <v>1250</v>
      </c>
      <c r="B1257" s="11" t="s">
        <v>1575</v>
      </c>
      <c r="C1257" s="11" t="s">
        <v>1538</v>
      </c>
      <c r="D1257" s="11" t="s">
        <v>655</v>
      </c>
      <c r="E1257" s="11" t="s">
        <v>34</v>
      </c>
      <c r="F1257" s="11" t="s">
        <v>35</v>
      </c>
      <c r="G1257" s="9" t="s">
        <v>41</v>
      </c>
      <c r="H1257" s="13">
        <v>1</v>
      </c>
      <c r="I1257" s="13">
        <v>1</v>
      </c>
      <c r="J1257" s="16">
        <v>18000.0</v>
      </c>
      <c r="K1257" s="16"/>
      <c r="L1257" s="18">
        <f>IF(J1257&gt;0, K1257/J1257, 0)</f>
        <v>0</v>
      </c>
      <c r="M1257" s="16">
        <v>18000.0</v>
      </c>
      <c r="N1257" s="16"/>
      <c r="O1257" s="16">
        <f>M1257-N1257</f>
        <v>18000</v>
      </c>
      <c r="P1257" s="11" t="s">
        <v>42</v>
      </c>
      <c r="Q1257" s="11" t="s">
        <v>43</v>
      </c>
      <c r="R1257" s="11" t="s">
        <v>44</v>
      </c>
      <c r="S1257" s="9" t="s">
        <v>2118</v>
      </c>
      <c r="T1257" s="9" t="s">
        <v>44</v>
      </c>
    </row>
    <row r="1258" spans="1:20">
      <c r="A1258" s="10">
        <v>1251</v>
      </c>
      <c r="B1258" s="10" t="s">
        <v>1576</v>
      </c>
      <c r="C1258" s="10" t="s">
        <v>1538</v>
      </c>
      <c r="D1258" s="10" t="s">
        <v>655</v>
      </c>
      <c r="E1258" s="10" t="s">
        <v>34</v>
      </c>
      <c r="F1258" s="10" t="s">
        <v>35</v>
      </c>
      <c r="G1258" s="8" t="s">
        <v>41</v>
      </c>
      <c r="H1258" s="12">
        <v>1</v>
      </c>
      <c r="I1258" s="12">
        <v>1</v>
      </c>
      <c r="J1258" s="15">
        <v>18000.0</v>
      </c>
      <c r="K1258" s="15"/>
      <c r="L1258" s="17">
        <f>IF(J1258&gt;0, K1258/J1258, 0)</f>
        <v>0</v>
      </c>
      <c r="M1258" s="15">
        <v>18000.0</v>
      </c>
      <c r="N1258" s="15"/>
      <c r="O1258" s="15">
        <f>M1258-N1258</f>
        <v>18000</v>
      </c>
      <c r="P1258" s="10" t="s">
        <v>42</v>
      </c>
      <c r="Q1258" s="10" t="s">
        <v>43</v>
      </c>
      <c r="R1258" s="10" t="s">
        <v>44</v>
      </c>
      <c r="S1258" s="8" t="s">
        <v>2128</v>
      </c>
      <c r="T1258" s="8" t="s">
        <v>44</v>
      </c>
    </row>
    <row r="1259" spans="1:20">
      <c r="A1259" s="11">
        <v>1252</v>
      </c>
      <c r="B1259" s="11" t="s">
        <v>1577</v>
      </c>
      <c r="C1259" s="11" t="s">
        <v>1538</v>
      </c>
      <c r="D1259" s="11" t="s">
        <v>655</v>
      </c>
      <c r="E1259" s="11" t="s">
        <v>34</v>
      </c>
      <c r="F1259" s="11" t="s">
        <v>35</v>
      </c>
      <c r="G1259" s="9" t="s">
        <v>41</v>
      </c>
      <c r="H1259" s="13">
        <v>1</v>
      </c>
      <c r="I1259" s="13">
        <v>1</v>
      </c>
      <c r="J1259" s="16">
        <v>18000.0</v>
      </c>
      <c r="K1259" s="16"/>
      <c r="L1259" s="18">
        <f>IF(J1259&gt;0, K1259/J1259, 0)</f>
        <v>0</v>
      </c>
      <c r="M1259" s="16">
        <v>18000.0</v>
      </c>
      <c r="N1259" s="16"/>
      <c r="O1259" s="16">
        <f>M1259-N1259</f>
        <v>18000</v>
      </c>
      <c r="P1259" s="11" t="s">
        <v>42</v>
      </c>
      <c r="Q1259" s="11" t="s">
        <v>43</v>
      </c>
      <c r="R1259" s="11" t="s">
        <v>44</v>
      </c>
      <c r="S1259" s="9" t="s">
        <v>2049</v>
      </c>
      <c r="T1259" s="9" t="s">
        <v>44</v>
      </c>
    </row>
    <row r="1260" spans="1:20">
      <c r="A1260" s="10">
        <v>1253</v>
      </c>
      <c r="B1260" s="10" t="s">
        <v>1578</v>
      </c>
      <c r="C1260" s="10" t="s">
        <v>1538</v>
      </c>
      <c r="D1260" s="10" t="s">
        <v>655</v>
      </c>
      <c r="E1260" s="10" t="s">
        <v>34</v>
      </c>
      <c r="F1260" s="10" t="s">
        <v>35</v>
      </c>
      <c r="G1260" s="8" t="s">
        <v>41</v>
      </c>
      <c r="H1260" s="12">
        <v>1</v>
      </c>
      <c r="I1260" s="12">
        <v>1</v>
      </c>
      <c r="J1260" s="15">
        <v>8000.0</v>
      </c>
      <c r="K1260" s="15"/>
      <c r="L1260" s="17">
        <f>IF(J1260&gt;0, K1260/J1260, 0)</f>
        <v>0</v>
      </c>
      <c r="M1260" s="15">
        <v>8000.0</v>
      </c>
      <c r="N1260" s="15"/>
      <c r="O1260" s="15">
        <f>M1260-N1260</f>
        <v>8000</v>
      </c>
      <c r="P1260" s="10" t="s">
        <v>42</v>
      </c>
      <c r="Q1260" s="10" t="s">
        <v>43</v>
      </c>
      <c r="R1260" s="10" t="s">
        <v>44</v>
      </c>
      <c r="S1260" s="8" t="s">
        <v>2087</v>
      </c>
      <c r="T1260" s="8" t="s">
        <v>44</v>
      </c>
    </row>
    <row r="1261" spans="1:20">
      <c r="A1261" s="11">
        <v>1254</v>
      </c>
      <c r="B1261" s="11" t="s">
        <v>1579</v>
      </c>
      <c r="C1261" s="11" t="s">
        <v>1538</v>
      </c>
      <c r="D1261" s="11" t="s">
        <v>655</v>
      </c>
      <c r="E1261" s="11" t="s">
        <v>34</v>
      </c>
      <c r="F1261" s="11" t="s">
        <v>35</v>
      </c>
      <c r="G1261" s="9" t="s">
        <v>41</v>
      </c>
      <c r="H1261" s="13">
        <v>1</v>
      </c>
      <c r="I1261" s="13">
        <v>2</v>
      </c>
      <c r="J1261" s="16">
        <v>14000.0</v>
      </c>
      <c r="K1261" s="16"/>
      <c r="L1261" s="18">
        <f>IF(J1261&gt;0, K1261/J1261, 0)</f>
        <v>0</v>
      </c>
      <c r="M1261" s="16">
        <v>14000.0</v>
      </c>
      <c r="N1261" s="16"/>
      <c r="O1261" s="16">
        <f>M1261-N1261</f>
        <v>14000</v>
      </c>
      <c r="P1261" s="11" t="s">
        <v>42</v>
      </c>
      <c r="Q1261" s="11" t="s">
        <v>43</v>
      </c>
      <c r="R1261" s="11" t="s">
        <v>44</v>
      </c>
      <c r="S1261" s="9" t="s">
        <v>2146</v>
      </c>
      <c r="T1261" s="9" t="s">
        <v>44</v>
      </c>
    </row>
    <row r="1262" spans="1:20">
      <c r="A1262" s="10">
        <v>1255</v>
      </c>
      <c r="B1262" s="10" t="s">
        <v>1580</v>
      </c>
      <c r="C1262" s="10" t="s">
        <v>1581</v>
      </c>
      <c r="D1262" s="10" t="s">
        <v>655</v>
      </c>
      <c r="E1262" s="10" t="s">
        <v>34</v>
      </c>
      <c r="F1262" s="10" t="s">
        <v>35</v>
      </c>
      <c r="G1262" s="8" t="s">
        <v>41</v>
      </c>
      <c r="H1262" s="12">
        <v>1</v>
      </c>
      <c r="I1262" s="12">
        <v>2</v>
      </c>
      <c r="J1262" s="15">
        <v>16000.0</v>
      </c>
      <c r="K1262" s="15"/>
      <c r="L1262" s="17">
        <f>IF(J1262&gt;0, K1262/J1262, 0)</f>
        <v>0</v>
      </c>
      <c r="M1262" s="15">
        <v>16000.0</v>
      </c>
      <c r="N1262" s="15"/>
      <c r="O1262" s="15">
        <f>M1262-N1262</f>
        <v>16000</v>
      </c>
      <c r="P1262" s="10" t="s">
        <v>42</v>
      </c>
      <c r="Q1262" s="10" t="s">
        <v>43</v>
      </c>
      <c r="R1262" s="10" t="s">
        <v>44</v>
      </c>
      <c r="S1262" s="8" t="s">
        <v>2216</v>
      </c>
      <c r="T1262" s="8" t="s">
        <v>44</v>
      </c>
    </row>
    <row r="1263" spans="1:20">
      <c r="A1263" s="11">
        <v>1256</v>
      </c>
      <c r="B1263" s="11" t="s">
        <v>1582</v>
      </c>
      <c r="C1263" s="11" t="s">
        <v>1581</v>
      </c>
      <c r="D1263" s="11" t="s">
        <v>655</v>
      </c>
      <c r="E1263" s="11" t="s">
        <v>70</v>
      </c>
      <c r="F1263" s="11" t="s">
        <v>35</v>
      </c>
      <c r="G1263" s="9" t="s">
        <v>41</v>
      </c>
      <c r="H1263" s="13">
        <v>1</v>
      </c>
      <c r="I1263" s="13">
        <v>1</v>
      </c>
      <c r="J1263" s="16">
        <v>9000.0</v>
      </c>
      <c r="K1263" s="16"/>
      <c r="L1263" s="18">
        <f>IF(J1263&gt;0, K1263/J1263, 0)</f>
        <v>0</v>
      </c>
      <c r="M1263" s="16">
        <v>9000.0</v>
      </c>
      <c r="N1263" s="16"/>
      <c r="O1263" s="16">
        <f>M1263-N1263</f>
        <v>9000</v>
      </c>
      <c r="P1263" s="11" t="s">
        <v>42</v>
      </c>
      <c r="Q1263" s="11" t="s">
        <v>73</v>
      </c>
      <c r="R1263" s="11" t="s">
        <v>44</v>
      </c>
      <c r="S1263" s="9" t="s">
        <v>2126</v>
      </c>
      <c r="T1263" s="9" t="s">
        <v>44</v>
      </c>
    </row>
    <row r="1264" spans="1:20">
      <c r="A1264" s="10">
        <v>1257</v>
      </c>
      <c r="B1264" s="10" t="s">
        <v>1583</v>
      </c>
      <c r="C1264" s="10" t="s">
        <v>1581</v>
      </c>
      <c r="D1264" s="10" t="s">
        <v>655</v>
      </c>
      <c r="E1264" s="10" t="s">
        <v>34</v>
      </c>
      <c r="F1264" s="10" t="s">
        <v>35</v>
      </c>
      <c r="G1264" s="8" t="s">
        <v>41</v>
      </c>
      <c r="H1264" s="12">
        <v>1</v>
      </c>
      <c r="I1264" s="12">
        <v>1</v>
      </c>
      <c r="J1264" s="15">
        <v>18000.0</v>
      </c>
      <c r="K1264" s="15"/>
      <c r="L1264" s="17">
        <f>IF(J1264&gt;0, K1264/J1264, 0)</f>
        <v>0</v>
      </c>
      <c r="M1264" s="15">
        <v>18000.0</v>
      </c>
      <c r="N1264" s="15"/>
      <c r="O1264" s="15">
        <f>M1264-N1264</f>
        <v>18000</v>
      </c>
      <c r="P1264" s="10" t="s">
        <v>42</v>
      </c>
      <c r="Q1264" s="10" t="s">
        <v>43</v>
      </c>
      <c r="R1264" s="10" t="s">
        <v>44</v>
      </c>
      <c r="S1264" s="8" t="s">
        <v>2118</v>
      </c>
      <c r="T1264" s="8" t="s">
        <v>44</v>
      </c>
    </row>
    <row r="1265" spans="1:20">
      <c r="A1265" s="11">
        <v>1258</v>
      </c>
      <c r="B1265" s="11" t="s">
        <v>1584</v>
      </c>
      <c r="C1265" s="11" t="s">
        <v>1581</v>
      </c>
      <c r="D1265" s="11" t="s">
        <v>655</v>
      </c>
      <c r="E1265" s="11" t="s">
        <v>34</v>
      </c>
      <c r="F1265" s="11" t="s">
        <v>35</v>
      </c>
      <c r="G1265" s="9" t="s">
        <v>41</v>
      </c>
      <c r="H1265" s="13">
        <v>1</v>
      </c>
      <c r="I1265" s="13">
        <v>2</v>
      </c>
      <c r="J1265" s="16">
        <v>16000.0</v>
      </c>
      <c r="K1265" s="16"/>
      <c r="L1265" s="18">
        <f>IF(J1265&gt;0, K1265/J1265, 0)</f>
        <v>0</v>
      </c>
      <c r="M1265" s="16">
        <v>16000.0</v>
      </c>
      <c r="N1265" s="16"/>
      <c r="O1265" s="16">
        <f>M1265-N1265</f>
        <v>16000</v>
      </c>
      <c r="P1265" s="11" t="s">
        <v>42</v>
      </c>
      <c r="Q1265" s="11" t="s">
        <v>43</v>
      </c>
      <c r="R1265" s="11" t="s">
        <v>44</v>
      </c>
      <c r="S1265" s="9" t="s">
        <v>2184</v>
      </c>
      <c r="T1265" s="9" t="s">
        <v>44</v>
      </c>
    </row>
    <row r="1266" spans="1:20">
      <c r="A1266" s="10">
        <v>1259</v>
      </c>
      <c r="B1266" s="10" t="s">
        <v>1585</v>
      </c>
      <c r="C1266" s="10" t="s">
        <v>1581</v>
      </c>
      <c r="D1266" s="10" t="s">
        <v>655</v>
      </c>
      <c r="E1266" s="10" t="s">
        <v>34</v>
      </c>
      <c r="F1266" s="10" t="s">
        <v>35</v>
      </c>
      <c r="G1266" s="8" t="s">
        <v>41</v>
      </c>
      <c r="H1266" s="12">
        <v>1</v>
      </c>
      <c r="I1266" s="12">
        <v>2</v>
      </c>
      <c r="J1266" s="15">
        <v>18000.0</v>
      </c>
      <c r="K1266" s="15"/>
      <c r="L1266" s="17">
        <f>IF(J1266&gt;0, K1266/J1266, 0)</f>
        <v>0</v>
      </c>
      <c r="M1266" s="15">
        <v>18000.0</v>
      </c>
      <c r="N1266" s="15"/>
      <c r="O1266" s="15">
        <f>M1266-N1266</f>
        <v>18000</v>
      </c>
      <c r="P1266" s="10" t="s">
        <v>42</v>
      </c>
      <c r="Q1266" s="10" t="s">
        <v>43</v>
      </c>
      <c r="R1266" s="10" t="s">
        <v>44</v>
      </c>
      <c r="S1266" s="8" t="s">
        <v>2217</v>
      </c>
      <c r="T1266" s="8" t="s">
        <v>44</v>
      </c>
    </row>
    <row r="1267" spans="1:20">
      <c r="A1267" s="11">
        <v>1260</v>
      </c>
      <c r="B1267" s="11" t="s">
        <v>1586</v>
      </c>
      <c r="C1267" s="11" t="s">
        <v>1581</v>
      </c>
      <c r="D1267" s="11" t="s">
        <v>655</v>
      </c>
      <c r="E1267" s="11" t="s">
        <v>34</v>
      </c>
      <c r="F1267" s="11" t="s">
        <v>35</v>
      </c>
      <c r="G1267" s="9" t="s">
        <v>41</v>
      </c>
      <c r="H1267" s="13">
        <v>1</v>
      </c>
      <c r="I1267" s="13">
        <v>3</v>
      </c>
      <c r="J1267" s="16">
        <v>24000.0</v>
      </c>
      <c r="K1267" s="16"/>
      <c r="L1267" s="18">
        <f>IF(J1267&gt;0, K1267/J1267, 0)</f>
        <v>0</v>
      </c>
      <c r="M1267" s="16">
        <v>24000.0</v>
      </c>
      <c r="N1267" s="16"/>
      <c r="O1267" s="16">
        <f>M1267-N1267</f>
        <v>24000</v>
      </c>
      <c r="P1267" s="11" t="s">
        <v>42</v>
      </c>
      <c r="Q1267" s="11" t="s">
        <v>43</v>
      </c>
      <c r="R1267" s="11" t="s">
        <v>44</v>
      </c>
      <c r="S1267" s="9" t="s">
        <v>2159</v>
      </c>
      <c r="T1267" s="9" t="s">
        <v>44</v>
      </c>
    </row>
    <row r="1268" spans="1:20">
      <c r="A1268" s="10">
        <v>1261</v>
      </c>
      <c r="B1268" s="10" t="s">
        <v>1587</v>
      </c>
      <c r="C1268" s="10" t="s">
        <v>1581</v>
      </c>
      <c r="D1268" s="10" t="s">
        <v>655</v>
      </c>
      <c r="E1268" s="10" t="s">
        <v>34</v>
      </c>
      <c r="F1268" s="10" t="s">
        <v>35</v>
      </c>
      <c r="G1268" s="8" t="s">
        <v>41</v>
      </c>
      <c r="H1268" s="12">
        <v>1</v>
      </c>
      <c r="I1268" s="12">
        <v>4</v>
      </c>
      <c r="J1268" s="15">
        <v>28000.0</v>
      </c>
      <c r="K1268" s="15"/>
      <c r="L1268" s="17">
        <f>IF(J1268&gt;0, K1268/J1268, 0)</f>
        <v>0</v>
      </c>
      <c r="M1268" s="15">
        <v>28000.0</v>
      </c>
      <c r="N1268" s="15"/>
      <c r="O1268" s="15">
        <f>M1268-N1268</f>
        <v>28000</v>
      </c>
      <c r="P1268" s="10" t="s">
        <v>42</v>
      </c>
      <c r="Q1268" s="10" t="s">
        <v>43</v>
      </c>
      <c r="R1268" s="10" t="s">
        <v>44</v>
      </c>
      <c r="S1268" s="8" t="s">
        <v>2160</v>
      </c>
      <c r="T1268" s="8" t="s">
        <v>44</v>
      </c>
    </row>
    <row r="1269" spans="1:20">
      <c r="A1269" s="11">
        <v>1262</v>
      </c>
      <c r="B1269" s="11" t="s">
        <v>1588</v>
      </c>
      <c r="C1269" s="11" t="s">
        <v>1581</v>
      </c>
      <c r="D1269" s="11" t="s">
        <v>655</v>
      </c>
      <c r="E1269" s="11" t="s">
        <v>34</v>
      </c>
      <c r="F1269" s="11" t="s">
        <v>35</v>
      </c>
      <c r="G1269" s="9" t="s">
        <v>41</v>
      </c>
      <c r="H1269" s="13">
        <v>1</v>
      </c>
      <c r="I1269" s="13">
        <v>1</v>
      </c>
      <c r="J1269" s="16">
        <v>18000.0</v>
      </c>
      <c r="K1269" s="16"/>
      <c r="L1269" s="18">
        <f>IF(J1269&gt;0, K1269/J1269, 0)</f>
        <v>0</v>
      </c>
      <c r="M1269" s="16">
        <v>18000.0</v>
      </c>
      <c r="N1269" s="16"/>
      <c r="O1269" s="16">
        <f>M1269-N1269</f>
        <v>18000</v>
      </c>
      <c r="P1269" s="11" t="s">
        <v>42</v>
      </c>
      <c r="Q1269" s="11" t="s">
        <v>43</v>
      </c>
      <c r="R1269" s="11" t="s">
        <v>44</v>
      </c>
      <c r="S1269" s="9" t="s">
        <v>2141</v>
      </c>
      <c r="T1269" s="9" t="s">
        <v>44</v>
      </c>
    </row>
    <row r="1270" spans="1:20">
      <c r="A1270" s="10">
        <v>1263</v>
      </c>
      <c r="B1270" s="10" t="s">
        <v>1589</v>
      </c>
      <c r="C1270" s="10" t="s">
        <v>1581</v>
      </c>
      <c r="D1270" s="10" t="s">
        <v>655</v>
      </c>
      <c r="E1270" s="10" t="s">
        <v>34</v>
      </c>
      <c r="F1270" s="10" t="s">
        <v>35</v>
      </c>
      <c r="G1270" s="8" t="s">
        <v>41</v>
      </c>
      <c r="H1270" s="12">
        <v>1</v>
      </c>
      <c r="I1270" s="12">
        <v>1</v>
      </c>
      <c r="J1270" s="15">
        <v>8000.0</v>
      </c>
      <c r="K1270" s="15"/>
      <c r="L1270" s="17">
        <f>IF(J1270&gt;0, K1270/J1270, 0)</f>
        <v>0</v>
      </c>
      <c r="M1270" s="15">
        <v>8000.0</v>
      </c>
      <c r="N1270" s="15"/>
      <c r="O1270" s="15">
        <f>M1270-N1270</f>
        <v>8000</v>
      </c>
      <c r="P1270" s="10" t="s">
        <v>42</v>
      </c>
      <c r="Q1270" s="10" t="s">
        <v>43</v>
      </c>
      <c r="R1270" s="10" t="s">
        <v>44</v>
      </c>
      <c r="S1270" s="8" t="s">
        <v>2126</v>
      </c>
      <c r="T1270" s="8" t="s">
        <v>44</v>
      </c>
    </row>
    <row r="1271" spans="1:20">
      <c r="A1271" s="11">
        <v>1264</v>
      </c>
      <c r="B1271" s="11" t="s">
        <v>1590</v>
      </c>
      <c r="C1271" s="11" t="s">
        <v>1581</v>
      </c>
      <c r="D1271" s="11" t="s">
        <v>655</v>
      </c>
      <c r="E1271" s="11" t="s">
        <v>34</v>
      </c>
      <c r="F1271" s="11" t="s">
        <v>35</v>
      </c>
      <c r="G1271" s="9" t="s">
        <v>41</v>
      </c>
      <c r="H1271" s="13">
        <v>1</v>
      </c>
      <c r="I1271" s="13">
        <v>1</v>
      </c>
      <c r="J1271" s="16">
        <v>7000.0</v>
      </c>
      <c r="K1271" s="16"/>
      <c r="L1271" s="18">
        <f>IF(J1271&gt;0, K1271/J1271, 0)</f>
        <v>0</v>
      </c>
      <c r="M1271" s="16">
        <v>7000.0</v>
      </c>
      <c r="N1271" s="16"/>
      <c r="O1271" s="16">
        <f>M1271-N1271</f>
        <v>7000</v>
      </c>
      <c r="P1271" s="11" t="s">
        <v>42</v>
      </c>
      <c r="Q1271" s="11" t="s">
        <v>43</v>
      </c>
      <c r="R1271" s="11" t="s">
        <v>44</v>
      </c>
      <c r="S1271" s="9" t="s">
        <v>2179</v>
      </c>
      <c r="T1271" s="9" t="s">
        <v>44</v>
      </c>
    </row>
    <row r="1272" spans="1:20">
      <c r="A1272" s="10">
        <v>1265</v>
      </c>
      <c r="B1272" s="10" t="s">
        <v>1591</v>
      </c>
      <c r="C1272" s="10" t="s">
        <v>1581</v>
      </c>
      <c r="D1272" s="10" t="s">
        <v>655</v>
      </c>
      <c r="E1272" s="10" t="s">
        <v>34</v>
      </c>
      <c r="F1272" s="10" t="s">
        <v>35</v>
      </c>
      <c r="G1272" s="8" t="s">
        <v>41</v>
      </c>
      <c r="H1272" s="12">
        <v>1</v>
      </c>
      <c r="I1272" s="12">
        <v>1</v>
      </c>
      <c r="J1272" s="15">
        <v>16000.0</v>
      </c>
      <c r="K1272" s="15"/>
      <c r="L1272" s="17">
        <f>IF(J1272&gt;0, K1272/J1272, 0)</f>
        <v>0</v>
      </c>
      <c r="M1272" s="15">
        <v>16000.0</v>
      </c>
      <c r="N1272" s="15"/>
      <c r="O1272" s="15">
        <f>M1272-N1272</f>
        <v>16000</v>
      </c>
      <c r="P1272" s="10" t="s">
        <v>42</v>
      </c>
      <c r="Q1272" s="10" t="s">
        <v>43</v>
      </c>
      <c r="R1272" s="10" t="s">
        <v>44</v>
      </c>
      <c r="S1272" s="8" t="s">
        <v>2032</v>
      </c>
      <c r="T1272" s="8" t="s">
        <v>44</v>
      </c>
    </row>
    <row r="1273" spans="1:20">
      <c r="A1273" s="11">
        <v>1266</v>
      </c>
      <c r="B1273" s="11" t="s">
        <v>1592</v>
      </c>
      <c r="C1273" s="11" t="s">
        <v>1581</v>
      </c>
      <c r="D1273" s="11" t="s">
        <v>655</v>
      </c>
      <c r="E1273" s="11" t="s">
        <v>34</v>
      </c>
      <c r="F1273" s="11" t="s">
        <v>35</v>
      </c>
      <c r="G1273" s="9" t="s">
        <v>41</v>
      </c>
      <c r="H1273" s="13">
        <v>1</v>
      </c>
      <c r="I1273" s="13">
        <v>1</v>
      </c>
      <c r="J1273" s="16">
        <v>9000.0</v>
      </c>
      <c r="K1273" s="16"/>
      <c r="L1273" s="18">
        <f>IF(J1273&gt;0, K1273/J1273, 0)</f>
        <v>0</v>
      </c>
      <c r="M1273" s="16">
        <v>9000.0</v>
      </c>
      <c r="N1273" s="16"/>
      <c r="O1273" s="16">
        <f>M1273-N1273</f>
        <v>9000</v>
      </c>
      <c r="P1273" s="11" t="s">
        <v>42</v>
      </c>
      <c r="Q1273" s="11" t="s">
        <v>43</v>
      </c>
      <c r="R1273" s="11" t="s">
        <v>44</v>
      </c>
      <c r="S1273" s="9" t="s">
        <v>2203</v>
      </c>
      <c r="T1273" s="9" t="s">
        <v>44</v>
      </c>
    </row>
    <row r="1274" spans="1:20">
      <c r="A1274" s="10">
        <v>1267</v>
      </c>
      <c r="B1274" s="10" t="s">
        <v>1593</v>
      </c>
      <c r="C1274" s="10" t="s">
        <v>1581</v>
      </c>
      <c r="D1274" s="10" t="s">
        <v>655</v>
      </c>
      <c r="E1274" s="10" t="s">
        <v>34</v>
      </c>
      <c r="F1274" s="10" t="s">
        <v>35</v>
      </c>
      <c r="G1274" s="8" t="s">
        <v>41</v>
      </c>
      <c r="H1274" s="12">
        <v>1</v>
      </c>
      <c r="I1274" s="12">
        <v>4</v>
      </c>
      <c r="J1274" s="15">
        <v>32000.0</v>
      </c>
      <c r="K1274" s="15"/>
      <c r="L1274" s="17">
        <f>IF(J1274&gt;0, K1274/J1274, 0)</f>
        <v>0</v>
      </c>
      <c r="M1274" s="15">
        <v>32000.0</v>
      </c>
      <c r="N1274" s="15"/>
      <c r="O1274" s="15">
        <f>M1274-N1274</f>
        <v>32000</v>
      </c>
      <c r="P1274" s="10" t="s">
        <v>42</v>
      </c>
      <c r="Q1274" s="10" t="s">
        <v>43</v>
      </c>
      <c r="R1274" s="10" t="s">
        <v>44</v>
      </c>
      <c r="S1274" s="8" t="s">
        <v>2218</v>
      </c>
      <c r="T1274" s="8" t="s">
        <v>44</v>
      </c>
    </row>
    <row r="1275" spans="1:20">
      <c r="A1275" s="11">
        <v>1268</v>
      </c>
      <c r="B1275" s="11" t="s">
        <v>1594</v>
      </c>
      <c r="C1275" s="11" t="s">
        <v>1581</v>
      </c>
      <c r="D1275" s="11" t="s">
        <v>655</v>
      </c>
      <c r="E1275" s="11" t="s">
        <v>34</v>
      </c>
      <c r="F1275" s="11" t="s">
        <v>35</v>
      </c>
      <c r="G1275" s="9" t="s">
        <v>41</v>
      </c>
      <c r="H1275" s="13">
        <v>1</v>
      </c>
      <c r="I1275" s="13">
        <v>2</v>
      </c>
      <c r="J1275" s="16">
        <v>14000.0</v>
      </c>
      <c r="K1275" s="16"/>
      <c r="L1275" s="18">
        <f>IF(J1275&gt;0, K1275/J1275, 0)</f>
        <v>0</v>
      </c>
      <c r="M1275" s="16">
        <v>14000.0</v>
      </c>
      <c r="N1275" s="16"/>
      <c r="O1275" s="16">
        <f>M1275-N1275</f>
        <v>14000</v>
      </c>
      <c r="P1275" s="11" t="s">
        <v>42</v>
      </c>
      <c r="Q1275" s="11" t="s">
        <v>43</v>
      </c>
      <c r="R1275" s="11" t="s">
        <v>44</v>
      </c>
      <c r="S1275" s="9" t="s">
        <v>2219</v>
      </c>
      <c r="T1275" s="9" t="s">
        <v>44</v>
      </c>
    </row>
    <row r="1276" spans="1:20">
      <c r="A1276" s="10">
        <v>1269</v>
      </c>
      <c r="B1276" s="10" t="s">
        <v>1595</v>
      </c>
      <c r="C1276" s="10" t="s">
        <v>1581</v>
      </c>
      <c r="D1276" s="10" t="s">
        <v>655</v>
      </c>
      <c r="E1276" s="10" t="s">
        <v>70</v>
      </c>
      <c r="F1276" s="10" t="s">
        <v>35</v>
      </c>
      <c r="G1276" s="8" t="s">
        <v>41</v>
      </c>
      <c r="H1276" s="12">
        <v>1</v>
      </c>
      <c r="I1276" s="12">
        <v>1</v>
      </c>
      <c r="J1276" s="15">
        <v>10000.0</v>
      </c>
      <c r="K1276" s="15"/>
      <c r="L1276" s="17">
        <f>IF(J1276&gt;0, K1276/J1276, 0)</f>
        <v>0</v>
      </c>
      <c r="M1276" s="15">
        <v>10000.0</v>
      </c>
      <c r="N1276" s="15"/>
      <c r="O1276" s="15">
        <f>M1276-N1276</f>
        <v>10000</v>
      </c>
      <c r="P1276" s="10" t="s">
        <v>42</v>
      </c>
      <c r="Q1276" s="10" t="s">
        <v>73</v>
      </c>
      <c r="R1276" s="10" t="s">
        <v>44</v>
      </c>
      <c r="S1276" s="8" t="s">
        <v>2059</v>
      </c>
      <c r="T1276" s="8" t="s">
        <v>44</v>
      </c>
    </row>
    <row r="1277" spans="1:20">
      <c r="A1277" s="11">
        <v>1270</v>
      </c>
      <c r="B1277" s="11" t="s">
        <v>1596</v>
      </c>
      <c r="C1277" s="11" t="s">
        <v>1581</v>
      </c>
      <c r="D1277" s="11" t="s">
        <v>655</v>
      </c>
      <c r="E1277" s="11" t="s">
        <v>34</v>
      </c>
      <c r="F1277" s="11" t="s">
        <v>35</v>
      </c>
      <c r="G1277" s="9" t="s">
        <v>41</v>
      </c>
      <c r="H1277" s="13">
        <v>1</v>
      </c>
      <c r="I1277" s="13">
        <v>1</v>
      </c>
      <c r="J1277" s="16">
        <v>18000.0</v>
      </c>
      <c r="K1277" s="16"/>
      <c r="L1277" s="18">
        <f>IF(J1277&gt;0, K1277/J1277, 0)</f>
        <v>0</v>
      </c>
      <c r="M1277" s="16">
        <v>18000.0</v>
      </c>
      <c r="N1277" s="16"/>
      <c r="O1277" s="16">
        <f>M1277-N1277</f>
        <v>18000</v>
      </c>
      <c r="P1277" s="11" t="s">
        <v>42</v>
      </c>
      <c r="Q1277" s="11" t="s">
        <v>43</v>
      </c>
      <c r="R1277" s="11" t="s">
        <v>44</v>
      </c>
      <c r="S1277" s="9" t="s">
        <v>2122</v>
      </c>
      <c r="T1277" s="9" t="s">
        <v>44</v>
      </c>
    </row>
    <row r="1278" spans="1:20">
      <c r="A1278" s="10">
        <v>1271</v>
      </c>
      <c r="B1278" s="10" t="s">
        <v>1597</v>
      </c>
      <c r="C1278" s="10" t="s">
        <v>1581</v>
      </c>
      <c r="D1278" s="10" t="s">
        <v>655</v>
      </c>
      <c r="E1278" s="10" t="s">
        <v>34</v>
      </c>
      <c r="F1278" s="10" t="s">
        <v>35</v>
      </c>
      <c r="G1278" s="8" t="s">
        <v>41</v>
      </c>
      <c r="H1278" s="12">
        <v>1</v>
      </c>
      <c r="I1278" s="12">
        <v>1</v>
      </c>
      <c r="J1278" s="15">
        <v>7500.0</v>
      </c>
      <c r="K1278" s="15"/>
      <c r="L1278" s="17">
        <f>IF(J1278&gt;0, K1278/J1278, 0)</f>
        <v>0</v>
      </c>
      <c r="M1278" s="15">
        <v>7500.0</v>
      </c>
      <c r="N1278" s="15"/>
      <c r="O1278" s="15">
        <f>M1278-N1278</f>
        <v>7500</v>
      </c>
      <c r="P1278" s="10" t="s">
        <v>42</v>
      </c>
      <c r="Q1278" s="10" t="s">
        <v>43</v>
      </c>
      <c r="R1278" s="10" t="s">
        <v>44</v>
      </c>
      <c r="S1278" s="8" t="s">
        <v>2074</v>
      </c>
      <c r="T1278" s="8" t="s">
        <v>44</v>
      </c>
    </row>
    <row r="1279" spans="1:20">
      <c r="A1279" s="11">
        <v>1272</v>
      </c>
      <c r="B1279" s="11" t="s">
        <v>1598</v>
      </c>
      <c r="C1279" s="11" t="s">
        <v>1581</v>
      </c>
      <c r="D1279" s="11" t="s">
        <v>655</v>
      </c>
      <c r="E1279" s="11" t="s">
        <v>34</v>
      </c>
      <c r="F1279" s="11" t="s">
        <v>35</v>
      </c>
      <c r="G1279" s="9" t="s">
        <v>41</v>
      </c>
      <c r="H1279" s="13">
        <v>1</v>
      </c>
      <c r="I1279" s="13">
        <v>1</v>
      </c>
      <c r="J1279" s="16">
        <v>8500.0</v>
      </c>
      <c r="K1279" s="16"/>
      <c r="L1279" s="18">
        <f>IF(J1279&gt;0, K1279/J1279, 0)</f>
        <v>0</v>
      </c>
      <c r="M1279" s="16">
        <v>8500.0</v>
      </c>
      <c r="N1279" s="16"/>
      <c r="O1279" s="16">
        <f>M1279-N1279</f>
        <v>8500</v>
      </c>
      <c r="P1279" s="11" t="s">
        <v>42</v>
      </c>
      <c r="Q1279" s="11" t="s">
        <v>43</v>
      </c>
      <c r="R1279" s="11" t="s">
        <v>44</v>
      </c>
      <c r="S1279" s="9" t="s">
        <v>2119</v>
      </c>
      <c r="T1279" s="9" t="s">
        <v>44</v>
      </c>
    </row>
    <row r="1280" spans="1:20">
      <c r="A1280" s="10">
        <v>1273</v>
      </c>
      <c r="B1280" s="10" t="s">
        <v>1599</v>
      </c>
      <c r="C1280" s="10" t="s">
        <v>1581</v>
      </c>
      <c r="D1280" s="10" t="s">
        <v>655</v>
      </c>
      <c r="E1280" s="10" t="s">
        <v>34</v>
      </c>
      <c r="F1280" s="10" t="s">
        <v>35</v>
      </c>
      <c r="G1280" s="8" t="s">
        <v>41</v>
      </c>
      <c r="H1280" s="12">
        <v>1</v>
      </c>
      <c r="I1280" s="12">
        <v>1</v>
      </c>
      <c r="J1280" s="15">
        <v>8000.0</v>
      </c>
      <c r="K1280" s="15"/>
      <c r="L1280" s="17">
        <f>IF(J1280&gt;0, K1280/J1280, 0)</f>
        <v>0</v>
      </c>
      <c r="M1280" s="15">
        <v>8000.0</v>
      </c>
      <c r="N1280" s="15"/>
      <c r="O1280" s="15">
        <f>M1280-N1280</f>
        <v>8000</v>
      </c>
      <c r="P1280" s="10" t="s">
        <v>42</v>
      </c>
      <c r="Q1280" s="10" t="s">
        <v>43</v>
      </c>
      <c r="R1280" s="10" t="s">
        <v>44</v>
      </c>
      <c r="S1280" s="8" t="s">
        <v>2108</v>
      </c>
      <c r="T1280" s="8" t="s">
        <v>44</v>
      </c>
    </row>
    <row r="1281" spans="1:20">
      <c r="A1281" s="11">
        <v>1274</v>
      </c>
      <c r="B1281" s="11" t="s">
        <v>1600</v>
      </c>
      <c r="C1281" s="11" t="s">
        <v>1581</v>
      </c>
      <c r="D1281" s="11" t="s">
        <v>655</v>
      </c>
      <c r="E1281" s="11" t="s">
        <v>34</v>
      </c>
      <c r="F1281" s="11" t="s">
        <v>35</v>
      </c>
      <c r="G1281" s="9" t="s">
        <v>41</v>
      </c>
      <c r="H1281" s="13">
        <v>1</v>
      </c>
      <c r="I1281" s="13">
        <v>1</v>
      </c>
      <c r="J1281" s="16">
        <v>9000.0</v>
      </c>
      <c r="K1281" s="16"/>
      <c r="L1281" s="18">
        <f>IF(J1281&gt;0, K1281/J1281, 0)</f>
        <v>0</v>
      </c>
      <c r="M1281" s="16">
        <v>9000.0</v>
      </c>
      <c r="N1281" s="16"/>
      <c r="O1281" s="16">
        <f>M1281-N1281</f>
        <v>9000</v>
      </c>
      <c r="P1281" s="11" t="s">
        <v>42</v>
      </c>
      <c r="Q1281" s="11" t="s">
        <v>43</v>
      </c>
      <c r="R1281" s="11" t="s">
        <v>44</v>
      </c>
      <c r="S1281" s="9" t="s">
        <v>2120</v>
      </c>
      <c r="T1281" s="9" t="s">
        <v>44</v>
      </c>
    </row>
    <row r="1282" spans="1:20">
      <c r="A1282" s="10">
        <v>1275</v>
      </c>
      <c r="B1282" s="10" t="s">
        <v>1601</v>
      </c>
      <c r="C1282" s="10" t="s">
        <v>1581</v>
      </c>
      <c r="D1282" s="10" t="s">
        <v>655</v>
      </c>
      <c r="E1282" s="10" t="s">
        <v>34</v>
      </c>
      <c r="F1282" s="10" t="s">
        <v>35</v>
      </c>
      <c r="G1282" s="8" t="s">
        <v>41</v>
      </c>
      <c r="H1282" s="12">
        <v>1</v>
      </c>
      <c r="I1282" s="12">
        <v>1</v>
      </c>
      <c r="J1282" s="15">
        <v>7500.0</v>
      </c>
      <c r="K1282" s="15"/>
      <c r="L1282" s="17">
        <f>IF(J1282&gt;0, K1282/J1282, 0)</f>
        <v>0</v>
      </c>
      <c r="M1282" s="15">
        <v>7500.0</v>
      </c>
      <c r="N1282" s="15"/>
      <c r="O1282" s="15">
        <f>M1282-N1282</f>
        <v>7500</v>
      </c>
      <c r="P1282" s="10" t="s">
        <v>42</v>
      </c>
      <c r="Q1282" s="10" t="s">
        <v>43</v>
      </c>
      <c r="R1282" s="10" t="s">
        <v>44</v>
      </c>
      <c r="S1282" s="8" t="s">
        <v>2046</v>
      </c>
      <c r="T1282" s="8" t="s">
        <v>44</v>
      </c>
    </row>
    <row r="1283" spans="1:20">
      <c r="A1283" s="11">
        <v>1276</v>
      </c>
      <c r="B1283" s="11" t="s">
        <v>1602</v>
      </c>
      <c r="C1283" s="11" t="s">
        <v>1581</v>
      </c>
      <c r="D1283" s="11" t="s">
        <v>655</v>
      </c>
      <c r="E1283" s="11" t="s">
        <v>34</v>
      </c>
      <c r="F1283" s="11" t="s">
        <v>35</v>
      </c>
      <c r="G1283" s="9" t="s">
        <v>41</v>
      </c>
      <c r="H1283" s="13">
        <v>1</v>
      </c>
      <c r="I1283" s="13">
        <v>1</v>
      </c>
      <c r="J1283" s="16">
        <v>9500.0</v>
      </c>
      <c r="K1283" s="16"/>
      <c r="L1283" s="18">
        <f>IF(J1283&gt;0, K1283/J1283, 0)</f>
        <v>0</v>
      </c>
      <c r="M1283" s="16">
        <v>9500.0</v>
      </c>
      <c r="N1283" s="16"/>
      <c r="O1283" s="16">
        <f>M1283-N1283</f>
        <v>9500</v>
      </c>
      <c r="P1283" s="11" t="s">
        <v>42</v>
      </c>
      <c r="Q1283" s="11" t="s">
        <v>43</v>
      </c>
      <c r="R1283" s="11" t="s">
        <v>44</v>
      </c>
      <c r="S1283" s="9" t="s">
        <v>2075</v>
      </c>
      <c r="T1283" s="9" t="s">
        <v>44</v>
      </c>
    </row>
    <row r="1284" spans="1:20">
      <c r="A1284" s="10">
        <v>1277</v>
      </c>
      <c r="B1284" s="10" t="s">
        <v>1603</v>
      </c>
      <c r="C1284" s="10" t="s">
        <v>1581</v>
      </c>
      <c r="D1284" s="10" t="s">
        <v>655</v>
      </c>
      <c r="E1284" s="10" t="s">
        <v>34</v>
      </c>
      <c r="F1284" s="10" t="s">
        <v>35</v>
      </c>
      <c r="G1284" s="8" t="s">
        <v>41</v>
      </c>
      <c r="H1284" s="12">
        <v>1</v>
      </c>
      <c r="I1284" s="12">
        <v>1</v>
      </c>
      <c r="J1284" s="15">
        <v>9000.0</v>
      </c>
      <c r="K1284" s="15"/>
      <c r="L1284" s="17">
        <f>IF(J1284&gt;0, K1284/J1284, 0)</f>
        <v>0</v>
      </c>
      <c r="M1284" s="15">
        <v>9000.0</v>
      </c>
      <c r="N1284" s="15"/>
      <c r="O1284" s="15">
        <f>M1284-N1284</f>
        <v>9000</v>
      </c>
      <c r="P1284" s="10" t="s">
        <v>42</v>
      </c>
      <c r="Q1284" s="10" t="s">
        <v>43</v>
      </c>
      <c r="R1284" s="10" t="s">
        <v>44</v>
      </c>
      <c r="S1284" s="8" t="s">
        <v>2148</v>
      </c>
      <c r="T1284" s="8" t="s">
        <v>44</v>
      </c>
    </row>
    <row r="1285" spans="1:20">
      <c r="A1285" s="11">
        <v>1278</v>
      </c>
      <c r="B1285" s="11" t="s">
        <v>1604</v>
      </c>
      <c r="C1285" s="11" t="s">
        <v>1581</v>
      </c>
      <c r="D1285" s="11" t="s">
        <v>655</v>
      </c>
      <c r="E1285" s="11" t="s">
        <v>34</v>
      </c>
      <c r="F1285" s="11" t="s">
        <v>35</v>
      </c>
      <c r="G1285" s="9" t="s">
        <v>41</v>
      </c>
      <c r="H1285" s="13">
        <v>1</v>
      </c>
      <c r="I1285" s="13">
        <v>1</v>
      </c>
      <c r="J1285" s="16">
        <v>8000.0</v>
      </c>
      <c r="K1285" s="16"/>
      <c r="L1285" s="18">
        <f>IF(J1285&gt;0, K1285/J1285, 0)</f>
        <v>0</v>
      </c>
      <c r="M1285" s="16">
        <v>8000.0</v>
      </c>
      <c r="N1285" s="16"/>
      <c r="O1285" s="16">
        <f>M1285-N1285</f>
        <v>8000</v>
      </c>
      <c r="P1285" s="11" t="s">
        <v>42</v>
      </c>
      <c r="Q1285" s="11" t="s">
        <v>43</v>
      </c>
      <c r="R1285" s="11" t="s">
        <v>44</v>
      </c>
      <c r="S1285" s="9" t="s">
        <v>2068</v>
      </c>
      <c r="T1285" s="9" t="s">
        <v>44</v>
      </c>
    </row>
    <row r="1286" spans="1:20">
      <c r="A1286" s="10">
        <v>1279</v>
      </c>
      <c r="B1286" s="10" t="s">
        <v>1605</v>
      </c>
      <c r="C1286" s="10" t="s">
        <v>1581</v>
      </c>
      <c r="D1286" s="10" t="s">
        <v>655</v>
      </c>
      <c r="E1286" s="10" t="s">
        <v>34</v>
      </c>
      <c r="F1286" s="10" t="s">
        <v>35</v>
      </c>
      <c r="G1286" s="8" t="s">
        <v>41</v>
      </c>
      <c r="H1286" s="12">
        <v>1</v>
      </c>
      <c r="I1286" s="12">
        <v>2</v>
      </c>
      <c r="J1286" s="15">
        <v>16000.0</v>
      </c>
      <c r="K1286" s="15"/>
      <c r="L1286" s="17">
        <f>IF(J1286&gt;0, K1286/J1286, 0)</f>
        <v>0</v>
      </c>
      <c r="M1286" s="15">
        <v>16000.0</v>
      </c>
      <c r="N1286" s="15"/>
      <c r="O1286" s="15">
        <f>M1286-N1286</f>
        <v>16000</v>
      </c>
      <c r="P1286" s="10" t="s">
        <v>42</v>
      </c>
      <c r="Q1286" s="10" t="s">
        <v>43</v>
      </c>
      <c r="R1286" s="10" t="s">
        <v>44</v>
      </c>
      <c r="S1286" s="8" t="s">
        <v>2212</v>
      </c>
      <c r="T1286" s="8" t="s">
        <v>44</v>
      </c>
    </row>
    <row r="1287" spans="1:20">
      <c r="A1287" s="11">
        <v>1280</v>
      </c>
      <c r="B1287" s="11" t="s">
        <v>1606</v>
      </c>
      <c r="C1287" s="11" t="s">
        <v>1581</v>
      </c>
      <c r="D1287" s="11" t="s">
        <v>655</v>
      </c>
      <c r="E1287" s="11" t="s">
        <v>34</v>
      </c>
      <c r="F1287" s="11" t="s">
        <v>35</v>
      </c>
      <c r="G1287" s="9" t="s">
        <v>41</v>
      </c>
      <c r="H1287" s="13">
        <v>1</v>
      </c>
      <c r="I1287" s="13">
        <v>2</v>
      </c>
      <c r="J1287" s="16">
        <v>14000.0</v>
      </c>
      <c r="K1287" s="16"/>
      <c r="L1287" s="18">
        <f>IF(J1287&gt;0, K1287/J1287, 0)</f>
        <v>0</v>
      </c>
      <c r="M1287" s="16">
        <v>14000.0</v>
      </c>
      <c r="N1287" s="16"/>
      <c r="O1287" s="16">
        <f>M1287-N1287</f>
        <v>14000</v>
      </c>
      <c r="P1287" s="11" t="s">
        <v>42</v>
      </c>
      <c r="Q1287" s="11" t="s">
        <v>43</v>
      </c>
      <c r="R1287" s="11" t="s">
        <v>44</v>
      </c>
      <c r="S1287" s="9" t="s">
        <v>2044</v>
      </c>
      <c r="T1287" s="9" t="s">
        <v>44</v>
      </c>
    </row>
    <row r="1288" spans="1:20">
      <c r="A1288" s="10">
        <v>1281</v>
      </c>
      <c r="B1288" s="10" t="s">
        <v>1607</v>
      </c>
      <c r="C1288" s="10" t="s">
        <v>1581</v>
      </c>
      <c r="D1288" s="10" t="s">
        <v>655</v>
      </c>
      <c r="E1288" s="10" t="s">
        <v>34</v>
      </c>
      <c r="F1288" s="10" t="s">
        <v>35</v>
      </c>
      <c r="G1288" s="8" t="s">
        <v>41</v>
      </c>
      <c r="H1288" s="12">
        <v>1</v>
      </c>
      <c r="I1288" s="12">
        <v>1</v>
      </c>
      <c r="J1288" s="15">
        <v>8000.0</v>
      </c>
      <c r="K1288" s="15"/>
      <c r="L1288" s="17">
        <f>IF(J1288&gt;0, K1288/J1288, 0)</f>
        <v>0</v>
      </c>
      <c r="M1288" s="15">
        <v>8000.0</v>
      </c>
      <c r="N1288" s="15"/>
      <c r="O1288" s="15">
        <f>M1288-N1288</f>
        <v>8000</v>
      </c>
      <c r="P1288" s="10" t="s">
        <v>42</v>
      </c>
      <c r="Q1288" s="10" t="s">
        <v>43</v>
      </c>
      <c r="R1288" s="10" t="s">
        <v>44</v>
      </c>
      <c r="S1288" s="8" t="s">
        <v>2144</v>
      </c>
      <c r="T1288" s="8" t="s">
        <v>44</v>
      </c>
    </row>
    <row r="1289" spans="1:20">
      <c r="A1289" s="11">
        <v>1282</v>
      </c>
      <c r="B1289" s="11" t="s">
        <v>1608</v>
      </c>
      <c r="C1289" s="11" t="s">
        <v>1581</v>
      </c>
      <c r="D1289" s="11" t="s">
        <v>655</v>
      </c>
      <c r="E1289" s="11" t="s">
        <v>34</v>
      </c>
      <c r="F1289" s="11" t="s">
        <v>35</v>
      </c>
      <c r="G1289" s="9" t="s">
        <v>41</v>
      </c>
      <c r="H1289" s="13">
        <v>1</v>
      </c>
      <c r="I1289" s="13">
        <v>1</v>
      </c>
      <c r="J1289" s="16">
        <v>18000.0</v>
      </c>
      <c r="K1289" s="16"/>
      <c r="L1289" s="18">
        <f>IF(J1289&gt;0, K1289/J1289, 0)</f>
        <v>0</v>
      </c>
      <c r="M1289" s="16">
        <v>18000.0</v>
      </c>
      <c r="N1289" s="16"/>
      <c r="O1289" s="16">
        <f>M1289-N1289</f>
        <v>18000</v>
      </c>
      <c r="P1289" s="11" t="s">
        <v>42</v>
      </c>
      <c r="Q1289" s="11" t="s">
        <v>43</v>
      </c>
      <c r="R1289" s="11" t="s">
        <v>44</v>
      </c>
      <c r="S1289" s="9" t="s">
        <v>2107</v>
      </c>
      <c r="T1289" s="9" t="s">
        <v>44</v>
      </c>
    </row>
    <row r="1290" spans="1:20">
      <c r="A1290" s="10">
        <v>1283</v>
      </c>
      <c r="B1290" s="10" t="s">
        <v>1609</v>
      </c>
      <c r="C1290" s="10" t="s">
        <v>1581</v>
      </c>
      <c r="D1290" s="10" t="s">
        <v>655</v>
      </c>
      <c r="E1290" s="10" t="s">
        <v>34</v>
      </c>
      <c r="F1290" s="10" t="s">
        <v>35</v>
      </c>
      <c r="G1290" s="8" t="s">
        <v>41</v>
      </c>
      <c r="H1290" s="12">
        <v>1</v>
      </c>
      <c r="I1290" s="12">
        <v>1</v>
      </c>
      <c r="J1290" s="15">
        <v>7000.0</v>
      </c>
      <c r="K1290" s="15"/>
      <c r="L1290" s="17">
        <f>IF(J1290&gt;0, K1290/J1290, 0)</f>
        <v>0</v>
      </c>
      <c r="M1290" s="15">
        <v>7000.0</v>
      </c>
      <c r="N1290" s="15"/>
      <c r="O1290" s="15">
        <f>M1290-N1290</f>
        <v>7000</v>
      </c>
      <c r="P1290" s="10" t="s">
        <v>42</v>
      </c>
      <c r="Q1290" s="10" t="s">
        <v>43</v>
      </c>
      <c r="R1290" s="10" t="s">
        <v>44</v>
      </c>
      <c r="S1290" s="8" t="s">
        <v>2100</v>
      </c>
      <c r="T1290" s="8" t="s">
        <v>44</v>
      </c>
    </row>
    <row r="1291" spans="1:20">
      <c r="A1291" s="11">
        <v>1284</v>
      </c>
      <c r="B1291" s="11" t="s">
        <v>1610</v>
      </c>
      <c r="C1291" s="11" t="s">
        <v>1581</v>
      </c>
      <c r="D1291" s="11" t="s">
        <v>655</v>
      </c>
      <c r="E1291" s="11" t="s">
        <v>34</v>
      </c>
      <c r="F1291" s="11" t="s">
        <v>35</v>
      </c>
      <c r="G1291" s="9" t="s">
        <v>41</v>
      </c>
      <c r="H1291" s="13">
        <v>1</v>
      </c>
      <c r="I1291" s="13">
        <v>1</v>
      </c>
      <c r="J1291" s="16">
        <v>9000.0</v>
      </c>
      <c r="K1291" s="16"/>
      <c r="L1291" s="18">
        <f>IF(J1291&gt;0, K1291/J1291, 0)</f>
        <v>0</v>
      </c>
      <c r="M1291" s="16">
        <v>9000.0</v>
      </c>
      <c r="N1291" s="16"/>
      <c r="O1291" s="16">
        <f>M1291-N1291</f>
        <v>9000</v>
      </c>
      <c r="P1291" s="11" t="s">
        <v>42</v>
      </c>
      <c r="Q1291" s="11" t="s">
        <v>43</v>
      </c>
      <c r="R1291" s="11" t="s">
        <v>44</v>
      </c>
      <c r="S1291" s="9" t="s">
        <v>2071</v>
      </c>
      <c r="T1291" s="9" t="s">
        <v>44</v>
      </c>
    </row>
    <row r="1292" spans="1:20">
      <c r="A1292" s="10">
        <v>1285</v>
      </c>
      <c r="B1292" s="10" t="s">
        <v>1611</v>
      </c>
      <c r="C1292" s="10" t="s">
        <v>1581</v>
      </c>
      <c r="D1292" s="10" t="s">
        <v>655</v>
      </c>
      <c r="E1292" s="10" t="s">
        <v>70</v>
      </c>
      <c r="F1292" s="10" t="s">
        <v>35</v>
      </c>
      <c r="G1292" s="8" t="s">
        <v>41</v>
      </c>
      <c r="H1292" s="12">
        <v>1</v>
      </c>
      <c r="I1292" s="12">
        <v>1</v>
      </c>
      <c r="J1292" s="15">
        <v>18000.0</v>
      </c>
      <c r="K1292" s="15"/>
      <c r="L1292" s="17">
        <f>IF(J1292&gt;0, K1292/J1292, 0)</f>
        <v>0</v>
      </c>
      <c r="M1292" s="15">
        <v>18000.0</v>
      </c>
      <c r="N1292" s="15"/>
      <c r="O1292" s="15">
        <f>M1292-N1292</f>
        <v>18000</v>
      </c>
      <c r="P1292" s="10" t="s">
        <v>42</v>
      </c>
      <c r="Q1292" s="10" t="s">
        <v>73</v>
      </c>
      <c r="R1292" s="10" t="s">
        <v>44</v>
      </c>
      <c r="S1292" s="8" t="s">
        <v>2039</v>
      </c>
      <c r="T1292" s="8" t="s">
        <v>44</v>
      </c>
    </row>
    <row r="1293" spans="1:20">
      <c r="A1293" s="11">
        <v>1286</v>
      </c>
      <c r="B1293" s="11" t="s">
        <v>1612</v>
      </c>
      <c r="C1293" s="11" t="s">
        <v>1581</v>
      </c>
      <c r="D1293" s="11" t="s">
        <v>655</v>
      </c>
      <c r="E1293" s="11" t="s">
        <v>70</v>
      </c>
      <c r="F1293" s="11" t="s">
        <v>35</v>
      </c>
      <c r="G1293" s="9" t="s">
        <v>41</v>
      </c>
      <c r="H1293" s="13">
        <v>1</v>
      </c>
      <c r="I1293" s="13">
        <v>1</v>
      </c>
      <c r="J1293" s="16">
        <v>11000.0</v>
      </c>
      <c r="K1293" s="16"/>
      <c r="L1293" s="18">
        <f>IF(J1293&gt;0, K1293/J1293, 0)</f>
        <v>0</v>
      </c>
      <c r="M1293" s="16">
        <v>11000.0</v>
      </c>
      <c r="N1293" s="16"/>
      <c r="O1293" s="16">
        <f>M1293-N1293</f>
        <v>11000</v>
      </c>
      <c r="P1293" s="11" t="s">
        <v>42</v>
      </c>
      <c r="Q1293" s="11" t="s">
        <v>73</v>
      </c>
      <c r="R1293" s="11" t="s">
        <v>44</v>
      </c>
      <c r="S1293" s="9" t="s">
        <v>2086</v>
      </c>
      <c r="T1293" s="9" t="s">
        <v>44</v>
      </c>
    </row>
    <row r="1294" spans="1:20">
      <c r="A1294" s="10">
        <v>1287</v>
      </c>
      <c r="B1294" s="10" t="s">
        <v>1613</v>
      </c>
      <c r="C1294" s="10" t="s">
        <v>1581</v>
      </c>
      <c r="D1294" s="10" t="s">
        <v>655</v>
      </c>
      <c r="E1294" s="10" t="s">
        <v>34</v>
      </c>
      <c r="F1294" s="10" t="s">
        <v>35</v>
      </c>
      <c r="G1294" s="8" t="s">
        <v>41</v>
      </c>
      <c r="H1294" s="12">
        <v>1</v>
      </c>
      <c r="I1294" s="12">
        <v>2</v>
      </c>
      <c r="J1294" s="15">
        <v>17000.0</v>
      </c>
      <c r="K1294" s="15"/>
      <c r="L1294" s="17">
        <f>IF(J1294&gt;0, K1294/J1294, 0)</f>
        <v>0</v>
      </c>
      <c r="M1294" s="15">
        <v>17000.0</v>
      </c>
      <c r="N1294" s="15"/>
      <c r="O1294" s="15">
        <f>M1294-N1294</f>
        <v>17000</v>
      </c>
      <c r="P1294" s="10" t="s">
        <v>42</v>
      </c>
      <c r="Q1294" s="10" t="s">
        <v>43</v>
      </c>
      <c r="R1294" s="10" t="s">
        <v>44</v>
      </c>
      <c r="S1294" s="8" t="s">
        <v>2212</v>
      </c>
      <c r="T1294" s="8" t="s">
        <v>44</v>
      </c>
    </row>
    <row r="1295" spans="1:20">
      <c r="A1295" s="11">
        <v>1288</v>
      </c>
      <c r="B1295" s="11" t="s">
        <v>1614</v>
      </c>
      <c r="C1295" s="11" t="s">
        <v>1581</v>
      </c>
      <c r="D1295" s="11" t="s">
        <v>655</v>
      </c>
      <c r="E1295" s="11" t="s">
        <v>34</v>
      </c>
      <c r="F1295" s="11" t="s">
        <v>35</v>
      </c>
      <c r="G1295" s="9" t="s">
        <v>41</v>
      </c>
      <c r="H1295" s="13">
        <v>1</v>
      </c>
      <c r="I1295" s="13">
        <v>2</v>
      </c>
      <c r="J1295" s="16">
        <v>15000.0</v>
      </c>
      <c r="K1295" s="16"/>
      <c r="L1295" s="18">
        <f>IF(J1295&gt;0, K1295/J1295, 0)</f>
        <v>0</v>
      </c>
      <c r="M1295" s="16">
        <v>15000.0</v>
      </c>
      <c r="N1295" s="16"/>
      <c r="O1295" s="16">
        <f>M1295-N1295</f>
        <v>15000</v>
      </c>
      <c r="P1295" s="11" t="s">
        <v>42</v>
      </c>
      <c r="Q1295" s="11" t="s">
        <v>43</v>
      </c>
      <c r="R1295" s="11" t="s">
        <v>44</v>
      </c>
      <c r="S1295" s="9" t="s">
        <v>2213</v>
      </c>
      <c r="T1295" s="9" t="s">
        <v>44</v>
      </c>
    </row>
    <row r="1296" spans="1:20">
      <c r="A1296" s="10">
        <v>1289</v>
      </c>
      <c r="B1296" s="10" t="s">
        <v>1615</v>
      </c>
      <c r="C1296" s="10" t="s">
        <v>1581</v>
      </c>
      <c r="D1296" s="10" t="s">
        <v>655</v>
      </c>
      <c r="E1296" s="10" t="s">
        <v>34</v>
      </c>
      <c r="F1296" s="10" t="s">
        <v>35</v>
      </c>
      <c r="G1296" s="8" t="s">
        <v>41</v>
      </c>
      <c r="H1296" s="12">
        <v>1</v>
      </c>
      <c r="I1296" s="12">
        <v>1</v>
      </c>
      <c r="J1296" s="15">
        <v>9500.0</v>
      </c>
      <c r="K1296" s="15"/>
      <c r="L1296" s="17">
        <f>IF(J1296&gt;0, K1296/J1296, 0)</f>
        <v>0</v>
      </c>
      <c r="M1296" s="15">
        <v>9500.0</v>
      </c>
      <c r="N1296" s="15"/>
      <c r="O1296" s="15">
        <f>M1296-N1296</f>
        <v>9500</v>
      </c>
      <c r="P1296" s="10" t="s">
        <v>42</v>
      </c>
      <c r="Q1296" s="10" t="s">
        <v>43</v>
      </c>
      <c r="R1296" s="10" t="s">
        <v>44</v>
      </c>
      <c r="S1296" s="8" t="s">
        <v>2086</v>
      </c>
      <c r="T1296" s="8" t="s">
        <v>44</v>
      </c>
    </row>
    <row r="1297" spans="1:20">
      <c r="A1297" s="11">
        <v>1290</v>
      </c>
      <c r="B1297" s="11" t="s">
        <v>1616</v>
      </c>
      <c r="C1297" s="11" t="s">
        <v>1581</v>
      </c>
      <c r="D1297" s="11" t="s">
        <v>655</v>
      </c>
      <c r="E1297" s="11" t="s">
        <v>70</v>
      </c>
      <c r="F1297" s="11" t="s">
        <v>35</v>
      </c>
      <c r="G1297" s="9" t="s">
        <v>41</v>
      </c>
      <c r="H1297" s="13">
        <v>1</v>
      </c>
      <c r="I1297" s="13">
        <v>1</v>
      </c>
      <c r="J1297" s="16">
        <v>9000.0</v>
      </c>
      <c r="K1297" s="16"/>
      <c r="L1297" s="18">
        <f>IF(J1297&gt;0, K1297/J1297, 0)</f>
        <v>0</v>
      </c>
      <c r="M1297" s="16">
        <v>9000.0</v>
      </c>
      <c r="N1297" s="16"/>
      <c r="O1297" s="16">
        <f>M1297-N1297</f>
        <v>9000</v>
      </c>
      <c r="P1297" s="11" t="s">
        <v>42</v>
      </c>
      <c r="Q1297" s="11" t="s">
        <v>73</v>
      </c>
      <c r="R1297" s="11" t="s">
        <v>44</v>
      </c>
      <c r="S1297" s="9" t="s">
        <v>2022</v>
      </c>
      <c r="T1297" s="9" t="s">
        <v>44</v>
      </c>
    </row>
    <row r="1298" spans="1:20">
      <c r="A1298" s="10">
        <v>1291</v>
      </c>
      <c r="B1298" s="10" t="s">
        <v>1617</v>
      </c>
      <c r="C1298" s="10" t="s">
        <v>1581</v>
      </c>
      <c r="D1298" s="10" t="s">
        <v>655</v>
      </c>
      <c r="E1298" s="10" t="s">
        <v>34</v>
      </c>
      <c r="F1298" s="10" t="s">
        <v>35</v>
      </c>
      <c r="G1298" s="8" t="s">
        <v>41</v>
      </c>
      <c r="H1298" s="12">
        <v>1</v>
      </c>
      <c r="I1298" s="12">
        <v>1</v>
      </c>
      <c r="J1298" s="15">
        <v>17000.0</v>
      </c>
      <c r="K1298" s="15"/>
      <c r="L1298" s="17">
        <f>IF(J1298&gt;0, K1298/J1298, 0)</f>
        <v>0</v>
      </c>
      <c r="M1298" s="15">
        <v>17000.0</v>
      </c>
      <c r="N1298" s="15"/>
      <c r="O1298" s="15">
        <f>M1298-N1298</f>
        <v>17000</v>
      </c>
      <c r="P1298" s="10" t="s">
        <v>42</v>
      </c>
      <c r="Q1298" s="10" t="s">
        <v>43</v>
      </c>
      <c r="R1298" s="10" t="s">
        <v>44</v>
      </c>
      <c r="S1298" s="8" t="s">
        <v>2026</v>
      </c>
      <c r="T1298" s="8" t="s">
        <v>44</v>
      </c>
    </row>
    <row r="1299" spans="1:20">
      <c r="A1299" s="11">
        <v>1292</v>
      </c>
      <c r="B1299" s="11" t="s">
        <v>1619</v>
      </c>
      <c r="C1299" s="11" t="s">
        <v>1581</v>
      </c>
      <c r="D1299" s="11" t="s">
        <v>655</v>
      </c>
      <c r="E1299" s="11" t="s">
        <v>34</v>
      </c>
      <c r="F1299" s="11" t="s">
        <v>35</v>
      </c>
      <c r="G1299" s="9" t="s">
        <v>41</v>
      </c>
      <c r="H1299" s="13">
        <v>1</v>
      </c>
      <c r="I1299" s="13">
        <v>1</v>
      </c>
      <c r="J1299" s="16">
        <v>7000.0</v>
      </c>
      <c r="K1299" s="16"/>
      <c r="L1299" s="18">
        <f>IF(J1299&gt;0, K1299/J1299, 0)</f>
        <v>0</v>
      </c>
      <c r="M1299" s="16">
        <v>7000.0</v>
      </c>
      <c r="N1299" s="16"/>
      <c r="O1299" s="16">
        <f>M1299-N1299</f>
        <v>7000</v>
      </c>
      <c r="P1299" s="11" t="s">
        <v>42</v>
      </c>
      <c r="Q1299" s="11" t="s">
        <v>43</v>
      </c>
      <c r="R1299" s="11" t="s">
        <v>44</v>
      </c>
      <c r="S1299" s="9" t="s">
        <v>2046</v>
      </c>
      <c r="T1299" s="9" t="s">
        <v>44</v>
      </c>
    </row>
    <row r="1300" spans="1:20">
      <c r="A1300" s="10">
        <v>1293</v>
      </c>
      <c r="B1300" s="10" t="s">
        <v>1620</v>
      </c>
      <c r="C1300" s="10" t="s">
        <v>1581</v>
      </c>
      <c r="D1300" s="10" t="s">
        <v>655</v>
      </c>
      <c r="E1300" s="10" t="s">
        <v>34</v>
      </c>
      <c r="F1300" s="10" t="s">
        <v>35</v>
      </c>
      <c r="G1300" s="8" t="s">
        <v>41</v>
      </c>
      <c r="H1300" s="12">
        <v>1</v>
      </c>
      <c r="I1300" s="12">
        <v>1</v>
      </c>
      <c r="J1300" s="15">
        <v>9000.0</v>
      </c>
      <c r="K1300" s="15"/>
      <c r="L1300" s="17">
        <f>IF(J1300&gt;0, K1300/J1300, 0)</f>
        <v>0</v>
      </c>
      <c r="M1300" s="15">
        <v>9000.0</v>
      </c>
      <c r="N1300" s="15"/>
      <c r="O1300" s="15">
        <f>M1300-N1300</f>
        <v>9000</v>
      </c>
      <c r="P1300" s="10" t="s">
        <v>42</v>
      </c>
      <c r="Q1300" s="10" t="s">
        <v>43</v>
      </c>
      <c r="R1300" s="10" t="s">
        <v>44</v>
      </c>
      <c r="S1300" s="8" t="s">
        <v>2075</v>
      </c>
      <c r="T1300" s="8" t="s">
        <v>44</v>
      </c>
    </row>
    <row r="1301" spans="1:20">
      <c r="A1301" s="11">
        <v>1294</v>
      </c>
      <c r="B1301" s="11" t="s">
        <v>1621</v>
      </c>
      <c r="C1301" s="11" t="s">
        <v>1581</v>
      </c>
      <c r="D1301" s="11" t="s">
        <v>655</v>
      </c>
      <c r="E1301" s="11" t="s">
        <v>34</v>
      </c>
      <c r="F1301" s="11" t="s">
        <v>35</v>
      </c>
      <c r="G1301" s="9" t="s">
        <v>41</v>
      </c>
      <c r="H1301" s="13">
        <v>1</v>
      </c>
      <c r="I1301" s="13">
        <v>1</v>
      </c>
      <c r="J1301" s="16">
        <v>18000.0</v>
      </c>
      <c r="K1301" s="16"/>
      <c r="L1301" s="18">
        <f>IF(J1301&gt;0, K1301/J1301, 0)</f>
        <v>0</v>
      </c>
      <c r="M1301" s="16">
        <v>18000.0</v>
      </c>
      <c r="N1301" s="16"/>
      <c r="O1301" s="16">
        <f>M1301-N1301</f>
        <v>18000</v>
      </c>
      <c r="P1301" s="11" t="s">
        <v>42</v>
      </c>
      <c r="Q1301" s="11" t="s">
        <v>43</v>
      </c>
      <c r="R1301" s="11" t="s">
        <v>44</v>
      </c>
      <c r="S1301" s="9" t="s">
        <v>2065</v>
      </c>
      <c r="T1301" s="9" t="s">
        <v>44</v>
      </c>
    </row>
    <row r="1302" spans="1:20">
      <c r="A1302" s="10">
        <v>1295</v>
      </c>
      <c r="B1302" s="10" t="s">
        <v>1622</v>
      </c>
      <c r="C1302" s="10" t="s">
        <v>1581</v>
      </c>
      <c r="D1302" s="10" t="s">
        <v>655</v>
      </c>
      <c r="E1302" s="10" t="s">
        <v>34</v>
      </c>
      <c r="F1302" s="10" t="s">
        <v>35</v>
      </c>
      <c r="G1302" s="8" t="s">
        <v>41</v>
      </c>
      <c r="H1302" s="12">
        <v>1</v>
      </c>
      <c r="I1302" s="12">
        <v>2</v>
      </c>
      <c r="J1302" s="15">
        <v>14000.0</v>
      </c>
      <c r="K1302" s="15"/>
      <c r="L1302" s="17">
        <f>IF(J1302&gt;0, K1302/J1302, 0)</f>
        <v>0</v>
      </c>
      <c r="M1302" s="15">
        <v>14000.0</v>
      </c>
      <c r="N1302" s="15"/>
      <c r="O1302" s="15">
        <f>M1302-N1302</f>
        <v>14000</v>
      </c>
      <c r="P1302" s="10" t="s">
        <v>42</v>
      </c>
      <c r="Q1302" s="10" t="s">
        <v>43</v>
      </c>
      <c r="R1302" s="10" t="s">
        <v>44</v>
      </c>
      <c r="S1302" s="8" t="s">
        <v>2050</v>
      </c>
      <c r="T1302" s="8" t="s">
        <v>44</v>
      </c>
    </row>
    <row r="1303" spans="1:20">
      <c r="A1303" s="11">
        <v>1296</v>
      </c>
      <c r="B1303" s="11" t="s">
        <v>1623</v>
      </c>
      <c r="C1303" s="11" t="s">
        <v>1581</v>
      </c>
      <c r="D1303" s="11" t="s">
        <v>655</v>
      </c>
      <c r="E1303" s="11" t="s">
        <v>34</v>
      </c>
      <c r="F1303" s="11" t="s">
        <v>35</v>
      </c>
      <c r="G1303" s="9" t="s">
        <v>41</v>
      </c>
      <c r="H1303" s="13">
        <v>1</v>
      </c>
      <c r="I1303" s="13">
        <v>2</v>
      </c>
      <c r="J1303" s="16">
        <v>34000.0</v>
      </c>
      <c r="K1303" s="16"/>
      <c r="L1303" s="18">
        <f>IF(J1303&gt;0, K1303/J1303, 0)</f>
        <v>0</v>
      </c>
      <c r="M1303" s="16">
        <v>34000.0</v>
      </c>
      <c r="N1303" s="16"/>
      <c r="O1303" s="16">
        <f>M1303-N1303</f>
        <v>34000</v>
      </c>
      <c r="P1303" s="11" t="s">
        <v>42</v>
      </c>
      <c r="Q1303" s="11" t="s">
        <v>43</v>
      </c>
      <c r="R1303" s="11" t="s">
        <v>44</v>
      </c>
      <c r="S1303" s="9" t="s">
        <v>2220</v>
      </c>
      <c r="T1303" s="9" t="s">
        <v>44</v>
      </c>
    </row>
    <row r="1304" spans="1:20">
      <c r="A1304" s="10">
        <v>1297</v>
      </c>
      <c r="B1304" s="10" t="s">
        <v>1624</v>
      </c>
      <c r="C1304" s="10" t="s">
        <v>1581</v>
      </c>
      <c r="D1304" s="10" t="s">
        <v>655</v>
      </c>
      <c r="E1304" s="10" t="s">
        <v>34</v>
      </c>
      <c r="F1304" s="10" t="s">
        <v>35</v>
      </c>
      <c r="G1304" s="8" t="s">
        <v>41</v>
      </c>
      <c r="H1304" s="12">
        <v>1</v>
      </c>
      <c r="I1304" s="12">
        <v>1</v>
      </c>
      <c r="J1304" s="15">
        <v>7000.0</v>
      </c>
      <c r="K1304" s="15"/>
      <c r="L1304" s="17">
        <f>IF(J1304&gt;0, K1304/J1304, 0)</f>
        <v>0</v>
      </c>
      <c r="M1304" s="15">
        <v>7000.0</v>
      </c>
      <c r="N1304" s="15"/>
      <c r="O1304" s="15">
        <f>M1304-N1304</f>
        <v>7000</v>
      </c>
      <c r="P1304" s="10" t="s">
        <v>42</v>
      </c>
      <c r="Q1304" s="10" t="s">
        <v>43</v>
      </c>
      <c r="R1304" s="10" t="s">
        <v>44</v>
      </c>
      <c r="S1304" s="8" t="s">
        <v>2034</v>
      </c>
      <c r="T1304" s="8" t="s">
        <v>44</v>
      </c>
    </row>
    <row r="1305" spans="1:20">
      <c r="A1305" s="11">
        <v>1298</v>
      </c>
      <c r="B1305" s="11" t="s">
        <v>1625</v>
      </c>
      <c r="C1305" s="11" t="s">
        <v>1581</v>
      </c>
      <c r="D1305" s="11" t="s">
        <v>655</v>
      </c>
      <c r="E1305" s="11" t="s">
        <v>34</v>
      </c>
      <c r="F1305" s="11" t="s">
        <v>35</v>
      </c>
      <c r="G1305" s="9" t="s">
        <v>41</v>
      </c>
      <c r="H1305" s="13">
        <v>1</v>
      </c>
      <c r="I1305" s="13">
        <v>1</v>
      </c>
      <c r="J1305" s="16">
        <v>9000.0</v>
      </c>
      <c r="K1305" s="16"/>
      <c r="L1305" s="18">
        <f>IF(J1305&gt;0, K1305/J1305, 0)</f>
        <v>0</v>
      </c>
      <c r="M1305" s="16">
        <v>9000.0</v>
      </c>
      <c r="N1305" s="16"/>
      <c r="O1305" s="16">
        <f>M1305-N1305</f>
        <v>9000</v>
      </c>
      <c r="P1305" s="11" t="s">
        <v>42</v>
      </c>
      <c r="Q1305" s="11" t="s">
        <v>43</v>
      </c>
      <c r="R1305" s="11" t="s">
        <v>44</v>
      </c>
      <c r="S1305" s="9" t="s">
        <v>2079</v>
      </c>
      <c r="T1305" s="9" t="s">
        <v>44</v>
      </c>
    </row>
    <row r="1306" spans="1:20">
      <c r="A1306" s="10">
        <v>1299</v>
      </c>
      <c r="B1306" s="10" t="s">
        <v>1626</v>
      </c>
      <c r="C1306" s="10" t="s">
        <v>1581</v>
      </c>
      <c r="D1306" s="10" t="s">
        <v>655</v>
      </c>
      <c r="E1306" s="10" t="s">
        <v>34</v>
      </c>
      <c r="F1306" s="10" t="s">
        <v>35</v>
      </c>
      <c r="G1306" s="8" t="s">
        <v>41</v>
      </c>
      <c r="H1306" s="12">
        <v>1</v>
      </c>
      <c r="I1306" s="12">
        <v>1</v>
      </c>
      <c r="J1306" s="15">
        <v>16000.0</v>
      </c>
      <c r="K1306" s="15"/>
      <c r="L1306" s="17">
        <f>IF(J1306&gt;0, K1306/J1306, 0)</f>
        <v>0</v>
      </c>
      <c r="M1306" s="15">
        <v>16000.0</v>
      </c>
      <c r="N1306" s="15"/>
      <c r="O1306" s="15">
        <f>M1306-N1306</f>
        <v>16000</v>
      </c>
      <c r="P1306" s="10" t="s">
        <v>42</v>
      </c>
      <c r="Q1306" s="10" t="s">
        <v>43</v>
      </c>
      <c r="R1306" s="10" t="s">
        <v>44</v>
      </c>
      <c r="S1306" s="8" t="s">
        <v>2032</v>
      </c>
      <c r="T1306" s="8" t="s">
        <v>44</v>
      </c>
    </row>
    <row r="1307" spans="1:20">
      <c r="A1307" s="11">
        <v>1300</v>
      </c>
      <c r="B1307" s="11" t="s">
        <v>1627</v>
      </c>
      <c r="C1307" s="11" t="s">
        <v>1581</v>
      </c>
      <c r="D1307" s="11" t="s">
        <v>655</v>
      </c>
      <c r="E1307" s="11" t="s">
        <v>34</v>
      </c>
      <c r="F1307" s="11" t="s">
        <v>35</v>
      </c>
      <c r="G1307" s="9" t="s">
        <v>41</v>
      </c>
      <c r="H1307" s="13">
        <v>1</v>
      </c>
      <c r="I1307" s="13">
        <v>2</v>
      </c>
      <c r="J1307" s="16">
        <v>16000.0</v>
      </c>
      <c r="K1307" s="16"/>
      <c r="L1307" s="18">
        <f>IF(J1307&gt;0, K1307/J1307, 0)</f>
        <v>0</v>
      </c>
      <c r="M1307" s="16">
        <v>16000.0</v>
      </c>
      <c r="N1307" s="16"/>
      <c r="O1307" s="16">
        <f>M1307-N1307</f>
        <v>16000</v>
      </c>
      <c r="P1307" s="11" t="s">
        <v>42</v>
      </c>
      <c r="Q1307" s="11" t="s">
        <v>43</v>
      </c>
      <c r="R1307" s="11" t="s">
        <v>44</v>
      </c>
      <c r="S1307" s="9" t="s">
        <v>2184</v>
      </c>
      <c r="T1307" s="9" t="s">
        <v>44</v>
      </c>
    </row>
    <row r="1308" spans="1:20">
      <c r="A1308" s="10">
        <v>1301</v>
      </c>
      <c r="B1308" s="10" t="s">
        <v>1628</v>
      </c>
      <c r="C1308" s="10" t="s">
        <v>1581</v>
      </c>
      <c r="D1308" s="10" t="s">
        <v>655</v>
      </c>
      <c r="E1308" s="10" t="s">
        <v>34</v>
      </c>
      <c r="F1308" s="10" t="s">
        <v>35</v>
      </c>
      <c r="G1308" s="8" t="s">
        <v>41</v>
      </c>
      <c r="H1308" s="12">
        <v>1</v>
      </c>
      <c r="I1308" s="12">
        <v>1</v>
      </c>
      <c r="J1308" s="15">
        <v>7000.0</v>
      </c>
      <c r="K1308" s="15"/>
      <c r="L1308" s="17">
        <f>IF(J1308&gt;0, K1308/J1308, 0)</f>
        <v>0</v>
      </c>
      <c r="M1308" s="15">
        <v>7000.0</v>
      </c>
      <c r="N1308" s="15"/>
      <c r="O1308" s="15">
        <f>M1308-N1308</f>
        <v>7000</v>
      </c>
      <c r="P1308" s="10" t="s">
        <v>42</v>
      </c>
      <c r="Q1308" s="10" t="s">
        <v>43</v>
      </c>
      <c r="R1308" s="10" t="s">
        <v>44</v>
      </c>
      <c r="S1308" s="8" t="s">
        <v>2077</v>
      </c>
      <c r="T1308" s="8" t="s">
        <v>44</v>
      </c>
    </row>
    <row r="1309" spans="1:20">
      <c r="A1309" s="11">
        <v>1302</v>
      </c>
      <c r="B1309" s="11" t="s">
        <v>1629</v>
      </c>
      <c r="C1309" s="11" t="s">
        <v>1630</v>
      </c>
      <c r="D1309" s="11" t="s">
        <v>655</v>
      </c>
      <c r="E1309" s="11" t="s">
        <v>34</v>
      </c>
      <c r="F1309" s="11" t="s">
        <v>35</v>
      </c>
      <c r="G1309" s="9" t="s">
        <v>41</v>
      </c>
      <c r="H1309" s="13">
        <v>1</v>
      </c>
      <c r="I1309" s="13">
        <v>1</v>
      </c>
      <c r="J1309" s="16">
        <v>7000.0</v>
      </c>
      <c r="K1309" s="16"/>
      <c r="L1309" s="18">
        <f>IF(J1309&gt;0, K1309/J1309, 0)</f>
        <v>0</v>
      </c>
      <c r="M1309" s="16">
        <v>7000.0</v>
      </c>
      <c r="N1309" s="16"/>
      <c r="O1309" s="16">
        <f>M1309-N1309</f>
        <v>7000</v>
      </c>
      <c r="P1309" s="11" t="s">
        <v>42</v>
      </c>
      <c r="Q1309" s="11" t="s">
        <v>43</v>
      </c>
      <c r="R1309" s="11" t="s">
        <v>44</v>
      </c>
      <c r="S1309" s="9" t="s">
        <v>2101</v>
      </c>
      <c r="T1309" s="9" t="s">
        <v>44</v>
      </c>
    </row>
    <row r="1310" spans="1:20">
      <c r="A1310" s="10">
        <v>1303</v>
      </c>
      <c r="B1310" s="10" t="s">
        <v>1631</v>
      </c>
      <c r="C1310" s="10" t="s">
        <v>1630</v>
      </c>
      <c r="D1310" s="10" t="s">
        <v>655</v>
      </c>
      <c r="E1310" s="10" t="s">
        <v>34</v>
      </c>
      <c r="F1310" s="10" t="s">
        <v>35</v>
      </c>
      <c r="G1310" s="8" t="s">
        <v>41</v>
      </c>
      <c r="H1310" s="12">
        <v>1</v>
      </c>
      <c r="I1310" s="12">
        <v>1</v>
      </c>
      <c r="J1310" s="15">
        <v>8000.0</v>
      </c>
      <c r="K1310" s="15"/>
      <c r="L1310" s="17">
        <f>IF(J1310&gt;0, K1310/J1310, 0)</f>
        <v>0</v>
      </c>
      <c r="M1310" s="15">
        <v>8000.0</v>
      </c>
      <c r="N1310" s="15"/>
      <c r="O1310" s="15">
        <f>M1310-N1310</f>
        <v>8000</v>
      </c>
      <c r="P1310" s="10" t="s">
        <v>42</v>
      </c>
      <c r="Q1310" s="10" t="s">
        <v>43</v>
      </c>
      <c r="R1310" s="10" t="s">
        <v>44</v>
      </c>
      <c r="S1310" s="8" t="s">
        <v>2028</v>
      </c>
      <c r="T1310" s="8" t="s">
        <v>44</v>
      </c>
    </row>
    <row r="1311" spans="1:20">
      <c r="A1311" s="11">
        <v>1304</v>
      </c>
      <c r="B1311" s="11" t="s">
        <v>1632</v>
      </c>
      <c r="C1311" s="11" t="s">
        <v>1630</v>
      </c>
      <c r="D1311" s="11" t="s">
        <v>655</v>
      </c>
      <c r="E1311" s="11" t="s">
        <v>34</v>
      </c>
      <c r="F1311" s="11" t="s">
        <v>35</v>
      </c>
      <c r="G1311" s="9" t="s">
        <v>41</v>
      </c>
      <c r="H1311" s="13">
        <v>1</v>
      </c>
      <c r="I1311" s="13">
        <v>1</v>
      </c>
      <c r="J1311" s="16">
        <v>7000.0</v>
      </c>
      <c r="K1311" s="16"/>
      <c r="L1311" s="18">
        <f>IF(J1311&gt;0, K1311/J1311, 0)</f>
        <v>0</v>
      </c>
      <c r="M1311" s="16">
        <v>7000.0</v>
      </c>
      <c r="N1311" s="16"/>
      <c r="O1311" s="16">
        <f>M1311-N1311</f>
        <v>7000</v>
      </c>
      <c r="P1311" s="11" t="s">
        <v>42</v>
      </c>
      <c r="Q1311" s="11" t="s">
        <v>43</v>
      </c>
      <c r="R1311" s="11" t="s">
        <v>44</v>
      </c>
      <c r="S1311" s="9" t="s">
        <v>2055</v>
      </c>
      <c r="T1311" s="9" t="s">
        <v>44</v>
      </c>
    </row>
    <row r="1312" spans="1:20">
      <c r="A1312" s="10">
        <v>1305</v>
      </c>
      <c r="B1312" s="10" t="s">
        <v>1633</v>
      </c>
      <c r="C1312" s="10" t="s">
        <v>1630</v>
      </c>
      <c r="D1312" s="10" t="s">
        <v>655</v>
      </c>
      <c r="E1312" s="10" t="s">
        <v>70</v>
      </c>
      <c r="F1312" s="10" t="s">
        <v>35</v>
      </c>
      <c r="G1312" s="8" t="s">
        <v>41</v>
      </c>
      <c r="H1312" s="12">
        <v>1</v>
      </c>
      <c r="I1312" s="12">
        <v>2</v>
      </c>
      <c r="J1312" s="15">
        <v>36000.0</v>
      </c>
      <c r="K1312" s="15"/>
      <c r="L1312" s="17">
        <f>IF(J1312&gt;0, K1312/J1312, 0)</f>
        <v>0</v>
      </c>
      <c r="M1312" s="15">
        <v>36000.0</v>
      </c>
      <c r="N1312" s="15"/>
      <c r="O1312" s="15">
        <f>M1312-N1312</f>
        <v>36000</v>
      </c>
      <c r="P1312" s="10" t="s">
        <v>42</v>
      </c>
      <c r="Q1312" s="10" t="s">
        <v>73</v>
      </c>
      <c r="R1312" s="10" t="s">
        <v>44</v>
      </c>
      <c r="S1312" s="8" t="s">
        <v>2221</v>
      </c>
      <c r="T1312" s="8" t="s">
        <v>44</v>
      </c>
    </row>
    <row r="1313" spans="1:20">
      <c r="A1313" s="11">
        <v>1306</v>
      </c>
      <c r="B1313" s="11" t="s">
        <v>1634</v>
      </c>
      <c r="C1313" s="11" t="s">
        <v>1630</v>
      </c>
      <c r="D1313" s="11" t="s">
        <v>655</v>
      </c>
      <c r="E1313" s="11" t="s">
        <v>70</v>
      </c>
      <c r="F1313" s="11" t="s">
        <v>35</v>
      </c>
      <c r="G1313" s="9" t="s">
        <v>41</v>
      </c>
      <c r="H1313" s="13">
        <v>1</v>
      </c>
      <c r="I1313" s="13">
        <v>2</v>
      </c>
      <c r="J1313" s="16">
        <v>20000.0</v>
      </c>
      <c r="K1313" s="16"/>
      <c r="L1313" s="18">
        <f>IF(J1313&gt;0, K1313/J1313, 0)</f>
        <v>0</v>
      </c>
      <c r="M1313" s="16">
        <v>20000.0</v>
      </c>
      <c r="N1313" s="16"/>
      <c r="O1313" s="16">
        <f>M1313-N1313</f>
        <v>20000</v>
      </c>
      <c r="P1313" s="11" t="s">
        <v>42</v>
      </c>
      <c r="Q1313" s="11" t="s">
        <v>73</v>
      </c>
      <c r="R1313" s="11" t="s">
        <v>44</v>
      </c>
      <c r="S1313" s="9" t="s">
        <v>2050</v>
      </c>
      <c r="T1313" s="9" t="s">
        <v>44</v>
      </c>
    </row>
    <row r="1314" spans="1:20">
      <c r="A1314" s="10">
        <v>1307</v>
      </c>
      <c r="B1314" s="10" t="s">
        <v>1635</v>
      </c>
      <c r="C1314" s="10" t="s">
        <v>1630</v>
      </c>
      <c r="D1314" s="10" t="s">
        <v>655</v>
      </c>
      <c r="E1314" s="10" t="s">
        <v>34</v>
      </c>
      <c r="F1314" s="10" t="s">
        <v>35</v>
      </c>
      <c r="G1314" s="8" t="s">
        <v>41</v>
      </c>
      <c r="H1314" s="12">
        <v>1</v>
      </c>
      <c r="I1314" s="12">
        <v>1</v>
      </c>
      <c r="J1314" s="15">
        <v>8500.0</v>
      </c>
      <c r="K1314" s="15"/>
      <c r="L1314" s="17">
        <f>IF(J1314&gt;0, K1314/J1314, 0)</f>
        <v>0</v>
      </c>
      <c r="M1314" s="15">
        <v>8500.0</v>
      </c>
      <c r="N1314" s="15"/>
      <c r="O1314" s="15">
        <f>M1314-N1314</f>
        <v>8500</v>
      </c>
      <c r="P1314" s="10" t="s">
        <v>42</v>
      </c>
      <c r="Q1314" s="10" t="s">
        <v>43</v>
      </c>
      <c r="R1314" s="10" t="s">
        <v>44</v>
      </c>
      <c r="S1314" s="8" t="s">
        <v>2022</v>
      </c>
      <c r="T1314" s="8" t="s">
        <v>44</v>
      </c>
    </row>
    <row r="1315" spans="1:20">
      <c r="A1315" s="11">
        <v>1308</v>
      </c>
      <c r="B1315" s="11" t="s">
        <v>1636</v>
      </c>
      <c r="C1315" s="11" t="s">
        <v>1630</v>
      </c>
      <c r="D1315" s="11" t="s">
        <v>655</v>
      </c>
      <c r="E1315" s="11" t="s">
        <v>34</v>
      </c>
      <c r="F1315" s="11" t="s">
        <v>35</v>
      </c>
      <c r="G1315" s="9" t="s">
        <v>41</v>
      </c>
      <c r="H1315" s="13">
        <v>1</v>
      </c>
      <c r="I1315" s="13">
        <v>2</v>
      </c>
      <c r="J1315" s="16">
        <v>16000.0</v>
      </c>
      <c r="K1315" s="16"/>
      <c r="L1315" s="18">
        <f>IF(J1315&gt;0, K1315/J1315, 0)</f>
        <v>0</v>
      </c>
      <c r="M1315" s="16">
        <v>16000.0</v>
      </c>
      <c r="N1315" s="16"/>
      <c r="O1315" s="16">
        <f>M1315-N1315</f>
        <v>16000</v>
      </c>
      <c r="P1315" s="11" t="s">
        <v>42</v>
      </c>
      <c r="Q1315" s="11" t="s">
        <v>43</v>
      </c>
      <c r="R1315" s="11" t="s">
        <v>44</v>
      </c>
      <c r="S1315" s="9" t="s">
        <v>2091</v>
      </c>
      <c r="T1315" s="9" t="s">
        <v>44</v>
      </c>
    </row>
    <row r="1316" spans="1:20">
      <c r="A1316" s="10">
        <v>1309</v>
      </c>
      <c r="B1316" s="10" t="s">
        <v>1637</v>
      </c>
      <c r="C1316" s="10" t="s">
        <v>1630</v>
      </c>
      <c r="D1316" s="10" t="s">
        <v>655</v>
      </c>
      <c r="E1316" s="10" t="s">
        <v>34</v>
      </c>
      <c r="F1316" s="10" t="s">
        <v>35</v>
      </c>
      <c r="G1316" s="8" t="s">
        <v>41</v>
      </c>
      <c r="H1316" s="12">
        <v>1</v>
      </c>
      <c r="I1316" s="12">
        <v>1</v>
      </c>
      <c r="J1316" s="15">
        <v>9000.0</v>
      </c>
      <c r="K1316" s="15"/>
      <c r="L1316" s="17">
        <f>IF(J1316&gt;0, K1316/J1316, 0)</f>
        <v>0</v>
      </c>
      <c r="M1316" s="15">
        <v>9000.0</v>
      </c>
      <c r="N1316" s="15"/>
      <c r="O1316" s="15">
        <f>M1316-N1316</f>
        <v>9000</v>
      </c>
      <c r="P1316" s="10" t="s">
        <v>42</v>
      </c>
      <c r="Q1316" s="10" t="s">
        <v>43</v>
      </c>
      <c r="R1316" s="10" t="s">
        <v>44</v>
      </c>
      <c r="S1316" s="8" t="s">
        <v>2027</v>
      </c>
      <c r="T1316" s="8" t="s">
        <v>44</v>
      </c>
    </row>
    <row r="1317" spans="1:20">
      <c r="A1317" s="11">
        <v>1310</v>
      </c>
      <c r="B1317" s="11" t="s">
        <v>1638</v>
      </c>
      <c r="C1317" s="11" t="s">
        <v>1630</v>
      </c>
      <c r="D1317" s="11" t="s">
        <v>655</v>
      </c>
      <c r="E1317" s="11" t="s">
        <v>34</v>
      </c>
      <c r="F1317" s="11" t="s">
        <v>35</v>
      </c>
      <c r="G1317" s="9" t="s">
        <v>41</v>
      </c>
      <c r="H1317" s="13">
        <v>1</v>
      </c>
      <c r="I1317" s="13">
        <v>1</v>
      </c>
      <c r="J1317" s="16">
        <v>18000.0</v>
      </c>
      <c r="K1317" s="16"/>
      <c r="L1317" s="18">
        <f>IF(J1317&gt;0, K1317/J1317, 0)</f>
        <v>0</v>
      </c>
      <c r="M1317" s="16">
        <v>18000.0</v>
      </c>
      <c r="N1317" s="16"/>
      <c r="O1317" s="16">
        <f>M1317-N1317</f>
        <v>18000</v>
      </c>
      <c r="P1317" s="11" t="s">
        <v>42</v>
      </c>
      <c r="Q1317" s="11" t="s">
        <v>43</v>
      </c>
      <c r="R1317" s="11" t="s">
        <v>44</v>
      </c>
      <c r="S1317" s="9" t="s">
        <v>2117</v>
      </c>
      <c r="T1317" s="9" t="s">
        <v>44</v>
      </c>
    </row>
    <row r="1318" spans="1:20">
      <c r="A1318" s="10">
        <v>1311</v>
      </c>
      <c r="B1318" s="10" t="s">
        <v>1639</v>
      </c>
      <c r="C1318" s="10" t="s">
        <v>1630</v>
      </c>
      <c r="D1318" s="10" t="s">
        <v>655</v>
      </c>
      <c r="E1318" s="10" t="s">
        <v>70</v>
      </c>
      <c r="F1318" s="10" t="s">
        <v>35</v>
      </c>
      <c r="G1318" s="8" t="s">
        <v>41</v>
      </c>
      <c r="H1318" s="12">
        <v>1</v>
      </c>
      <c r="I1318" s="12">
        <v>2</v>
      </c>
      <c r="J1318" s="15">
        <v>16000.0</v>
      </c>
      <c r="K1318" s="15"/>
      <c r="L1318" s="17">
        <f>IF(J1318&gt;0, K1318/J1318, 0)</f>
        <v>0</v>
      </c>
      <c r="M1318" s="15">
        <v>16000.0</v>
      </c>
      <c r="N1318" s="15"/>
      <c r="O1318" s="15">
        <f>M1318-N1318</f>
        <v>16000</v>
      </c>
      <c r="P1318" s="10" t="s">
        <v>42</v>
      </c>
      <c r="Q1318" s="10" t="s">
        <v>73</v>
      </c>
      <c r="R1318" s="10" t="s">
        <v>44</v>
      </c>
      <c r="S1318" s="8" t="s">
        <v>2091</v>
      </c>
      <c r="T1318" s="8" t="s">
        <v>44</v>
      </c>
    </row>
    <row r="1319" spans="1:20">
      <c r="A1319" s="11">
        <v>1312</v>
      </c>
      <c r="B1319" s="11" t="s">
        <v>1640</v>
      </c>
      <c r="C1319" s="11" t="s">
        <v>1630</v>
      </c>
      <c r="D1319" s="11" t="s">
        <v>655</v>
      </c>
      <c r="E1319" s="11" t="s">
        <v>34</v>
      </c>
      <c r="F1319" s="11" t="s">
        <v>35</v>
      </c>
      <c r="G1319" s="9" t="s">
        <v>41</v>
      </c>
      <c r="H1319" s="13">
        <v>1</v>
      </c>
      <c r="I1319" s="13">
        <v>1</v>
      </c>
      <c r="J1319" s="16">
        <v>18000.0</v>
      </c>
      <c r="K1319" s="16"/>
      <c r="L1319" s="18">
        <f>IF(J1319&gt;0, K1319/J1319, 0)</f>
        <v>0</v>
      </c>
      <c r="M1319" s="16">
        <v>18000.0</v>
      </c>
      <c r="N1319" s="16"/>
      <c r="O1319" s="16">
        <f>M1319-N1319</f>
        <v>18000</v>
      </c>
      <c r="P1319" s="11" t="s">
        <v>42</v>
      </c>
      <c r="Q1319" s="11" t="s">
        <v>43</v>
      </c>
      <c r="R1319" s="11" t="s">
        <v>44</v>
      </c>
      <c r="S1319" s="9" t="s">
        <v>2128</v>
      </c>
      <c r="T1319" s="9" t="s">
        <v>44</v>
      </c>
    </row>
    <row r="1320" spans="1:20">
      <c r="A1320" s="10">
        <v>1313</v>
      </c>
      <c r="B1320" s="10" t="s">
        <v>1641</v>
      </c>
      <c r="C1320" s="10" t="s">
        <v>1630</v>
      </c>
      <c r="D1320" s="10" t="s">
        <v>655</v>
      </c>
      <c r="E1320" s="10" t="s">
        <v>34</v>
      </c>
      <c r="F1320" s="10" t="s">
        <v>35</v>
      </c>
      <c r="G1320" s="8" t="s">
        <v>41</v>
      </c>
      <c r="H1320" s="12">
        <v>1</v>
      </c>
      <c r="I1320" s="12">
        <v>1</v>
      </c>
      <c r="J1320" s="15">
        <v>8000.0</v>
      </c>
      <c r="K1320" s="15"/>
      <c r="L1320" s="17">
        <f>IF(J1320&gt;0, K1320/J1320, 0)</f>
        <v>0</v>
      </c>
      <c r="M1320" s="15">
        <v>8000.0</v>
      </c>
      <c r="N1320" s="15"/>
      <c r="O1320" s="15">
        <f>M1320-N1320</f>
        <v>8000</v>
      </c>
      <c r="P1320" s="10" t="s">
        <v>42</v>
      </c>
      <c r="Q1320" s="10" t="s">
        <v>43</v>
      </c>
      <c r="R1320" s="10" t="s">
        <v>44</v>
      </c>
      <c r="S1320" s="8" t="s">
        <v>2030</v>
      </c>
      <c r="T1320" s="8" t="s">
        <v>44</v>
      </c>
    </row>
    <row r="1321" spans="1:20">
      <c r="A1321" s="11">
        <v>1314</v>
      </c>
      <c r="B1321" s="11" t="s">
        <v>1642</v>
      </c>
      <c r="C1321" s="11" t="s">
        <v>1630</v>
      </c>
      <c r="D1321" s="11" t="s">
        <v>655</v>
      </c>
      <c r="E1321" s="11" t="s">
        <v>34</v>
      </c>
      <c r="F1321" s="11" t="s">
        <v>35</v>
      </c>
      <c r="G1321" s="9" t="s">
        <v>41</v>
      </c>
      <c r="H1321" s="13">
        <v>1</v>
      </c>
      <c r="I1321" s="13">
        <v>1</v>
      </c>
      <c r="J1321" s="16">
        <v>9000.0</v>
      </c>
      <c r="K1321" s="16"/>
      <c r="L1321" s="18">
        <f>IF(J1321&gt;0, K1321/J1321, 0)</f>
        <v>0</v>
      </c>
      <c r="M1321" s="16">
        <v>9000.0</v>
      </c>
      <c r="N1321" s="16"/>
      <c r="O1321" s="16">
        <f>M1321-N1321</f>
        <v>9000</v>
      </c>
      <c r="P1321" s="11" t="s">
        <v>42</v>
      </c>
      <c r="Q1321" s="11" t="s">
        <v>43</v>
      </c>
      <c r="R1321" s="11" t="s">
        <v>44</v>
      </c>
      <c r="S1321" s="9" t="s">
        <v>2083</v>
      </c>
      <c r="T1321" s="9" t="s">
        <v>44</v>
      </c>
    </row>
    <row r="1322" spans="1:20">
      <c r="A1322" s="10">
        <v>1315</v>
      </c>
      <c r="B1322" s="10" t="s">
        <v>1643</v>
      </c>
      <c r="C1322" s="10" t="s">
        <v>1630</v>
      </c>
      <c r="D1322" s="10" t="s">
        <v>655</v>
      </c>
      <c r="E1322" s="10" t="s">
        <v>34</v>
      </c>
      <c r="F1322" s="10" t="s">
        <v>35</v>
      </c>
      <c r="G1322" s="8" t="s">
        <v>41</v>
      </c>
      <c r="H1322" s="12">
        <v>1</v>
      </c>
      <c r="I1322" s="12">
        <v>2</v>
      </c>
      <c r="J1322" s="15">
        <v>16000.0</v>
      </c>
      <c r="K1322" s="15"/>
      <c r="L1322" s="17">
        <f>IF(J1322&gt;0, K1322/J1322, 0)</f>
        <v>0</v>
      </c>
      <c r="M1322" s="15">
        <v>16000.0</v>
      </c>
      <c r="N1322" s="15"/>
      <c r="O1322" s="15">
        <f>M1322-N1322</f>
        <v>16000</v>
      </c>
      <c r="P1322" s="10" t="s">
        <v>42</v>
      </c>
      <c r="Q1322" s="10" t="s">
        <v>43</v>
      </c>
      <c r="R1322" s="10" t="s">
        <v>44</v>
      </c>
      <c r="S1322" s="8" t="s">
        <v>2043</v>
      </c>
      <c r="T1322" s="8" t="s">
        <v>44</v>
      </c>
    </row>
    <row r="1323" spans="1:20">
      <c r="A1323" s="11">
        <v>1316</v>
      </c>
      <c r="B1323" s="11" t="s">
        <v>1644</v>
      </c>
      <c r="C1323" s="11" t="s">
        <v>1630</v>
      </c>
      <c r="D1323" s="11" t="s">
        <v>655</v>
      </c>
      <c r="E1323" s="11" t="s">
        <v>34</v>
      </c>
      <c r="F1323" s="11" t="s">
        <v>35</v>
      </c>
      <c r="G1323" s="9" t="s">
        <v>41</v>
      </c>
      <c r="H1323" s="13">
        <v>1</v>
      </c>
      <c r="I1323" s="13">
        <v>2</v>
      </c>
      <c r="J1323" s="16">
        <v>14000.0</v>
      </c>
      <c r="K1323" s="16"/>
      <c r="L1323" s="18">
        <f>IF(J1323&gt;0, K1323/J1323, 0)</f>
        <v>0</v>
      </c>
      <c r="M1323" s="16">
        <v>14000.0</v>
      </c>
      <c r="N1323" s="16"/>
      <c r="O1323" s="16">
        <f>M1323-N1323</f>
        <v>14000</v>
      </c>
      <c r="P1323" s="11" t="s">
        <v>42</v>
      </c>
      <c r="Q1323" s="11" t="s">
        <v>43</v>
      </c>
      <c r="R1323" s="11" t="s">
        <v>44</v>
      </c>
      <c r="S1323" s="9" t="s">
        <v>2048</v>
      </c>
      <c r="T1323" s="9" t="s">
        <v>44</v>
      </c>
    </row>
    <row r="1324" spans="1:20">
      <c r="A1324" s="10">
        <v>1317</v>
      </c>
      <c r="B1324" s="10" t="s">
        <v>1645</v>
      </c>
      <c r="C1324" s="10" t="s">
        <v>1630</v>
      </c>
      <c r="D1324" s="10" t="s">
        <v>655</v>
      </c>
      <c r="E1324" s="10" t="s">
        <v>34</v>
      </c>
      <c r="F1324" s="10" t="s">
        <v>35</v>
      </c>
      <c r="G1324" s="8" t="s">
        <v>41</v>
      </c>
      <c r="H1324" s="12">
        <v>1</v>
      </c>
      <c r="I1324" s="12">
        <v>1</v>
      </c>
      <c r="J1324" s="15">
        <v>7500.0</v>
      </c>
      <c r="K1324" s="15"/>
      <c r="L1324" s="17">
        <f>IF(J1324&gt;0, K1324/J1324, 0)</f>
        <v>0</v>
      </c>
      <c r="M1324" s="15">
        <v>7500.0</v>
      </c>
      <c r="N1324" s="15"/>
      <c r="O1324" s="15">
        <f>M1324-N1324</f>
        <v>7500</v>
      </c>
      <c r="P1324" s="10" t="s">
        <v>42</v>
      </c>
      <c r="Q1324" s="10" t="s">
        <v>43</v>
      </c>
      <c r="R1324" s="10" t="s">
        <v>44</v>
      </c>
      <c r="S1324" s="8" t="s">
        <v>2023</v>
      </c>
      <c r="T1324" s="8" t="s">
        <v>44</v>
      </c>
    </row>
    <row r="1325" spans="1:20">
      <c r="A1325" s="11">
        <v>1318</v>
      </c>
      <c r="B1325" s="11" t="s">
        <v>1646</v>
      </c>
      <c r="C1325" s="11" t="s">
        <v>1630</v>
      </c>
      <c r="D1325" s="11" t="s">
        <v>655</v>
      </c>
      <c r="E1325" s="11" t="s">
        <v>34</v>
      </c>
      <c r="F1325" s="11" t="s">
        <v>35</v>
      </c>
      <c r="G1325" s="9" t="s">
        <v>41</v>
      </c>
      <c r="H1325" s="13">
        <v>1</v>
      </c>
      <c r="I1325" s="13">
        <v>1</v>
      </c>
      <c r="J1325" s="16">
        <v>7000.0</v>
      </c>
      <c r="K1325" s="16"/>
      <c r="L1325" s="18">
        <f>IF(J1325&gt;0, K1325/J1325, 0)</f>
        <v>0</v>
      </c>
      <c r="M1325" s="16">
        <v>7000.0</v>
      </c>
      <c r="N1325" s="16"/>
      <c r="O1325" s="16">
        <f>M1325-N1325</f>
        <v>7000</v>
      </c>
      <c r="P1325" s="11" t="s">
        <v>42</v>
      </c>
      <c r="Q1325" s="11" t="s">
        <v>43</v>
      </c>
      <c r="R1325" s="11" t="s">
        <v>44</v>
      </c>
      <c r="S1325" s="9" t="s">
        <v>2108</v>
      </c>
      <c r="T1325" s="9" t="s">
        <v>44</v>
      </c>
    </row>
    <row r="1326" spans="1:20">
      <c r="A1326" s="10">
        <v>1319</v>
      </c>
      <c r="B1326" s="10" t="s">
        <v>1647</v>
      </c>
      <c r="C1326" s="10" t="s">
        <v>1630</v>
      </c>
      <c r="D1326" s="10" t="s">
        <v>655</v>
      </c>
      <c r="E1326" s="10" t="s">
        <v>34</v>
      </c>
      <c r="F1326" s="10" t="s">
        <v>35</v>
      </c>
      <c r="G1326" s="8" t="s">
        <v>41</v>
      </c>
      <c r="H1326" s="12">
        <v>1</v>
      </c>
      <c r="I1326" s="12">
        <v>1</v>
      </c>
      <c r="J1326" s="15">
        <v>8500.0</v>
      </c>
      <c r="K1326" s="15"/>
      <c r="L1326" s="17">
        <f>IF(J1326&gt;0, K1326/J1326, 0)</f>
        <v>0</v>
      </c>
      <c r="M1326" s="15">
        <v>8500.0</v>
      </c>
      <c r="N1326" s="15"/>
      <c r="O1326" s="15">
        <f>M1326-N1326</f>
        <v>8500</v>
      </c>
      <c r="P1326" s="10" t="s">
        <v>42</v>
      </c>
      <c r="Q1326" s="10" t="s">
        <v>43</v>
      </c>
      <c r="R1326" s="10" t="s">
        <v>44</v>
      </c>
      <c r="S1326" s="8" t="s">
        <v>2161</v>
      </c>
      <c r="T1326" s="8" t="s">
        <v>44</v>
      </c>
    </row>
    <row r="1327" spans="1:20">
      <c r="A1327" s="11">
        <v>1320</v>
      </c>
      <c r="B1327" s="11" t="s">
        <v>1648</v>
      </c>
      <c r="C1327" s="11" t="s">
        <v>1630</v>
      </c>
      <c r="D1327" s="11" t="s">
        <v>655</v>
      </c>
      <c r="E1327" s="11" t="s">
        <v>34</v>
      </c>
      <c r="F1327" s="11" t="s">
        <v>35</v>
      </c>
      <c r="G1327" s="9" t="s">
        <v>41</v>
      </c>
      <c r="H1327" s="13">
        <v>1</v>
      </c>
      <c r="I1327" s="13">
        <v>1</v>
      </c>
      <c r="J1327" s="16">
        <v>7500.0</v>
      </c>
      <c r="K1327" s="16"/>
      <c r="L1327" s="18">
        <f>IF(J1327&gt;0, K1327/J1327, 0)</f>
        <v>0</v>
      </c>
      <c r="M1327" s="16">
        <v>7500.0</v>
      </c>
      <c r="N1327" s="16"/>
      <c r="O1327" s="16">
        <f>M1327-N1327</f>
        <v>7500</v>
      </c>
      <c r="P1327" s="11" t="s">
        <v>42</v>
      </c>
      <c r="Q1327" s="11" t="s">
        <v>43</v>
      </c>
      <c r="R1327" s="11" t="s">
        <v>44</v>
      </c>
      <c r="S1327" s="9" t="s">
        <v>2199</v>
      </c>
      <c r="T1327" s="9" t="s">
        <v>44</v>
      </c>
    </row>
    <row r="1328" spans="1:20">
      <c r="A1328" s="10">
        <v>1321</v>
      </c>
      <c r="B1328" s="10" t="s">
        <v>1649</v>
      </c>
      <c r="C1328" s="10" t="s">
        <v>1630</v>
      </c>
      <c r="D1328" s="10" t="s">
        <v>655</v>
      </c>
      <c r="E1328" s="10" t="s">
        <v>34</v>
      </c>
      <c r="F1328" s="10" t="s">
        <v>35</v>
      </c>
      <c r="G1328" s="8" t="s">
        <v>41</v>
      </c>
      <c r="H1328" s="12">
        <v>1</v>
      </c>
      <c r="I1328" s="12">
        <v>1</v>
      </c>
      <c r="J1328" s="15">
        <v>9500.0</v>
      </c>
      <c r="K1328" s="15"/>
      <c r="L1328" s="17">
        <f>IF(J1328&gt;0, K1328/J1328, 0)</f>
        <v>0</v>
      </c>
      <c r="M1328" s="15">
        <v>9500.0</v>
      </c>
      <c r="N1328" s="15"/>
      <c r="O1328" s="15">
        <f>M1328-N1328</f>
        <v>9500</v>
      </c>
      <c r="P1328" s="10" t="s">
        <v>42</v>
      </c>
      <c r="Q1328" s="10" t="s">
        <v>43</v>
      </c>
      <c r="R1328" s="10" t="s">
        <v>44</v>
      </c>
      <c r="S1328" s="8" t="s">
        <v>2060</v>
      </c>
      <c r="T1328" s="8" t="s">
        <v>44</v>
      </c>
    </row>
    <row r="1329" spans="1:20">
      <c r="A1329" s="11">
        <v>1322</v>
      </c>
      <c r="B1329" s="11" t="s">
        <v>1650</v>
      </c>
      <c r="C1329" s="11" t="s">
        <v>1630</v>
      </c>
      <c r="D1329" s="11" t="s">
        <v>655</v>
      </c>
      <c r="E1329" s="11" t="s">
        <v>34</v>
      </c>
      <c r="F1329" s="11" t="s">
        <v>35</v>
      </c>
      <c r="G1329" s="9" t="s">
        <v>41</v>
      </c>
      <c r="H1329" s="13">
        <v>1</v>
      </c>
      <c r="I1329" s="13">
        <v>2</v>
      </c>
      <c r="J1329" s="16">
        <v>18000.0</v>
      </c>
      <c r="K1329" s="16"/>
      <c r="L1329" s="18">
        <f>IF(J1329&gt;0, K1329/J1329, 0)</f>
        <v>0</v>
      </c>
      <c r="M1329" s="16">
        <v>18000.0</v>
      </c>
      <c r="N1329" s="16"/>
      <c r="O1329" s="16">
        <f>M1329-N1329</f>
        <v>18000</v>
      </c>
      <c r="P1329" s="11" t="s">
        <v>42</v>
      </c>
      <c r="Q1329" s="11" t="s">
        <v>43</v>
      </c>
      <c r="R1329" s="11" t="s">
        <v>44</v>
      </c>
      <c r="S1329" s="9" t="s">
        <v>2222</v>
      </c>
      <c r="T1329" s="9" t="s">
        <v>44</v>
      </c>
    </row>
    <row r="1330" spans="1:20">
      <c r="A1330" s="10">
        <v>1323</v>
      </c>
      <c r="B1330" s="10" t="s">
        <v>1651</v>
      </c>
      <c r="C1330" s="10" t="s">
        <v>1630</v>
      </c>
      <c r="D1330" s="10" t="s">
        <v>655</v>
      </c>
      <c r="E1330" s="10" t="s">
        <v>34</v>
      </c>
      <c r="F1330" s="10" t="s">
        <v>35</v>
      </c>
      <c r="G1330" s="8" t="s">
        <v>41</v>
      </c>
      <c r="H1330" s="12">
        <v>1</v>
      </c>
      <c r="I1330" s="12">
        <v>1</v>
      </c>
      <c r="J1330" s="15">
        <v>8000.0</v>
      </c>
      <c r="K1330" s="15"/>
      <c r="L1330" s="17">
        <f>IF(J1330&gt;0, K1330/J1330, 0)</f>
        <v>0</v>
      </c>
      <c r="M1330" s="15">
        <v>8000.0</v>
      </c>
      <c r="N1330" s="15"/>
      <c r="O1330" s="15">
        <f>M1330-N1330</f>
        <v>8000</v>
      </c>
      <c r="P1330" s="10" t="s">
        <v>42</v>
      </c>
      <c r="Q1330" s="10" t="s">
        <v>43</v>
      </c>
      <c r="R1330" s="10" t="s">
        <v>44</v>
      </c>
      <c r="S1330" s="8" t="s">
        <v>2187</v>
      </c>
      <c r="T1330" s="8" t="s">
        <v>44</v>
      </c>
    </row>
    <row r="1331" spans="1:20">
      <c r="A1331" s="11">
        <v>1324</v>
      </c>
      <c r="B1331" s="11" t="s">
        <v>1652</v>
      </c>
      <c r="C1331" s="11" t="s">
        <v>1630</v>
      </c>
      <c r="D1331" s="11" t="s">
        <v>655</v>
      </c>
      <c r="E1331" s="11" t="s">
        <v>34</v>
      </c>
      <c r="F1331" s="11" t="s">
        <v>35</v>
      </c>
      <c r="G1331" s="9" t="s">
        <v>41</v>
      </c>
      <c r="H1331" s="13">
        <v>1</v>
      </c>
      <c r="I1331" s="13">
        <v>1</v>
      </c>
      <c r="J1331" s="16">
        <v>8500.0</v>
      </c>
      <c r="K1331" s="16"/>
      <c r="L1331" s="18">
        <f>IF(J1331&gt;0, K1331/J1331, 0)</f>
        <v>0</v>
      </c>
      <c r="M1331" s="16">
        <v>8500.0</v>
      </c>
      <c r="N1331" s="16"/>
      <c r="O1331" s="16">
        <f>M1331-N1331</f>
        <v>8500</v>
      </c>
      <c r="P1331" s="11" t="s">
        <v>42</v>
      </c>
      <c r="Q1331" s="11" t="s">
        <v>43</v>
      </c>
      <c r="R1331" s="11" t="s">
        <v>44</v>
      </c>
      <c r="S1331" s="9" t="s">
        <v>2024</v>
      </c>
      <c r="T1331" s="9" t="s">
        <v>44</v>
      </c>
    </row>
    <row r="1332" spans="1:20">
      <c r="A1332" s="10">
        <v>1325</v>
      </c>
      <c r="B1332" s="10" t="s">
        <v>1653</v>
      </c>
      <c r="C1332" s="10" t="s">
        <v>1630</v>
      </c>
      <c r="D1332" s="10" t="s">
        <v>655</v>
      </c>
      <c r="E1332" s="10" t="s">
        <v>34</v>
      </c>
      <c r="F1332" s="10" t="s">
        <v>35</v>
      </c>
      <c r="G1332" s="8" t="s">
        <v>41</v>
      </c>
      <c r="H1332" s="12">
        <v>1</v>
      </c>
      <c r="I1332" s="12">
        <v>1</v>
      </c>
      <c r="J1332" s="15">
        <v>7000.0</v>
      </c>
      <c r="K1332" s="15"/>
      <c r="L1332" s="17">
        <f>IF(J1332&gt;0, K1332/J1332, 0)</f>
        <v>0</v>
      </c>
      <c r="M1332" s="15">
        <v>7000.0</v>
      </c>
      <c r="N1332" s="15"/>
      <c r="O1332" s="15">
        <f>M1332-N1332</f>
        <v>7000</v>
      </c>
      <c r="P1332" s="10" t="s">
        <v>42</v>
      </c>
      <c r="Q1332" s="10" t="s">
        <v>43</v>
      </c>
      <c r="R1332" s="10" t="s">
        <v>44</v>
      </c>
      <c r="S1332" s="8" t="s">
        <v>2023</v>
      </c>
      <c r="T1332" s="8" t="s">
        <v>44</v>
      </c>
    </row>
    <row r="1333" spans="1:20">
      <c r="A1333" s="11">
        <v>1326</v>
      </c>
      <c r="B1333" s="11" t="s">
        <v>1654</v>
      </c>
      <c r="C1333" s="11" t="s">
        <v>1630</v>
      </c>
      <c r="D1333" s="11" t="s">
        <v>655</v>
      </c>
      <c r="E1333" s="11" t="s">
        <v>34</v>
      </c>
      <c r="F1333" s="11" t="s">
        <v>35</v>
      </c>
      <c r="G1333" s="9" t="s">
        <v>41</v>
      </c>
      <c r="H1333" s="13">
        <v>1</v>
      </c>
      <c r="I1333" s="13">
        <v>2</v>
      </c>
      <c r="J1333" s="16">
        <v>19000.0</v>
      </c>
      <c r="K1333" s="16"/>
      <c r="L1333" s="18">
        <f>IF(J1333&gt;0, K1333/J1333, 0)</f>
        <v>0</v>
      </c>
      <c r="M1333" s="16">
        <v>19000.0</v>
      </c>
      <c r="N1333" s="16"/>
      <c r="O1333" s="16">
        <f>M1333-N1333</f>
        <v>19000</v>
      </c>
      <c r="P1333" s="11" t="s">
        <v>42</v>
      </c>
      <c r="Q1333" s="11" t="s">
        <v>43</v>
      </c>
      <c r="R1333" s="11" t="s">
        <v>44</v>
      </c>
      <c r="S1333" s="9" t="s">
        <v>2124</v>
      </c>
      <c r="T1333" s="9" t="s">
        <v>44</v>
      </c>
    </row>
    <row r="1334" spans="1:20">
      <c r="A1334" s="10">
        <v>1327</v>
      </c>
      <c r="B1334" s="10" t="s">
        <v>1655</v>
      </c>
      <c r="C1334" s="10" t="s">
        <v>1630</v>
      </c>
      <c r="D1334" s="10" t="s">
        <v>655</v>
      </c>
      <c r="E1334" s="10" t="s">
        <v>34</v>
      </c>
      <c r="F1334" s="10" t="s">
        <v>35</v>
      </c>
      <c r="G1334" s="8" t="s">
        <v>41</v>
      </c>
      <c r="H1334" s="12">
        <v>1</v>
      </c>
      <c r="I1334" s="12">
        <v>2</v>
      </c>
      <c r="J1334" s="15">
        <v>18000.0</v>
      </c>
      <c r="K1334" s="15"/>
      <c r="L1334" s="17">
        <f>IF(J1334&gt;0, K1334/J1334, 0)</f>
        <v>0</v>
      </c>
      <c r="M1334" s="15">
        <v>18000.0</v>
      </c>
      <c r="N1334" s="15"/>
      <c r="O1334" s="15">
        <f>M1334-N1334</f>
        <v>18000</v>
      </c>
      <c r="P1334" s="10" t="s">
        <v>42</v>
      </c>
      <c r="Q1334" s="10" t="s">
        <v>43</v>
      </c>
      <c r="R1334" s="10" t="s">
        <v>44</v>
      </c>
      <c r="S1334" s="8" t="s">
        <v>2169</v>
      </c>
      <c r="T1334" s="8" t="s">
        <v>44</v>
      </c>
    </row>
    <row r="1335" spans="1:20">
      <c r="A1335" s="11">
        <v>1328</v>
      </c>
      <c r="B1335" s="11" t="s">
        <v>1656</v>
      </c>
      <c r="C1335" s="11" t="s">
        <v>1630</v>
      </c>
      <c r="D1335" s="11" t="s">
        <v>655</v>
      </c>
      <c r="E1335" s="11" t="s">
        <v>70</v>
      </c>
      <c r="F1335" s="11" t="s">
        <v>35</v>
      </c>
      <c r="G1335" s="9" t="s">
        <v>41</v>
      </c>
      <c r="H1335" s="13">
        <v>1</v>
      </c>
      <c r="I1335" s="13">
        <v>1</v>
      </c>
      <c r="J1335" s="16">
        <v>10000.0</v>
      </c>
      <c r="K1335" s="16"/>
      <c r="L1335" s="18">
        <f>IF(J1335&gt;0, K1335/J1335, 0)</f>
        <v>0</v>
      </c>
      <c r="M1335" s="16">
        <v>10000.0</v>
      </c>
      <c r="N1335" s="16"/>
      <c r="O1335" s="16">
        <f>M1335-N1335</f>
        <v>10000</v>
      </c>
      <c r="P1335" s="11" t="s">
        <v>42</v>
      </c>
      <c r="Q1335" s="11" t="s">
        <v>73</v>
      </c>
      <c r="R1335" s="11" t="s">
        <v>44</v>
      </c>
      <c r="S1335" s="9" t="s">
        <v>2058</v>
      </c>
      <c r="T1335" s="9" t="s">
        <v>44</v>
      </c>
    </row>
    <row r="1336" spans="1:20">
      <c r="A1336" s="10">
        <v>1329</v>
      </c>
      <c r="B1336" s="10" t="s">
        <v>1658</v>
      </c>
      <c r="C1336" s="10" t="s">
        <v>1630</v>
      </c>
      <c r="D1336" s="10" t="s">
        <v>655</v>
      </c>
      <c r="E1336" s="10" t="s">
        <v>34</v>
      </c>
      <c r="F1336" s="10" t="s">
        <v>35</v>
      </c>
      <c r="G1336" s="8" t="s">
        <v>41</v>
      </c>
      <c r="H1336" s="12">
        <v>1</v>
      </c>
      <c r="I1336" s="12">
        <v>1</v>
      </c>
      <c r="J1336" s="15">
        <v>8000.0</v>
      </c>
      <c r="K1336" s="15"/>
      <c r="L1336" s="17">
        <f>IF(J1336&gt;0, K1336/J1336, 0)</f>
        <v>0</v>
      </c>
      <c r="M1336" s="15">
        <v>8000.0</v>
      </c>
      <c r="N1336" s="15"/>
      <c r="O1336" s="15">
        <f>M1336-N1336</f>
        <v>8000</v>
      </c>
      <c r="P1336" s="10" t="s">
        <v>42</v>
      </c>
      <c r="Q1336" s="10" t="s">
        <v>43</v>
      </c>
      <c r="R1336" s="10" t="s">
        <v>44</v>
      </c>
      <c r="S1336" s="8" t="s">
        <v>2020</v>
      </c>
      <c r="T1336" s="8" t="s">
        <v>44</v>
      </c>
    </row>
    <row r="1337" spans="1:20">
      <c r="A1337" s="11">
        <v>1330</v>
      </c>
      <c r="B1337" s="11" t="s">
        <v>1659</v>
      </c>
      <c r="C1337" s="11" t="s">
        <v>1630</v>
      </c>
      <c r="D1337" s="11" t="s">
        <v>655</v>
      </c>
      <c r="E1337" s="11" t="s">
        <v>34</v>
      </c>
      <c r="F1337" s="11" t="s">
        <v>35</v>
      </c>
      <c r="G1337" s="9" t="s">
        <v>41</v>
      </c>
      <c r="H1337" s="13">
        <v>1</v>
      </c>
      <c r="I1337" s="13">
        <v>1</v>
      </c>
      <c r="J1337" s="16">
        <v>7000.0</v>
      </c>
      <c r="K1337" s="16"/>
      <c r="L1337" s="18">
        <f>IF(J1337&gt;0, K1337/J1337, 0)</f>
        <v>0</v>
      </c>
      <c r="M1337" s="16">
        <v>7000.0</v>
      </c>
      <c r="N1337" s="16"/>
      <c r="O1337" s="16">
        <f>M1337-N1337</f>
        <v>7000</v>
      </c>
      <c r="P1337" s="11" t="s">
        <v>42</v>
      </c>
      <c r="Q1337" s="11" t="s">
        <v>43</v>
      </c>
      <c r="R1337" s="11" t="s">
        <v>44</v>
      </c>
      <c r="S1337" s="9" t="s">
        <v>2179</v>
      </c>
      <c r="T1337" s="9" t="s">
        <v>44</v>
      </c>
    </row>
    <row r="1338" spans="1:20">
      <c r="A1338" s="10">
        <v>1331</v>
      </c>
      <c r="B1338" s="10" t="s">
        <v>1660</v>
      </c>
      <c r="C1338" s="10" t="s">
        <v>1630</v>
      </c>
      <c r="D1338" s="10" t="s">
        <v>655</v>
      </c>
      <c r="E1338" s="10" t="s">
        <v>34</v>
      </c>
      <c r="F1338" s="10" t="s">
        <v>35</v>
      </c>
      <c r="G1338" s="8" t="s">
        <v>41</v>
      </c>
      <c r="H1338" s="12">
        <v>1</v>
      </c>
      <c r="I1338" s="12">
        <v>1</v>
      </c>
      <c r="J1338" s="15">
        <v>8000.0</v>
      </c>
      <c r="K1338" s="15"/>
      <c r="L1338" s="17">
        <f>IF(J1338&gt;0, K1338/J1338, 0)</f>
        <v>0</v>
      </c>
      <c r="M1338" s="15">
        <v>8000.0</v>
      </c>
      <c r="N1338" s="15"/>
      <c r="O1338" s="15">
        <f>M1338-N1338</f>
        <v>8000</v>
      </c>
      <c r="P1338" s="10" t="s">
        <v>42</v>
      </c>
      <c r="Q1338" s="10" t="s">
        <v>43</v>
      </c>
      <c r="R1338" s="10" t="s">
        <v>44</v>
      </c>
      <c r="S1338" s="8" t="s">
        <v>2115</v>
      </c>
      <c r="T1338" s="8" t="s">
        <v>44</v>
      </c>
    </row>
    <row r="1339" spans="1:20">
      <c r="A1339" s="11">
        <v>1332</v>
      </c>
      <c r="B1339" s="11" t="s">
        <v>1661</v>
      </c>
      <c r="C1339" s="11" t="s">
        <v>1630</v>
      </c>
      <c r="D1339" s="11" t="s">
        <v>655</v>
      </c>
      <c r="E1339" s="11" t="s">
        <v>34</v>
      </c>
      <c r="F1339" s="11" t="s">
        <v>35</v>
      </c>
      <c r="G1339" s="9" t="s">
        <v>41</v>
      </c>
      <c r="H1339" s="13">
        <v>1</v>
      </c>
      <c r="I1339" s="13">
        <v>2</v>
      </c>
      <c r="J1339" s="16">
        <v>16000.0</v>
      </c>
      <c r="K1339" s="16"/>
      <c r="L1339" s="18">
        <f>IF(J1339&gt;0, K1339/J1339, 0)</f>
        <v>0</v>
      </c>
      <c r="M1339" s="16">
        <v>16000.0</v>
      </c>
      <c r="N1339" s="16"/>
      <c r="O1339" s="16">
        <f>M1339-N1339</f>
        <v>16000</v>
      </c>
      <c r="P1339" s="11" t="s">
        <v>42</v>
      </c>
      <c r="Q1339" s="11" t="s">
        <v>43</v>
      </c>
      <c r="R1339" s="11" t="s">
        <v>44</v>
      </c>
      <c r="S1339" s="9" t="s">
        <v>2085</v>
      </c>
      <c r="T1339" s="9" t="s">
        <v>44</v>
      </c>
    </row>
    <row r="1340" spans="1:20">
      <c r="A1340" s="10">
        <v>1333</v>
      </c>
      <c r="B1340" s="10" t="s">
        <v>1663</v>
      </c>
      <c r="C1340" s="10" t="s">
        <v>1630</v>
      </c>
      <c r="D1340" s="10" t="s">
        <v>655</v>
      </c>
      <c r="E1340" s="10" t="s">
        <v>34</v>
      </c>
      <c r="F1340" s="10" t="s">
        <v>35</v>
      </c>
      <c r="G1340" s="8" t="s">
        <v>41</v>
      </c>
      <c r="H1340" s="12">
        <v>1</v>
      </c>
      <c r="I1340" s="12">
        <v>2</v>
      </c>
      <c r="J1340" s="15">
        <v>14000.0</v>
      </c>
      <c r="K1340" s="15"/>
      <c r="L1340" s="17">
        <f>IF(J1340&gt;0, K1340/J1340, 0)</f>
        <v>0</v>
      </c>
      <c r="M1340" s="15">
        <v>14000.0</v>
      </c>
      <c r="N1340" s="15"/>
      <c r="O1340" s="15">
        <f>M1340-N1340</f>
        <v>14000</v>
      </c>
      <c r="P1340" s="10" t="s">
        <v>42</v>
      </c>
      <c r="Q1340" s="10" t="s">
        <v>43</v>
      </c>
      <c r="R1340" s="10" t="s">
        <v>44</v>
      </c>
      <c r="S1340" s="8" t="s">
        <v>2063</v>
      </c>
      <c r="T1340" s="8" t="s">
        <v>44</v>
      </c>
    </row>
    <row r="1341" spans="1:20">
      <c r="A1341" s="11">
        <v>1334</v>
      </c>
      <c r="B1341" s="11" t="s">
        <v>1664</v>
      </c>
      <c r="C1341" s="11" t="s">
        <v>1630</v>
      </c>
      <c r="D1341" s="11" t="s">
        <v>655</v>
      </c>
      <c r="E1341" s="11" t="s">
        <v>70</v>
      </c>
      <c r="F1341" s="11" t="s">
        <v>35</v>
      </c>
      <c r="G1341" s="9" t="s">
        <v>41</v>
      </c>
      <c r="H1341" s="13">
        <v>1</v>
      </c>
      <c r="I1341" s="13">
        <v>2</v>
      </c>
      <c r="J1341" s="16">
        <v>36000.0</v>
      </c>
      <c r="K1341" s="16"/>
      <c r="L1341" s="18">
        <f>IF(J1341&gt;0, K1341/J1341, 0)</f>
        <v>0</v>
      </c>
      <c r="M1341" s="16">
        <v>36000.0</v>
      </c>
      <c r="N1341" s="16"/>
      <c r="O1341" s="16">
        <f>M1341-N1341</f>
        <v>36000</v>
      </c>
      <c r="P1341" s="11" t="s">
        <v>42</v>
      </c>
      <c r="Q1341" s="11" t="s">
        <v>73</v>
      </c>
      <c r="R1341" s="11" t="s">
        <v>44</v>
      </c>
      <c r="S1341" s="9" t="s">
        <v>2181</v>
      </c>
      <c r="T1341" s="9" t="s">
        <v>44</v>
      </c>
    </row>
    <row r="1342" spans="1:20">
      <c r="A1342" s="10">
        <v>1335</v>
      </c>
      <c r="B1342" s="10" t="s">
        <v>1665</v>
      </c>
      <c r="C1342" s="10" t="s">
        <v>1630</v>
      </c>
      <c r="D1342" s="10" t="s">
        <v>655</v>
      </c>
      <c r="E1342" s="10" t="s">
        <v>70</v>
      </c>
      <c r="F1342" s="10" t="s">
        <v>35</v>
      </c>
      <c r="G1342" s="8" t="s">
        <v>41</v>
      </c>
      <c r="H1342" s="12">
        <v>1</v>
      </c>
      <c r="I1342" s="12">
        <v>1</v>
      </c>
      <c r="J1342" s="15">
        <v>9000.0</v>
      </c>
      <c r="K1342" s="15"/>
      <c r="L1342" s="17">
        <f>IF(J1342&gt;0, K1342/J1342, 0)</f>
        <v>0</v>
      </c>
      <c r="M1342" s="15">
        <v>9000.0</v>
      </c>
      <c r="N1342" s="15"/>
      <c r="O1342" s="15">
        <f>M1342-N1342</f>
        <v>9000</v>
      </c>
      <c r="P1342" s="10" t="s">
        <v>42</v>
      </c>
      <c r="Q1342" s="10" t="s">
        <v>73</v>
      </c>
      <c r="R1342" s="10" t="s">
        <v>44</v>
      </c>
      <c r="S1342" s="8" t="s">
        <v>2100</v>
      </c>
      <c r="T1342" s="8" t="s">
        <v>44</v>
      </c>
    </row>
    <row r="1343" spans="1:20">
      <c r="A1343" s="11">
        <v>1336</v>
      </c>
      <c r="B1343" s="11" t="s">
        <v>1666</v>
      </c>
      <c r="C1343" s="11" t="s">
        <v>1630</v>
      </c>
      <c r="D1343" s="11" t="s">
        <v>655</v>
      </c>
      <c r="E1343" s="11" t="s">
        <v>34</v>
      </c>
      <c r="F1343" s="11" t="s">
        <v>35</v>
      </c>
      <c r="G1343" s="9" t="s">
        <v>41</v>
      </c>
      <c r="H1343" s="13">
        <v>1</v>
      </c>
      <c r="I1343" s="13">
        <v>2</v>
      </c>
      <c r="J1343" s="16">
        <v>34000.0</v>
      </c>
      <c r="K1343" s="16"/>
      <c r="L1343" s="18">
        <f>IF(J1343&gt;0, K1343/J1343, 0)</f>
        <v>0</v>
      </c>
      <c r="M1343" s="16">
        <v>34000.0</v>
      </c>
      <c r="N1343" s="16"/>
      <c r="O1343" s="16">
        <f>M1343-N1343</f>
        <v>34000</v>
      </c>
      <c r="P1343" s="11" t="s">
        <v>42</v>
      </c>
      <c r="Q1343" s="11" t="s">
        <v>43</v>
      </c>
      <c r="R1343" s="11" t="s">
        <v>44</v>
      </c>
      <c r="S1343" s="9" t="s">
        <v>2069</v>
      </c>
      <c r="T1343" s="9" t="s">
        <v>44</v>
      </c>
    </row>
    <row r="1344" spans="1:20">
      <c r="A1344" s="10">
        <v>1337</v>
      </c>
      <c r="B1344" s="10" t="s">
        <v>1667</v>
      </c>
      <c r="C1344" s="10" t="s">
        <v>1630</v>
      </c>
      <c r="D1344" s="10" t="s">
        <v>655</v>
      </c>
      <c r="E1344" s="10" t="s">
        <v>34</v>
      </c>
      <c r="F1344" s="10" t="s">
        <v>35</v>
      </c>
      <c r="G1344" s="8" t="s">
        <v>41</v>
      </c>
      <c r="H1344" s="12">
        <v>1</v>
      </c>
      <c r="I1344" s="12">
        <v>2</v>
      </c>
      <c r="J1344" s="15">
        <v>32000.0</v>
      </c>
      <c r="K1344" s="15"/>
      <c r="L1344" s="17">
        <f>IF(J1344&gt;0, K1344/J1344, 0)</f>
        <v>0</v>
      </c>
      <c r="M1344" s="15">
        <v>32000.0</v>
      </c>
      <c r="N1344" s="15"/>
      <c r="O1344" s="15">
        <f>M1344-N1344</f>
        <v>32000</v>
      </c>
      <c r="P1344" s="10" t="s">
        <v>42</v>
      </c>
      <c r="Q1344" s="10" t="s">
        <v>43</v>
      </c>
      <c r="R1344" s="10" t="s">
        <v>44</v>
      </c>
      <c r="S1344" s="8" t="s">
        <v>2116</v>
      </c>
      <c r="T1344" s="8" t="s">
        <v>44</v>
      </c>
    </row>
    <row r="1345" spans="1:20">
      <c r="A1345" s="11">
        <v>1338</v>
      </c>
      <c r="B1345" s="11" t="s">
        <v>1668</v>
      </c>
      <c r="C1345" s="11" t="s">
        <v>1630</v>
      </c>
      <c r="D1345" s="11" t="s">
        <v>655</v>
      </c>
      <c r="E1345" s="11" t="s">
        <v>70</v>
      </c>
      <c r="F1345" s="11" t="s">
        <v>35</v>
      </c>
      <c r="G1345" s="9" t="s">
        <v>41</v>
      </c>
      <c r="H1345" s="13">
        <v>1</v>
      </c>
      <c r="I1345" s="13">
        <v>1</v>
      </c>
      <c r="J1345" s="16">
        <v>10000.0</v>
      </c>
      <c r="K1345" s="16"/>
      <c r="L1345" s="18">
        <f>IF(J1345&gt;0, K1345/J1345, 0)</f>
        <v>0</v>
      </c>
      <c r="M1345" s="16">
        <v>10000.0</v>
      </c>
      <c r="N1345" s="16"/>
      <c r="O1345" s="16">
        <f>M1345-N1345</f>
        <v>10000</v>
      </c>
      <c r="P1345" s="11" t="s">
        <v>42</v>
      </c>
      <c r="Q1345" s="11" t="s">
        <v>73</v>
      </c>
      <c r="R1345" s="11" t="s">
        <v>44</v>
      </c>
      <c r="S1345" s="9" t="s">
        <v>2223</v>
      </c>
      <c r="T1345" s="9" t="s">
        <v>44</v>
      </c>
    </row>
    <row r="1346" spans="1:20">
      <c r="A1346" s="10">
        <v>1339</v>
      </c>
      <c r="B1346" s="10" t="s">
        <v>1670</v>
      </c>
      <c r="C1346" s="10" t="s">
        <v>1630</v>
      </c>
      <c r="D1346" s="10" t="s">
        <v>655</v>
      </c>
      <c r="E1346" s="10" t="s">
        <v>34</v>
      </c>
      <c r="F1346" s="10" t="s">
        <v>35</v>
      </c>
      <c r="G1346" s="8" t="s">
        <v>41</v>
      </c>
      <c r="H1346" s="12">
        <v>1</v>
      </c>
      <c r="I1346" s="12">
        <v>2</v>
      </c>
      <c r="J1346" s="15">
        <v>34000.0</v>
      </c>
      <c r="K1346" s="15"/>
      <c r="L1346" s="17">
        <f>IF(J1346&gt;0, K1346/J1346, 0)</f>
        <v>0</v>
      </c>
      <c r="M1346" s="15">
        <v>34000.0</v>
      </c>
      <c r="N1346" s="15"/>
      <c r="O1346" s="15">
        <f>M1346-N1346</f>
        <v>34000</v>
      </c>
      <c r="P1346" s="10" t="s">
        <v>42</v>
      </c>
      <c r="Q1346" s="10" t="s">
        <v>43</v>
      </c>
      <c r="R1346" s="10" t="s">
        <v>44</v>
      </c>
      <c r="S1346" s="8" t="s">
        <v>2177</v>
      </c>
      <c r="T1346" s="8" t="s">
        <v>44</v>
      </c>
    </row>
    <row r="1347" spans="1:20">
      <c r="A1347" s="11">
        <v>1340</v>
      </c>
      <c r="B1347" s="11" t="s">
        <v>1671</v>
      </c>
      <c r="C1347" s="11" t="s">
        <v>1630</v>
      </c>
      <c r="D1347" s="11" t="s">
        <v>655</v>
      </c>
      <c r="E1347" s="11" t="s">
        <v>70</v>
      </c>
      <c r="F1347" s="11" t="s">
        <v>35</v>
      </c>
      <c r="G1347" s="9" t="s">
        <v>41</v>
      </c>
      <c r="H1347" s="13">
        <v>1</v>
      </c>
      <c r="I1347" s="13">
        <v>1</v>
      </c>
      <c r="J1347" s="16">
        <v>8000.0</v>
      </c>
      <c r="K1347" s="16"/>
      <c r="L1347" s="18">
        <f>IF(J1347&gt;0, K1347/J1347, 0)</f>
        <v>0</v>
      </c>
      <c r="M1347" s="16">
        <v>8000.0</v>
      </c>
      <c r="N1347" s="16"/>
      <c r="O1347" s="16">
        <f>M1347-N1347</f>
        <v>8000</v>
      </c>
      <c r="P1347" s="11" t="s">
        <v>42</v>
      </c>
      <c r="Q1347" s="11" t="s">
        <v>73</v>
      </c>
      <c r="R1347" s="11" t="s">
        <v>44</v>
      </c>
      <c r="S1347" s="9" t="s">
        <v>2164</v>
      </c>
      <c r="T1347" s="9" t="s">
        <v>44</v>
      </c>
    </row>
    <row r="1348" spans="1:20">
      <c r="A1348" s="10">
        <v>1341</v>
      </c>
      <c r="B1348" s="10" t="s">
        <v>1672</v>
      </c>
      <c r="C1348" s="10" t="s">
        <v>1630</v>
      </c>
      <c r="D1348" s="10" t="s">
        <v>655</v>
      </c>
      <c r="E1348" s="10" t="s">
        <v>70</v>
      </c>
      <c r="F1348" s="10" t="s">
        <v>35</v>
      </c>
      <c r="G1348" s="8" t="s">
        <v>41</v>
      </c>
      <c r="H1348" s="12">
        <v>1</v>
      </c>
      <c r="I1348" s="12">
        <v>2</v>
      </c>
      <c r="J1348" s="15">
        <v>20000.0</v>
      </c>
      <c r="K1348" s="15"/>
      <c r="L1348" s="17">
        <f>IF(J1348&gt;0, K1348/J1348, 0)</f>
        <v>0</v>
      </c>
      <c r="M1348" s="15">
        <v>20000.0</v>
      </c>
      <c r="N1348" s="15"/>
      <c r="O1348" s="15">
        <f>M1348-N1348</f>
        <v>20000</v>
      </c>
      <c r="P1348" s="10" t="s">
        <v>42</v>
      </c>
      <c r="Q1348" s="10" t="s">
        <v>73</v>
      </c>
      <c r="R1348" s="10" t="s">
        <v>44</v>
      </c>
      <c r="S1348" s="8" t="s">
        <v>2176</v>
      </c>
      <c r="T1348" s="8" t="s">
        <v>44</v>
      </c>
    </row>
    <row r="1349" spans="1:20">
      <c r="A1349" s="11">
        <v>1342</v>
      </c>
      <c r="B1349" s="11" t="s">
        <v>1673</v>
      </c>
      <c r="C1349" s="11" t="s">
        <v>1630</v>
      </c>
      <c r="D1349" s="11" t="s">
        <v>655</v>
      </c>
      <c r="E1349" s="11" t="s">
        <v>34</v>
      </c>
      <c r="F1349" s="11" t="s">
        <v>35</v>
      </c>
      <c r="G1349" s="9" t="s">
        <v>41</v>
      </c>
      <c r="H1349" s="13">
        <v>1</v>
      </c>
      <c r="I1349" s="13">
        <v>1</v>
      </c>
      <c r="J1349" s="16">
        <v>8000.0</v>
      </c>
      <c r="K1349" s="16"/>
      <c r="L1349" s="18">
        <f>IF(J1349&gt;0, K1349/J1349, 0)</f>
        <v>0</v>
      </c>
      <c r="M1349" s="16">
        <v>8000.0</v>
      </c>
      <c r="N1349" s="16"/>
      <c r="O1349" s="16">
        <f>M1349-N1349</f>
        <v>8000</v>
      </c>
      <c r="P1349" s="11" t="s">
        <v>42</v>
      </c>
      <c r="Q1349" s="11" t="s">
        <v>43</v>
      </c>
      <c r="R1349" s="11" t="s">
        <v>44</v>
      </c>
      <c r="S1349" s="9" t="s">
        <v>2087</v>
      </c>
      <c r="T1349" s="9" t="s">
        <v>44</v>
      </c>
    </row>
    <row r="1350" spans="1:20">
      <c r="A1350" s="10">
        <v>1343</v>
      </c>
      <c r="B1350" s="10" t="s">
        <v>1674</v>
      </c>
      <c r="C1350" s="10" t="s">
        <v>1630</v>
      </c>
      <c r="D1350" s="10" t="s">
        <v>655</v>
      </c>
      <c r="E1350" s="10" t="s">
        <v>34</v>
      </c>
      <c r="F1350" s="10" t="s">
        <v>35</v>
      </c>
      <c r="G1350" s="8" t="s">
        <v>41</v>
      </c>
      <c r="H1350" s="12">
        <v>1</v>
      </c>
      <c r="I1350" s="12">
        <v>2</v>
      </c>
      <c r="J1350" s="15">
        <v>14000.0</v>
      </c>
      <c r="K1350" s="15"/>
      <c r="L1350" s="17">
        <f>IF(J1350&gt;0, K1350/J1350, 0)</f>
        <v>0</v>
      </c>
      <c r="M1350" s="15">
        <v>14000.0</v>
      </c>
      <c r="N1350" s="15"/>
      <c r="O1350" s="15">
        <f>M1350-N1350</f>
        <v>14000</v>
      </c>
      <c r="P1350" s="10" t="s">
        <v>42</v>
      </c>
      <c r="Q1350" s="10" t="s">
        <v>43</v>
      </c>
      <c r="R1350" s="10" t="s">
        <v>44</v>
      </c>
      <c r="S1350" s="8" t="s">
        <v>2146</v>
      </c>
      <c r="T1350" s="8" t="s">
        <v>44</v>
      </c>
    </row>
    <row r="1351" spans="1:20">
      <c r="A1351" s="11">
        <v>1344</v>
      </c>
      <c r="B1351" s="11" t="s">
        <v>1675</v>
      </c>
      <c r="C1351" s="11" t="s">
        <v>1630</v>
      </c>
      <c r="D1351" s="11" t="s">
        <v>655</v>
      </c>
      <c r="E1351" s="11" t="s">
        <v>70</v>
      </c>
      <c r="F1351" s="11" t="s">
        <v>35</v>
      </c>
      <c r="G1351" s="9" t="s">
        <v>41</v>
      </c>
      <c r="H1351" s="13">
        <v>1</v>
      </c>
      <c r="I1351" s="13">
        <v>1</v>
      </c>
      <c r="J1351" s="16">
        <v>18000.0</v>
      </c>
      <c r="K1351" s="16"/>
      <c r="L1351" s="18">
        <f>IF(J1351&gt;0, K1351/J1351, 0)</f>
        <v>0</v>
      </c>
      <c r="M1351" s="16">
        <v>18000.0</v>
      </c>
      <c r="N1351" s="16"/>
      <c r="O1351" s="16">
        <f>M1351-N1351</f>
        <v>18000</v>
      </c>
      <c r="P1351" s="11" t="s">
        <v>42</v>
      </c>
      <c r="Q1351" s="11" t="s">
        <v>73</v>
      </c>
      <c r="R1351" s="11" t="s">
        <v>44</v>
      </c>
      <c r="S1351" s="9" t="s">
        <v>2026</v>
      </c>
      <c r="T1351" s="9" t="s">
        <v>44</v>
      </c>
    </row>
    <row r="1352" spans="1:20">
      <c r="A1352" s="10">
        <v>1345</v>
      </c>
      <c r="B1352" s="10" t="s">
        <v>1676</v>
      </c>
      <c r="C1352" s="10" t="s">
        <v>1630</v>
      </c>
      <c r="D1352" s="10" t="s">
        <v>655</v>
      </c>
      <c r="E1352" s="10" t="s">
        <v>34</v>
      </c>
      <c r="F1352" s="10" t="s">
        <v>35</v>
      </c>
      <c r="G1352" s="8" t="s">
        <v>41</v>
      </c>
      <c r="H1352" s="12">
        <v>1</v>
      </c>
      <c r="I1352" s="12">
        <v>2</v>
      </c>
      <c r="J1352" s="15">
        <v>19000.0</v>
      </c>
      <c r="K1352" s="15"/>
      <c r="L1352" s="17">
        <f>IF(J1352&gt;0, K1352/J1352, 0)</f>
        <v>0</v>
      </c>
      <c r="M1352" s="15">
        <v>19000.0</v>
      </c>
      <c r="N1352" s="15"/>
      <c r="O1352" s="15">
        <f>M1352-N1352</f>
        <v>19000</v>
      </c>
      <c r="P1352" s="10" t="s">
        <v>42</v>
      </c>
      <c r="Q1352" s="10" t="s">
        <v>43</v>
      </c>
      <c r="R1352" s="10" t="s">
        <v>44</v>
      </c>
      <c r="S1352" s="8" t="s">
        <v>2124</v>
      </c>
      <c r="T1352" s="8" t="s">
        <v>44</v>
      </c>
    </row>
    <row r="1353" spans="1:20">
      <c r="A1353" s="11">
        <v>1346</v>
      </c>
      <c r="B1353" s="11" t="s">
        <v>1677</v>
      </c>
      <c r="C1353" s="11" t="s">
        <v>1630</v>
      </c>
      <c r="D1353" s="11" t="s">
        <v>655</v>
      </c>
      <c r="E1353" s="11" t="s">
        <v>34</v>
      </c>
      <c r="F1353" s="11" t="s">
        <v>35</v>
      </c>
      <c r="G1353" s="9" t="s">
        <v>41</v>
      </c>
      <c r="H1353" s="13">
        <v>1</v>
      </c>
      <c r="I1353" s="13">
        <v>1</v>
      </c>
      <c r="J1353" s="16">
        <v>8500.0</v>
      </c>
      <c r="K1353" s="16"/>
      <c r="L1353" s="18">
        <f>IF(J1353&gt;0, K1353/J1353, 0)</f>
        <v>0</v>
      </c>
      <c r="M1353" s="16">
        <v>8500.0</v>
      </c>
      <c r="N1353" s="16"/>
      <c r="O1353" s="16">
        <f>M1353-N1353</f>
        <v>8500</v>
      </c>
      <c r="P1353" s="11" t="s">
        <v>42</v>
      </c>
      <c r="Q1353" s="11" t="s">
        <v>43</v>
      </c>
      <c r="R1353" s="11" t="s">
        <v>44</v>
      </c>
      <c r="S1353" s="9" t="s">
        <v>2117</v>
      </c>
      <c r="T1353" s="9" t="s">
        <v>44</v>
      </c>
    </row>
    <row r="1354" spans="1:20">
      <c r="A1354" s="10">
        <v>1347</v>
      </c>
      <c r="B1354" s="10" t="s">
        <v>1678</v>
      </c>
      <c r="C1354" s="10" t="s">
        <v>1630</v>
      </c>
      <c r="D1354" s="10" t="s">
        <v>655</v>
      </c>
      <c r="E1354" s="10" t="s">
        <v>34</v>
      </c>
      <c r="F1354" s="10" t="s">
        <v>35</v>
      </c>
      <c r="G1354" s="8" t="s">
        <v>41</v>
      </c>
      <c r="H1354" s="12">
        <v>1</v>
      </c>
      <c r="I1354" s="12">
        <v>1</v>
      </c>
      <c r="J1354" s="15">
        <v>7500.0</v>
      </c>
      <c r="K1354" s="15"/>
      <c r="L1354" s="17">
        <f>IF(J1354&gt;0, K1354/J1354, 0)</f>
        <v>0</v>
      </c>
      <c r="M1354" s="15">
        <v>7500.0</v>
      </c>
      <c r="N1354" s="15"/>
      <c r="O1354" s="15">
        <f>M1354-N1354</f>
        <v>7500</v>
      </c>
      <c r="P1354" s="10" t="s">
        <v>42</v>
      </c>
      <c r="Q1354" s="10" t="s">
        <v>43</v>
      </c>
      <c r="R1354" s="10" t="s">
        <v>44</v>
      </c>
      <c r="S1354" s="8" t="s">
        <v>2024</v>
      </c>
      <c r="T1354" s="8" t="s">
        <v>44</v>
      </c>
    </row>
    <row r="1355" spans="1:20">
      <c r="A1355" s="11">
        <v>1348</v>
      </c>
      <c r="B1355" s="11" t="s">
        <v>1679</v>
      </c>
      <c r="C1355" s="11" t="s">
        <v>1630</v>
      </c>
      <c r="D1355" s="11" t="s">
        <v>655</v>
      </c>
      <c r="E1355" s="11" t="s">
        <v>34</v>
      </c>
      <c r="F1355" s="11" t="s">
        <v>35</v>
      </c>
      <c r="G1355" s="9" t="s">
        <v>41</v>
      </c>
      <c r="H1355" s="13">
        <v>1</v>
      </c>
      <c r="I1355" s="13">
        <v>1</v>
      </c>
      <c r="J1355" s="16">
        <v>7500.0</v>
      </c>
      <c r="K1355" s="16"/>
      <c r="L1355" s="18">
        <f>IF(J1355&gt;0, K1355/J1355, 0)</f>
        <v>0</v>
      </c>
      <c r="M1355" s="16">
        <v>7500.0</v>
      </c>
      <c r="N1355" s="16"/>
      <c r="O1355" s="16">
        <f>M1355-N1355</f>
        <v>7500</v>
      </c>
      <c r="P1355" s="11" t="s">
        <v>42</v>
      </c>
      <c r="Q1355" s="11" t="s">
        <v>43</v>
      </c>
      <c r="R1355" s="11" t="s">
        <v>44</v>
      </c>
      <c r="S1355" s="9" t="s">
        <v>2023</v>
      </c>
      <c r="T1355" s="9" t="s">
        <v>44</v>
      </c>
    </row>
    <row r="1356" spans="1:20">
      <c r="A1356" s="10">
        <v>1349</v>
      </c>
      <c r="B1356" s="10" t="s">
        <v>1680</v>
      </c>
      <c r="C1356" s="10" t="s">
        <v>1630</v>
      </c>
      <c r="D1356" s="10" t="s">
        <v>655</v>
      </c>
      <c r="E1356" s="10" t="s">
        <v>34</v>
      </c>
      <c r="F1356" s="10" t="s">
        <v>35</v>
      </c>
      <c r="G1356" s="8" t="s">
        <v>41</v>
      </c>
      <c r="H1356" s="12">
        <v>1</v>
      </c>
      <c r="I1356" s="12">
        <v>1</v>
      </c>
      <c r="J1356" s="15">
        <v>9000.0</v>
      </c>
      <c r="K1356" s="15"/>
      <c r="L1356" s="17">
        <f>IF(J1356&gt;0, K1356/J1356, 0)</f>
        <v>0</v>
      </c>
      <c r="M1356" s="15">
        <v>9000.0</v>
      </c>
      <c r="N1356" s="15"/>
      <c r="O1356" s="15">
        <f>M1356-N1356</f>
        <v>9000</v>
      </c>
      <c r="P1356" s="10" t="s">
        <v>42</v>
      </c>
      <c r="Q1356" s="10" t="s">
        <v>43</v>
      </c>
      <c r="R1356" s="10" t="s">
        <v>44</v>
      </c>
      <c r="S1356" s="8" t="s">
        <v>2027</v>
      </c>
      <c r="T1356" s="8" t="s">
        <v>44</v>
      </c>
    </row>
    <row r="1357" spans="1:20">
      <c r="A1357" s="11">
        <v>1350</v>
      </c>
      <c r="B1357" s="11" t="s">
        <v>1681</v>
      </c>
      <c r="C1357" s="11" t="s">
        <v>1630</v>
      </c>
      <c r="D1357" s="11" t="s">
        <v>655</v>
      </c>
      <c r="E1357" s="11" t="s">
        <v>34</v>
      </c>
      <c r="F1357" s="11" t="s">
        <v>35</v>
      </c>
      <c r="G1357" s="9" t="s">
        <v>41</v>
      </c>
      <c r="H1357" s="13">
        <v>1</v>
      </c>
      <c r="I1357" s="13">
        <v>2</v>
      </c>
      <c r="J1357" s="16">
        <v>16000.0</v>
      </c>
      <c r="K1357" s="16"/>
      <c r="L1357" s="18">
        <f>IF(J1357&gt;0, K1357/J1357, 0)</f>
        <v>0</v>
      </c>
      <c r="M1357" s="16">
        <v>16000.0</v>
      </c>
      <c r="N1357" s="16"/>
      <c r="O1357" s="16">
        <f>M1357-N1357</f>
        <v>16000</v>
      </c>
      <c r="P1357" s="11" t="s">
        <v>42</v>
      </c>
      <c r="Q1357" s="11" t="s">
        <v>43</v>
      </c>
      <c r="R1357" s="11" t="s">
        <v>44</v>
      </c>
      <c r="S1357" s="9" t="s">
        <v>2091</v>
      </c>
      <c r="T1357" s="9" t="s">
        <v>44</v>
      </c>
    </row>
    <row r="1358" spans="1:20">
      <c r="A1358" s="10">
        <v>1351</v>
      </c>
      <c r="B1358" s="10" t="s">
        <v>1682</v>
      </c>
      <c r="C1358" s="10" t="s">
        <v>1683</v>
      </c>
      <c r="D1358" s="10" t="s">
        <v>655</v>
      </c>
      <c r="E1358" s="10" t="s">
        <v>34</v>
      </c>
      <c r="F1358" s="10" t="s">
        <v>35</v>
      </c>
      <c r="G1358" s="8" t="s">
        <v>41</v>
      </c>
      <c r="H1358" s="12">
        <v>1</v>
      </c>
      <c r="I1358" s="12">
        <v>1</v>
      </c>
      <c r="J1358" s="15">
        <v>9000.0</v>
      </c>
      <c r="K1358" s="15"/>
      <c r="L1358" s="17">
        <f>IF(J1358&gt;0, K1358/J1358, 0)</f>
        <v>0</v>
      </c>
      <c r="M1358" s="15">
        <v>9000.0</v>
      </c>
      <c r="N1358" s="15"/>
      <c r="O1358" s="15">
        <f>M1358-N1358</f>
        <v>9000</v>
      </c>
      <c r="P1358" s="10" t="s">
        <v>42</v>
      </c>
      <c r="Q1358" s="10" t="s">
        <v>43</v>
      </c>
      <c r="R1358" s="10" t="s">
        <v>44</v>
      </c>
      <c r="S1358" s="8" t="s">
        <v>2027</v>
      </c>
      <c r="T1358" s="8" t="s">
        <v>44</v>
      </c>
    </row>
    <row r="1359" spans="1:20">
      <c r="A1359" s="11">
        <v>1352</v>
      </c>
      <c r="B1359" s="11" t="s">
        <v>1684</v>
      </c>
      <c r="C1359" s="11" t="s">
        <v>1683</v>
      </c>
      <c r="D1359" s="11" t="s">
        <v>655</v>
      </c>
      <c r="E1359" s="11" t="s">
        <v>34</v>
      </c>
      <c r="F1359" s="11" t="s">
        <v>35</v>
      </c>
      <c r="G1359" s="9" t="s">
        <v>41</v>
      </c>
      <c r="H1359" s="13">
        <v>1</v>
      </c>
      <c r="I1359" s="13">
        <v>1</v>
      </c>
      <c r="J1359" s="16">
        <v>8000.0</v>
      </c>
      <c r="K1359" s="16"/>
      <c r="L1359" s="18">
        <f>IF(J1359&gt;0, K1359/J1359, 0)</f>
        <v>0</v>
      </c>
      <c r="M1359" s="16">
        <v>8000.0</v>
      </c>
      <c r="N1359" s="16"/>
      <c r="O1359" s="16">
        <f>M1359-N1359</f>
        <v>8000</v>
      </c>
      <c r="P1359" s="11" t="s">
        <v>42</v>
      </c>
      <c r="Q1359" s="11" t="s">
        <v>43</v>
      </c>
      <c r="R1359" s="11" t="s">
        <v>44</v>
      </c>
      <c r="S1359" s="9" t="s">
        <v>2028</v>
      </c>
      <c r="T1359" s="9" t="s">
        <v>44</v>
      </c>
    </row>
    <row r="1360" spans="1:20">
      <c r="A1360" s="10">
        <v>1353</v>
      </c>
      <c r="B1360" s="10" t="s">
        <v>1685</v>
      </c>
      <c r="C1360" s="10" t="s">
        <v>1683</v>
      </c>
      <c r="D1360" s="10" t="s">
        <v>655</v>
      </c>
      <c r="E1360" s="10" t="s">
        <v>70</v>
      </c>
      <c r="F1360" s="10" t="s">
        <v>35</v>
      </c>
      <c r="G1360" s="8" t="s">
        <v>41</v>
      </c>
      <c r="H1360" s="12">
        <v>1</v>
      </c>
      <c r="I1360" s="12">
        <v>1</v>
      </c>
      <c r="J1360" s="15">
        <v>18000.0</v>
      </c>
      <c r="K1360" s="15"/>
      <c r="L1360" s="17">
        <f>IF(J1360&gt;0, K1360/J1360, 0)</f>
        <v>0</v>
      </c>
      <c r="M1360" s="15">
        <v>18000.0</v>
      </c>
      <c r="N1360" s="15"/>
      <c r="O1360" s="15">
        <f>M1360-N1360</f>
        <v>18000</v>
      </c>
      <c r="P1360" s="10" t="s">
        <v>42</v>
      </c>
      <c r="Q1360" s="10" t="s">
        <v>73</v>
      </c>
      <c r="R1360" s="10" t="s">
        <v>44</v>
      </c>
      <c r="S1360" s="8" t="s">
        <v>2039</v>
      </c>
      <c r="T1360" s="8" t="s">
        <v>44</v>
      </c>
    </row>
    <row r="1361" spans="1:20">
      <c r="A1361" s="11">
        <v>1354</v>
      </c>
      <c r="B1361" s="11" t="s">
        <v>1686</v>
      </c>
      <c r="C1361" s="11" t="s">
        <v>1683</v>
      </c>
      <c r="D1361" s="11" t="s">
        <v>655</v>
      </c>
      <c r="E1361" s="11" t="s">
        <v>70</v>
      </c>
      <c r="F1361" s="11" t="s">
        <v>35</v>
      </c>
      <c r="G1361" s="9" t="s">
        <v>41</v>
      </c>
      <c r="H1361" s="13">
        <v>1</v>
      </c>
      <c r="I1361" s="13">
        <v>2</v>
      </c>
      <c r="J1361" s="16">
        <v>22000.0</v>
      </c>
      <c r="K1361" s="16"/>
      <c r="L1361" s="18">
        <f>IF(J1361&gt;0, K1361/J1361, 0)</f>
        <v>0</v>
      </c>
      <c r="M1361" s="16">
        <v>22000.0</v>
      </c>
      <c r="N1361" s="16"/>
      <c r="O1361" s="16">
        <f>M1361-N1361</f>
        <v>22000</v>
      </c>
      <c r="P1361" s="11" t="s">
        <v>42</v>
      </c>
      <c r="Q1361" s="11" t="s">
        <v>73</v>
      </c>
      <c r="R1361" s="11" t="s">
        <v>44</v>
      </c>
      <c r="S1361" s="9" t="s">
        <v>2097</v>
      </c>
      <c r="T1361" s="9" t="s">
        <v>44</v>
      </c>
    </row>
    <row r="1362" spans="1:20">
      <c r="A1362" s="10">
        <v>1355</v>
      </c>
      <c r="B1362" s="10" t="s">
        <v>1687</v>
      </c>
      <c r="C1362" s="10" t="s">
        <v>1683</v>
      </c>
      <c r="D1362" s="10" t="s">
        <v>655</v>
      </c>
      <c r="E1362" s="10" t="s">
        <v>34</v>
      </c>
      <c r="F1362" s="10" t="s">
        <v>35</v>
      </c>
      <c r="G1362" s="8" t="s">
        <v>41</v>
      </c>
      <c r="H1362" s="12">
        <v>1</v>
      </c>
      <c r="I1362" s="12">
        <v>1</v>
      </c>
      <c r="J1362" s="15">
        <v>7500.0</v>
      </c>
      <c r="K1362" s="15"/>
      <c r="L1362" s="17">
        <f>IF(J1362&gt;0, K1362/J1362, 0)</f>
        <v>0</v>
      </c>
      <c r="M1362" s="15">
        <v>7500.0</v>
      </c>
      <c r="N1362" s="15"/>
      <c r="O1362" s="15">
        <f>M1362-N1362</f>
        <v>7500</v>
      </c>
      <c r="P1362" s="10" t="s">
        <v>42</v>
      </c>
      <c r="Q1362" s="10" t="s">
        <v>43</v>
      </c>
      <c r="R1362" s="10" t="s">
        <v>44</v>
      </c>
      <c r="S1362" s="8" t="s">
        <v>2086</v>
      </c>
      <c r="T1362" s="8" t="s">
        <v>44</v>
      </c>
    </row>
    <row r="1363" spans="1:20">
      <c r="A1363" s="11">
        <v>1356</v>
      </c>
      <c r="B1363" s="11" t="s">
        <v>1688</v>
      </c>
      <c r="C1363" s="11" t="s">
        <v>1683</v>
      </c>
      <c r="D1363" s="11" t="s">
        <v>655</v>
      </c>
      <c r="E1363" s="11" t="s">
        <v>34</v>
      </c>
      <c r="F1363" s="11" t="s">
        <v>35</v>
      </c>
      <c r="G1363" s="9" t="s">
        <v>41</v>
      </c>
      <c r="H1363" s="13">
        <v>1</v>
      </c>
      <c r="I1363" s="13">
        <v>2</v>
      </c>
      <c r="J1363" s="16">
        <v>16000.0</v>
      </c>
      <c r="K1363" s="16"/>
      <c r="L1363" s="18">
        <f>IF(J1363&gt;0, K1363/J1363, 0)</f>
        <v>0</v>
      </c>
      <c r="M1363" s="16">
        <v>16000.0</v>
      </c>
      <c r="N1363" s="16"/>
      <c r="O1363" s="16">
        <f>M1363-N1363</f>
        <v>16000</v>
      </c>
      <c r="P1363" s="11" t="s">
        <v>42</v>
      </c>
      <c r="Q1363" s="11" t="s">
        <v>43</v>
      </c>
      <c r="R1363" s="11" t="s">
        <v>44</v>
      </c>
      <c r="S1363" s="9" t="s">
        <v>2044</v>
      </c>
      <c r="T1363" s="9" t="s">
        <v>44</v>
      </c>
    </row>
    <row r="1364" spans="1:20">
      <c r="A1364" s="10">
        <v>1357</v>
      </c>
      <c r="B1364" s="10" t="s">
        <v>1689</v>
      </c>
      <c r="C1364" s="10" t="s">
        <v>1683</v>
      </c>
      <c r="D1364" s="10" t="s">
        <v>655</v>
      </c>
      <c r="E1364" s="10" t="s">
        <v>34</v>
      </c>
      <c r="F1364" s="10" t="s">
        <v>35</v>
      </c>
      <c r="G1364" s="8" t="s">
        <v>41</v>
      </c>
      <c r="H1364" s="12">
        <v>1</v>
      </c>
      <c r="I1364" s="12">
        <v>1</v>
      </c>
      <c r="J1364" s="15">
        <v>7500.0</v>
      </c>
      <c r="K1364" s="15"/>
      <c r="L1364" s="17">
        <f>IF(J1364&gt;0, K1364/J1364, 0)</f>
        <v>0</v>
      </c>
      <c r="M1364" s="15">
        <v>7500.0</v>
      </c>
      <c r="N1364" s="15"/>
      <c r="O1364" s="15">
        <f>M1364-N1364</f>
        <v>7500</v>
      </c>
      <c r="P1364" s="10" t="s">
        <v>42</v>
      </c>
      <c r="Q1364" s="10" t="s">
        <v>43</v>
      </c>
      <c r="R1364" s="10" t="s">
        <v>44</v>
      </c>
      <c r="S1364" s="8" t="s">
        <v>2046</v>
      </c>
      <c r="T1364" s="8" t="s">
        <v>44</v>
      </c>
    </row>
    <row r="1365" spans="1:20">
      <c r="A1365" s="11">
        <v>1358</v>
      </c>
      <c r="B1365" s="11" t="s">
        <v>1690</v>
      </c>
      <c r="C1365" s="11" t="s">
        <v>1683</v>
      </c>
      <c r="D1365" s="11" t="s">
        <v>655</v>
      </c>
      <c r="E1365" s="11" t="s">
        <v>34</v>
      </c>
      <c r="F1365" s="11" t="s">
        <v>35</v>
      </c>
      <c r="G1365" s="9" t="s">
        <v>41</v>
      </c>
      <c r="H1365" s="13">
        <v>1</v>
      </c>
      <c r="I1365" s="13">
        <v>1</v>
      </c>
      <c r="J1365" s="16">
        <v>8500.0</v>
      </c>
      <c r="K1365" s="16"/>
      <c r="L1365" s="18">
        <f>IF(J1365&gt;0, K1365/J1365, 0)</f>
        <v>0</v>
      </c>
      <c r="M1365" s="16">
        <v>8500.0</v>
      </c>
      <c r="N1365" s="16"/>
      <c r="O1365" s="16">
        <f>M1365-N1365</f>
        <v>8500</v>
      </c>
      <c r="P1365" s="11" t="s">
        <v>42</v>
      </c>
      <c r="Q1365" s="11" t="s">
        <v>43</v>
      </c>
      <c r="R1365" s="11" t="s">
        <v>44</v>
      </c>
      <c r="S1365" s="9" t="s">
        <v>2024</v>
      </c>
      <c r="T1365" s="9" t="s">
        <v>44</v>
      </c>
    </row>
    <row r="1366" spans="1:20">
      <c r="A1366" s="10">
        <v>1359</v>
      </c>
      <c r="B1366" s="10" t="s">
        <v>1691</v>
      </c>
      <c r="C1366" s="10" t="s">
        <v>1683</v>
      </c>
      <c r="D1366" s="10" t="s">
        <v>655</v>
      </c>
      <c r="E1366" s="10" t="s">
        <v>34</v>
      </c>
      <c r="F1366" s="10" t="s">
        <v>35</v>
      </c>
      <c r="G1366" s="8" t="s">
        <v>41</v>
      </c>
      <c r="H1366" s="12">
        <v>1</v>
      </c>
      <c r="I1366" s="12">
        <v>1</v>
      </c>
      <c r="J1366" s="15">
        <v>18000.0</v>
      </c>
      <c r="K1366" s="15"/>
      <c r="L1366" s="17">
        <f>IF(J1366&gt;0, K1366/J1366, 0)</f>
        <v>0</v>
      </c>
      <c r="M1366" s="15">
        <v>18000.0</v>
      </c>
      <c r="N1366" s="15"/>
      <c r="O1366" s="15">
        <f>M1366-N1366</f>
        <v>18000</v>
      </c>
      <c r="P1366" s="10" t="s">
        <v>42</v>
      </c>
      <c r="Q1366" s="10" t="s">
        <v>43</v>
      </c>
      <c r="R1366" s="10" t="s">
        <v>44</v>
      </c>
      <c r="S1366" s="8" t="s">
        <v>2021</v>
      </c>
      <c r="T1366" s="8" t="s">
        <v>44</v>
      </c>
    </row>
    <row r="1367" spans="1:20">
      <c r="A1367" s="11">
        <v>1360</v>
      </c>
      <c r="B1367" s="11" t="s">
        <v>1692</v>
      </c>
      <c r="C1367" s="11" t="s">
        <v>1683</v>
      </c>
      <c r="D1367" s="11" t="s">
        <v>655</v>
      </c>
      <c r="E1367" s="11" t="s">
        <v>34</v>
      </c>
      <c r="F1367" s="11" t="s">
        <v>35</v>
      </c>
      <c r="G1367" s="9" t="s">
        <v>41</v>
      </c>
      <c r="H1367" s="13">
        <v>1</v>
      </c>
      <c r="I1367" s="13">
        <v>1</v>
      </c>
      <c r="J1367" s="16">
        <v>7500.0</v>
      </c>
      <c r="K1367" s="16"/>
      <c r="L1367" s="18">
        <f>IF(J1367&gt;0, K1367/J1367, 0)</f>
        <v>0</v>
      </c>
      <c r="M1367" s="16">
        <v>7500.0</v>
      </c>
      <c r="N1367" s="16"/>
      <c r="O1367" s="16">
        <f>M1367-N1367</f>
        <v>7500</v>
      </c>
      <c r="P1367" s="11" t="s">
        <v>42</v>
      </c>
      <c r="Q1367" s="11" t="s">
        <v>43</v>
      </c>
      <c r="R1367" s="11" t="s">
        <v>44</v>
      </c>
      <c r="S1367" s="9" t="s">
        <v>2046</v>
      </c>
      <c r="T1367" s="9" t="s">
        <v>44</v>
      </c>
    </row>
    <row r="1368" spans="1:20">
      <c r="A1368" s="10">
        <v>1361</v>
      </c>
      <c r="B1368" s="10" t="s">
        <v>1693</v>
      </c>
      <c r="C1368" s="10" t="s">
        <v>1683</v>
      </c>
      <c r="D1368" s="10" t="s">
        <v>655</v>
      </c>
      <c r="E1368" s="10" t="s">
        <v>34</v>
      </c>
      <c r="F1368" s="10" t="s">
        <v>35</v>
      </c>
      <c r="G1368" s="8" t="s">
        <v>41</v>
      </c>
      <c r="H1368" s="12">
        <v>1</v>
      </c>
      <c r="I1368" s="12">
        <v>1</v>
      </c>
      <c r="J1368" s="15">
        <v>8500.0</v>
      </c>
      <c r="K1368" s="15"/>
      <c r="L1368" s="17">
        <f>IF(J1368&gt;0, K1368/J1368, 0)</f>
        <v>0</v>
      </c>
      <c r="M1368" s="15">
        <v>8500.0</v>
      </c>
      <c r="N1368" s="15"/>
      <c r="O1368" s="15">
        <f>M1368-N1368</f>
        <v>8500</v>
      </c>
      <c r="P1368" s="10" t="s">
        <v>42</v>
      </c>
      <c r="Q1368" s="10" t="s">
        <v>43</v>
      </c>
      <c r="R1368" s="10" t="s">
        <v>44</v>
      </c>
      <c r="S1368" s="8" t="s">
        <v>2045</v>
      </c>
      <c r="T1368" s="8" t="s">
        <v>44</v>
      </c>
    </row>
    <row r="1369" spans="1:20">
      <c r="A1369" s="11">
        <v>1362</v>
      </c>
      <c r="B1369" s="11" t="s">
        <v>1694</v>
      </c>
      <c r="C1369" s="11" t="s">
        <v>1683</v>
      </c>
      <c r="D1369" s="11" t="s">
        <v>655</v>
      </c>
      <c r="E1369" s="11" t="s">
        <v>34</v>
      </c>
      <c r="F1369" s="11" t="s">
        <v>35</v>
      </c>
      <c r="G1369" s="9" t="s">
        <v>41</v>
      </c>
      <c r="H1369" s="13">
        <v>1</v>
      </c>
      <c r="I1369" s="13">
        <v>2</v>
      </c>
      <c r="J1369" s="16">
        <v>16000.0</v>
      </c>
      <c r="K1369" s="16"/>
      <c r="L1369" s="18">
        <f>IF(J1369&gt;0, K1369/J1369, 0)</f>
        <v>0</v>
      </c>
      <c r="M1369" s="16">
        <v>16000.0</v>
      </c>
      <c r="N1369" s="16"/>
      <c r="O1369" s="16">
        <f>M1369-N1369</f>
        <v>16000</v>
      </c>
      <c r="P1369" s="11" t="s">
        <v>42</v>
      </c>
      <c r="Q1369" s="11" t="s">
        <v>43</v>
      </c>
      <c r="R1369" s="11" t="s">
        <v>44</v>
      </c>
      <c r="S1369" s="9" t="s">
        <v>2116</v>
      </c>
      <c r="T1369" s="9" t="s">
        <v>44</v>
      </c>
    </row>
    <row r="1370" spans="1:20">
      <c r="A1370" s="10">
        <v>1363</v>
      </c>
      <c r="B1370" s="10" t="s">
        <v>1695</v>
      </c>
      <c r="C1370" s="10" t="s">
        <v>1683</v>
      </c>
      <c r="D1370" s="10" t="s">
        <v>655</v>
      </c>
      <c r="E1370" s="10" t="s">
        <v>70</v>
      </c>
      <c r="F1370" s="10" t="s">
        <v>35</v>
      </c>
      <c r="G1370" s="8" t="s">
        <v>41</v>
      </c>
      <c r="H1370" s="12">
        <v>1</v>
      </c>
      <c r="I1370" s="12">
        <v>2</v>
      </c>
      <c r="J1370" s="15">
        <v>16000.0</v>
      </c>
      <c r="K1370" s="15"/>
      <c r="L1370" s="17">
        <f>IF(J1370&gt;0, K1370/J1370, 0)</f>
        <v>0</v>
      </c>
      <c r="M1370" s="15">
        <v>16000.0</v>
      </c>
      <c r="N1370" s="15"/>
      <c r="O1370" s="15">
        <f>M1370-N1370</f>
        <v>16000</v>
      </c>
      <c r="P1370" s="10" t="s">
        <v>42</v>
      </c>
      <c r="Q1370" s="10" t="s">
        <v>73</v>
      </c>
      <c r="R1370" s="10" t="s">
        <v>44</v>
      </c>
      <c r="S1370" s="8" t="s">
        <v>2216</v>
      </c>
      <c r="T1370" s="8" t="s">
        <v>44</v>
      </c>
    </row>
    <row r="1371" spans="1:20">
      <c r="A1371" s="11">
        <v>1364</v>
      </c>
      <c r="B1371" s="11" t="s">
        <v>1696</v>
      </c>
      <c r="C1371" s="11" t="s">
        <v>1683</v>
      </c>
      <c r="D1371" s="11" t="s">
        <v>655</v>
      </c>
      <c r="E1371" s="11" t="s">
        <v>34</v>
      </c>
      <c r="F1371" s="11" t="s">
        <v>35</v>
      </c>
      <c r="G1371" s="9" t="s">
        <v>41</v>
      </c>
      <c r="H1371" s="13">
        <v>1</v>
      </c>
      <c r="I1371" s="13">
        <v>2</v>
      </c>
      <c r="J1371" s="16">
        <v>34000.0</v>
      </c>
      <c r="K1371" s="16"/>
      <c r="L1371" s="18">
        <f>IF(J1371&gt;0, K1371/J1371, 0)</f>
        <v>0</v>
      </c>
      <c r="M1371" s="16">
        <v>34000.0</v>
      </c>
      <c r="N1371" s="16"/>
      <c r="O1371" s="16">
        <f>M1371-N1371</f>
        <v>34000</v>
      </c>
      <c r="P1371" s="11" t="s">
        <v>42</v>
      </c>
      <c r="Q1371" s="11" t="s">
        <v>43</v>
      </c>
      <c r="R1371" s="11" t="s">
        <v>44</v>
      </c>
      <c r="S1371" s="9" t="s">
        <v>2202</v>
      </c>
      <c r="T1371" s="9" t="s">
        <v>44</v>
      </c>
    </row>
    <row r="1372" spans="1:20">
      <c r="A1372" s="10">
        <v>1365</v>
      </c>
      <c r="B1372" s="10" t="s">
        <v>1697</v>
      </c>
      <c r="C1372" s="10" t="s">
        <v>1683</v>
      </c>
      <c r="D1372" s="10" t="s">
        <v>655</v>
      </c>
      <c r="E1372" s="10" t="s">
        <v>34</v>
      </c>
      <c r="F1372" s="10" t="s">
        <v>35</v>
      </c>
      <c r="G1372" s="8" t="s">
        <v>41</v>
      </c>
      <c r="H1372" s="12">
        <v>1</v>
      </c>
      <c r="I1372" s="12">
        <v>3</v>
      </c>
      <c r="J1372" s="15">
        <v>27000.0</v>
      </c>
      <c r="K1372" s="15"/>
      <c r="L1372" s="17">
        <f>IF(J1372&gt;0, K1372/J1372, 0)</f>
        <v>0</v>
      </c>
      <c r="M1372" s="15">
        <v>27000.0</v>
      </c>
      <c r="N1372" s="15"/>
      <c r="O1372" s="15">
        <f>M1372-N1372</f>
        <v>27000</v>
      </c>
      <c r="P1372" s="10" t="s">
        <v>42</v>
      </c>
      <c r="Q1372" s="10" t="s">
        <v>43</v>
      </c>
      <c r="R1372" s="10" t="s">
        <v>44</v>
      </c>
      <c r="S1372" s="8" t="s">
        <v>2224</v>
      </c>
      <c r="T1372" s="8" t="s">
        <v>44</v>
      </c>
    </row>
    <row r="1373" spans="1:20">
      <c r="A1373" s="11">
        <v>1366</v>
      </c>
      <c r="B1373" s="11" t="s">
        <v>1698</v>
      </c>
      <c r="C1373" s="11" t="s">
        <v>1683</v>
      </c>
      <c r="D1373" s="11" t="s">
        <v>655</v>
      </c>
      <c r="E1373" s="11" t="s">
        <v>34</v>
      </c>
      <c r="F1373" s="11" t="s">
        <v>35</v>
      </c>
      <c r="G1373" s="9" t="s">
        <v>41</v>
      </c>
      <c r="H1373" s="13">
        <v>1</v>
      </c>
      <c r="I1373" s="13">
        <v>3</v>
      </c>
      <c r="J1373" s="16">
        <v>24000.0</v>
      </c>
      <c r="K1373" s="16"/>
      <c r="L1373" s="18">
        <f>IF(J1373&gt;0, K1373/J1373, 0)</f>
        <v>0</v>
      </c>
      <c r="M1373" s="16">
        <v>24000.0</v>
      </c>
      <c r="N1373" s="16"/>
      <c r="O1373" s="16">
        <f>M1373-N1373</f>
        <v>24000</v>
      </c>
      <c r="P1373" s="11" t="s">
        <v>42</v>
      </c>
      <c r="Q1373" s="11" t="s">
        <v>43</v>
      </c>
      <c r="R1373" s="11" t="s">
        <v>44</v>
      </c>
      <c r="S1373" s="9" t="s">
        <v>2225</v>
      </c>
      <c r="T1373" s="9" t="s">
        <v>44</v>
      </c>
    </row>
    <row r="1374" spans="1:20">
      <c r="A1374" s="10">
        <v>1367</v>
      </c>
      <c r="B1374" s="10" t="s">
        <v>1699</v>
      </c>
      <c r="C1374" s="10" t="s">
        <v>1683</v>
      </c>
      <c r="D1374" s="10" t="s">
        <v>655</v>
      </c>
      <c r="E1374" s="10" t="s">
        <v>34</v>
      </c>
      <c r="F1374" s="10" t="s">
        <v>35</v>
      </c>
      <c r="G1374" s="8" t="s">
        <v>41</v>
      </c>
      <c r="H1374" s="12">
        <v>1</v>
      </c>
      <c r="I1374" s="12">
        <v>1</v>
      </c>
      <c r="J1374" s="15">
        <v>18000.0</v>
      </c>
      <c r="K1374" s="15"/>
      <c r="L1374" s="17">
        <f>IF(J1374&gt;0, K1374/J1374, 0)</f>
        <v>0</v>
      </c>
      <c r="M1374" s="15">
        <v>18000.0</v>
      </c>
      <c r="N1374" s="15"/>
      <c r="O1374" s="15">
        <f>M1374-N1374</f>
        <v>18000</v>
      </c>
      <c r="P1374" s="10" t="s">
        <v>42</v>
      </c>
      <c r="Q1374" s="10" t="s">
        <v>43</v>
      </c>
      <c r="R1374" s="10" t="s">
        <v>44</v>
      </c>
      <c r="S1374" s="8" t="s">
        <v>2066</v>
      </c>
      <c r="T1374" s="8" t="s">
        <v>44</v>
      </c>
    </row>
    <row r="1375" spans="1:20">
      <c r="A1375" s="11">
        <v>1368</v>
      </c>
      <c r="B1375" s="11" t="s">
        <v>1700</v>
      </c>
      <c r="C1375" s="11" t="s">
        <v>1683</v>
      </c>
      <c r="D1375" s="11" t="s">
        <v>655</v>
      </c>
      <c r="E1375" s="11" t="s">
        <v>34</v>
      </c>
      <c r="F1375" s="11" t="s">
        <v>35</v>
      </c>
      <c r="G1375" s="9" t="s">
        <v>41</v>
      </c>
      <c r="H1375" s="13">
        <v>1</v>
      </c>
      <c r="I1375" s="13">
        <v>3</v>
      </c>
      <c r="J1375" s="16">
        <v>24000.0</v>
      </c>
      <c r="K1375" s="16"/>
      <c r="L1375" s="18">
        <f>IF(J1375&gt;0, K1375/J1375, 0)</f>
        <v>0</v>
      </c>
      <c r="M1375" s="16">
        <v>24000.0</v>
      </c>
      <c r="N1375" s="16"/>
      <c r="O1375" s="16">
        <f>M1375-N1375</f>
        <v>24000</v>
      </c>
      <c r="P1375" s="11" t="s">
        <v>42</v>
      </c>
      <c r="Q1375" s="11" t="s">
        <v>43</v>
      </c>
      <c r="R1375" s="11" t="s">
        <v>44</v>
      </c>
      <c r="S1375" s="9" t="s">
        <v>2226</v>
      </c>
      <c r="T1375" s="9" t="s">
        <v>44</v>
      </c>
    </row>
    <row r="1376" spans="1:20">
      <c r="A1376" s="10">
        <v>1369</v>
      </c>
      <c r="B1376" s="10" t="s">
        <v>1701</v>
      </c>
      <c r="C1376" s="10" t="s">
        <v>1683</v>
      </c>
      <c r="D1376" s="10" t="s">
        <v>655</v>
      </c>
      <c r="E1376" s="10" t="s">
        <v>34</v>
      </c>
      <c r="F1376" s="10" t="s">
        <v>35</v>
      </c>
      <c r="G1376" s="8" t="s">
        <v>41</v>
      </c>
      <c r="H1376" s="12">
        <v>1</v>
      </c>
      <c r="I1376" s="12">
        <v>3</v>
      </c>
      <c r="J1376" s="15">
        <v>21000.0</v>
      </c>
      <c r="K1376" s="15"/>
      <c r="L1376" s="17">
        <f>IF(J1376&gt;0, K1376/J1376, 0)</f>
        <v>0</v>
      </c>
      <c r="M1376" s="15">
        <v>21000.0</v>
      </c>
      <c r="N1376" s="15"/>
      <c r="O1376" s="15">
        <f>M1376-N1376</f>
        <v>21000</v>
      </c>
      <c r="P1376" s="10" t="s">
        <v>42</v>
      </c>
      <c r="Q1376" s="10" t="s">
        <v>43</v>
      </c>
      <c r="R1376" s="10" t="s">
        <v>44</v>
      </c>
      <c r="S1376" s="8" t="s">
        <v>2227</v>
      </c>
      <c r="T1376" s="8" t="s">
        <v>44</v>
      </c>
    </row>
    <row r="1377" spans="1:20">
      <c r="A1377" s="11">
        <v>1370</v>
      </c>
      <c r="B1377" s="11" t="s">
        <v>1702</v>
      </c>
      <c r="C1377" s="11" t="s">
        <v>1683</v>
      </c>
      <c r="D1377" s="11" t="s">
        <v>655</v>
      </c>
      <c r="E1377" s="11" t="s">
        <v>34</v>
      </c>
      <c r="F1377" s="11" t="s">
        <v>35</v>
      </c>
      <c r="G1377" s="9" t="s">
        <v>41</v>
      </c>
      <c r="H1377" s="13">
        <v>1</v>
      </c>
      <c r="I1377" s="13">
        <v>2</v>
      </c>
      <c r="J1377" s="16">
        <v>34000.0</v>
      </c>
      <c r="K1377" s="16"/>
      <c r="L1377" s="18">
        <f>IF(J1377&gt;0, K1377/J1377, 0)</f>
        <v>0</v>
      </c>
      <c r="M1377" s="16">
        <v>34000.0</v>
      </c>
      <c r="N1377" s="16"/>
      <c r="O1377" s="16">
        <f>M1377-N1377</f>
        <v>34000</v>
      </c>
      <c r="P1377" s="11" t="s">
        <v>42</v>
      </c>
      <c r="Q1377" s="11" t="s">
        <v>43</v>
      </c>
      <c r="R1377" s="11" t="s">
        <v>44</v>
      </c>
      <c r="S1377" s="9" t="s">
        <v>2177</v>
      </c>
      <c r="T1377" s="9" t="s">
        <v>44</v>
      </c>
    </row>
    <row r="1378" spans="1:20">
      <c r="A1378" s="10">
        <v>1371</v>
      </c>
      <c r="B1378" s="10" t="s">
        <v>1703</v>
      </c>
      <c r="C1378" s="10" t="s">
        <v>1683</v>
      </c>
      <c r="D1378" s="10" t="s">
        <v>655</v>
      </c>
      <c r="E1378" s="10" t="s">
        <v>70</v>
      </c>
      <c r="F1378" s="10" t="s">
        <v>35</v>
      </c>
      <c r="G1378" s="8" t="s">
        <v>41</v>
      </c>
      <c r="H1378" s="12">
        <v>1</v>
      </c>
      <c r="I1378" s="12">
        <v>3</v>
      </c>
      <c r="J1378" s="15">
        <v>30000.0</v>
      </c>
      <c r="K1378" s="15"/>
      <c r="L1378" s="17">
        <f>IF(J1378&gt;0, K1378/J1378, 0)</f>
        <v>0</v>
      </c>
      <c r="M1378" s="15">
        <v>30000.0</v>
      </c>
      <c r="N1378" s="15"/>
      <c r="O1378" s="15">
        <f>M1378-N1378</f>
        <v>30000</v>
      </c>
      <c r="P1378" s="10" t="s">
        <v>42</v>
      </c>
      <c r="Q1378" s="10" t="s">
        <v>73</v>
      </c>
      <c r="R1378" s="10" t="s">
        <v>44</v>
      </c>
      <c r="S1378" s="8" t="s">
        <v>2228</v>
      </c>
      <c r="T1378" s="8" t="s">
        <v>44</v>
      </c>
    </row>
    <row r="1379" spans="1:20">
      <c r="A1379" s="11">
        <v>1372</v>
      </c>
      <c r="B1379" s="11" t="s">
        <v>1704</v>
      </c>
      <c r="C1379" s="11" t="s">
        <v>1683</v>
      </c>
      <c r="D1379" s="11" t="s">
        <v>655</v>
      </c>
      <c r="E1379" s="11" t="s">
        <v>34</v>
      </c>
      <c r="F1379" s="11" t="s">
        <v>35</v>
      </c>
      <c r="G1379" s="9" t="s">
        <v>41</v>
      </c>
      <c r="H1379" s="13">
        <v>1</v>
      </c>
      <c r="I1379" s="13">
        <v>2</v>
      </c>
      <c r="J1379" s="16">
        <v>14000.0</v>
      </c>
      <c r="K1379" s="16"/>
      <c r="L1379" s="18">
        <f>IF(J1379&gt;0, K1379/J1379, 0)</f>
        <v>0</v>
      </c>
      <c r="M1379" s="16">
        <v>14000.0</v>
      </c>
      <c r="N1379" s="16"/>
      <c r="O1379" s="16">
        <f>M1379-N1379</f>
        <v>14000</v>
      </c>
      <c r="P1379" s="11" t="s">
        <v>42</v>
      </c>
      <c r="Q1379" s="11" t="s">
        <v>43</v>
      </c>
      <c r="R1379" s="11" t="s">
        <v>44</v>
      </c>
      <c r="S1379" s="9" t="s">
        <v>2229</v>
      </c>
      <c r="T1379" s="9" t="s">
        <v>44</v>
      </c>
    </row>
    <row r="1380" spans="1:20">
      <c r="A1380" s="10">
        <v>1373</v>
      </c>
      <c r="B1380" s="10" t="s">
        <v>1705</v>
      </c>
      <c r="C1380" s="10" t="s">
        <v>1683</v>
      </c>
      <c r="D1380" s="10" t="s">
        <v>655</v>
      </c>
      <c r="E1380" s="10" t="s">
        <v>34</v>
      </c>
      <c r="F1380" s="10" t="s">
        <v>35</v>
      </c>
      <c r="G1380" s="8" t="s">
        <v>41</v>
      </c>
      <c r="H1380" s="12">
        <v>1</v>
      </c>
      <c r="I1380" s="12">
        <v>1</v>
      </c>
      <c r="J1380" s="15">
        <v>18000.0</v>
      </c>
      <c r="K1380" s="15"/>
      <c r="L1380" s="17">
        <f>IF(J1380&gt;0, K1380/J1380, 0)</f>
        <v>0</v>
      </c>
      <c r="M1380" s="15">
        <v>18000.0</v>
      </c>
      <c r="N1380" s="15"/>
      <c r="O1380" s="15">
        <f>M1380-N1380</f>
        <v>18000</v>
      </c>
      <c r="P1380" s="10" t="s">
        <v>42</v>
      </c>
      <c r="Q1380" s="10" t="s">
        <v>43</v>
      </c>
      <c r="R1380" s="10" t="s">
        <v>44</v>
      </c>
      <c r="S1380" s="8" t="s">
        <v>2049</v>
      </c>
      <c r="T1380" s="8" t="s">
        <v>44</v>
      </c>
    </row>
    <row r="1381" spans="1:20">
      <c r="A1381" s="11">
        <v>1374</v>
      </c>
      <c r="B1381" s="11" t="s">
        <v>1706</v>
      </c>
      <c r="C1381" s="11" t="s">
        <v>1683</v>
      </c>
      <c r="D1381" s="11" t="s">
        <v>655</v>
      </c>
      <c r="E1381" s="11" t="s">
        <v>34</v>
      </c>
      <c r="F1381" s="11" t="s">
        <v>35</v>
      </c>
      <c r="G1381" s="9" t="s">
        <v>41</v>
      </c>
      <c r="H1381" s="13">
        <v>1</v>
      </c>
      <c r="I1381" s="13">
        <v>3</v>
      </c>
      <c r="J1381" s="16">
        <v>24000.0</v>
      </c>
      <c r="K1381" s="16"/>
      <c r="L1381" s="18">
        <f>IF(J1381&gt;0, K1381/J1381, 0)</f>
        <v>0</v>
      </c>
      <c r="M1381" s="16">
        <v>24000.0</v>
      </c>
      <c r="N1381" s="16"/>
      <c r="O1381" s="16">
        <f>M1381-N1381</f>
        <v>24000</v>
      </c>
      <c r="P1381" s="11" t="s">
        <v>42</v>
      </c>
      <c r="Q1381" s="11" t="s">
        <v>43</v>
      </c>
      <c r="R1381" s="11" t="s">
        <v>44</v>
      </c>
      <c r="S1381" s="9" t="s">
        <v>2230</v>
      </c>
      <c r="T1381" s="9" t="s">
        <v>44</v>
      </c>
    </row>
    <row r="1382" spans="1:20">
      <c r="A1382" s="10">
        <v>1375</v>
      </c>
      <c r="B1382" s="10" t="s">
        <v>1707</v>
      </c>
      <c r="C1382" s="10" t="s">
        <v>1683</v>
      </c>
      <c r="D1382" s="10" t="s">
        <v>655</v>
      </c>
      <c r="E1382" s="10" t="s">
        <v>34</v>
      </c>
      <c r="F1382" s="10" t="s">
        <v>35</v>
      </c>
      <c r="G1382" s="8" t="s">
        <v>41</v>
      </c>
      <c r="H1382" s="12">
        <v>1</v>
      </c>
      <c r="I1382" s="12">
        <v>3</v>
      </c>
      <c r="J1382" s="15">
        <v>24000.0</v>
      </c>
      <c r="K1382" s="15"/>
      <c r="L1382" s="17">
        <f>IF(J1382&gt;0, K1382/J1382, 0)</f>
        <v>0</v>
      </c>
      <c r="M1382" s="15">
        <v>24000.0</v>
      </c>
      <c r="N1382" s="15"/>
      <c r="O1382" s="15">
        <f>M1382-N1382</f>
        <v>24000</v>
      </c>
      <c r="P1382" s="10" t="s">
        <v>42</v>
      </c>
      <c r="Q1382" s="10" t="s">
        <v>43</v>
      </c>
      <c r="R1382" s="10" t="s">
        <v>44</v>
      </c>
      <c r="S1382" s="8" t="s">
        <v>2190</v>
      </c>
      <c r="T1382" s="8" t="s">
        <v>44</v>
      </c>
    </row>
    <row r="1383" spans="1:20">
      <c r="A1383" s="11">
        <v>1376</v>
      </c>
      <c r="B1383" s="11" t="s">
        <v>1708</v>
      </c>
      <c r="C1383" s="11" t="s">
        <v>1683</v>
      </c>
      <c r="D1383" s="11" t="s">
        <v>655</v>
      </c>
      <c r="E1383" s="11" t="s">
        <v>34</v>
      </c>
      <c r="F1383" s="11" t="s">
        <v>35</v>
      </c>
      <c r="G1383" s="9" t="s">
        <v>41</v>
      </c>
      <c r="H1383" s="13">
        <v>1</v>
      </c>
      <c r="I1383" s="13">
        <v>3</v>
      </c>
      <c r="J1383" s="16">
        <v>21000.0</v>
      </c>
      <c r="K1383" s="16"/>
      <c r="L1383" s="18">
        <f>IF(J1383&gt;0, K1383/J1383, 0)</f>
        <v>0</v>
      </c>
      <c r="M1383" s="16">
        <v>21000.0</v>
      </c>
      <c r="N1383" s="16"/>
      <c r="O1383" s="16">
        <f>M1383-N1383</f>
        <v>21000</v>
      </c>
      <c r="P1383" s="11" t="s">
        <v>42</v>
      </c>
      <c r="Q1383" s="11" t="s">
        <v>43</v>
      </c>
      <c r="R1383" s="11" t="s">
        <v>44</v>
      </c>
      <c r="S1383" s="9" t="s">
        <v>2096</v>
      </c>
      <c r="T1383" s="9" t="s">
        <v>44</v>
      </c>
    </row>
    <row r="1384" spans="1:20">
      <c r="A1384" s="10">
        <v>1377</v>
      </c>
      <c r="B1384" s="10" t="s">
        <v>1709</v>
      </c>
      <c r="C1384" s="10" t="s">
        <v>1683</v>
      </c>
      <c r="D1384" s="10" t="s">
        <v>655</v>
      </c>
      <c r="E1384" s="10" t="s">
        <v>34</v>
      </c>
      <c r="F1384" s="10" t="s">
        <v>35</v>
      </c>
      <c r="G1384" s="8" t="s">
        <v>41</v>
      </c>
      <c r="H1384" s="12">
        <v>1</v>
      </c>
      <c r="I1384" s="12">
        <v>1</v>
      </c>
      <c r="J1384" s="15">
        <v>7000.0</v>
      </c>
      <c r="K1384" s="15"/>
      <c r="L1384" s="17">
        <f>IF(J1384&gt;0, K1384/J1384, 0)</f>
        <v>0</v>
      </c>
      <c r="M1384" s="15">
        <v>7000.0</v>
      </c>
      <c r="N1384" s="15"/>
      <c r="O1384" s="15">
        <f>M1384-N1384</f>
        <v>7000</v>
      </c>
      <c r="P1384" s="10" t="s">
        <v>42</v>
      </c>
      <c r="Q1384" s="10" t="s">
        <v>43</v>
      </c>
      <c r="R1384" s="10" t="s">
        <v>44</v>
      </c>
      <c r="S1384" s="8" t="s">
        <v>2142</v>
      </c>
      <c r="T1384" s="8" t="s">
        <v>44</v>
      </c>
    </row>
    <row r="1385" spans="1:20">
      <c r="A1385" s="11">
        <v>1378</v>
      </c>
      <c r="B1385" s="11" t="s">
        <v>1710</v>
      </c>
      <c r="C1385" s="11" t="s">
        <v>1683</v>
      </c>
      <c r="D1385" s="11" t="s">
        <v>655</v>
      </c>
      <c r="E1385" s="11" t="s">
        <v>34</v>
      </c>
      <c r="F1385" s="11" t="s">
        <v>35</v>
      </c>
      <c r="G1385" s="9" t="s">
        <v>41</v>
      </c>
      <c r="H1385" s="13">
        <v>1</v>
      </c>
      <c r="I1385" s="13">
        <v>1</v>
      </c>
      <c r="J1385" s="16">
        <v>8000.0</v>
      </c>
      <c r="K1385" s="16"/>
      <c r="L1385" s="18">
        <f>IF(J1385&gt;0, K1385/J1385, 0)</f>
        <v>0</v>
      </c>
      <c r="M1385" s="16">
        <v>8000.0</v>
      </c>
      <c r="N1385" s="16"/>
      <c r="O1385" s="16">
        <f>M1385-N1385</f>
        <v>8000</v>
      </c>
      <c r="P1385" s="11" t="s">
        <v>42</v>
      </c>
      <c r="Q1385" s="11" t="s">
        <v>43</v>
      </c>
      <c r="R1385" s="11" t="s">
        <v>44</v>
      </c>
      <c r="S1385" s="9" t="s">
        <v>2106</v>
      </c>
      <c r="T1385" s="9" t="s">
        <v>44</v>
      </c>
    </row>
    <row r="1386" spans="1:20">
      <c r="A1386" s="10">
        <v>1379</v>
      </c>
      <c r="B1386" s="10" t="s">
        <v>1711</v>
      </c>
      <c r="C1386" s="10" t="s">
        <v>1683</v>
      </c>
      <c r="D1386" s="10" t="s">
        <v>655</v>
      </c>
      <c r="E1386" s="10" t="s">
        <v>34</v>
      </c>
      <c r="F1386" s="10" t="s">
        <v>35</v>
      </c>
      <c r="G1386" s="8" t="s">
        <v>41</v>
      </c>
      <c r="H1386" s="12">
        <v>1</v>
      </c>
      <c r="I1386" s="12">
        <v>1</v>
      </c>
      <c r="J1386" s="15">
        <v>7000.0</v>
      </c>
      <c r="K1386" s="15"/>
      <c r="L1386" s="17">
        <f>IF(J1386&gt;0, K1386/J1386, 0)</f>
        <v>0</v>
      </c>
      <c r="M1386" s="15">
        <v>7000.0</v>
      </c>
      <c r="N1386" s="15"/>
      <c r="O1386" s="15">
        <f>M1386-N1386</f>
        <v>7000</v>
      </c>
      <c r="P1386" s="10" t="s">
        <v>42</v>
      </c>
      <c r="Q1386" s="10" t="s">
        <v>43</v>
      </c>
      <c r="R1386" s="10" t="s">
        <v>44</v>
      </c>
      <c r="S1386" s="8" t="s">
        <v>2088</v>
      </c>
      <c r="T1386" s="8" t="s">
        <v>44</v>
      </c>
    </row>
    <row r="1387" spans="1:20">
      <c r="A1387" s="11">
        <v>1380</v>
      </c>
      <c r="B1387" s="11" t="s">
        <v>1712</v>
      </c>
      <c r="C1387" s="11" t="s">
        <v>1683</v>
      </c>
      <c r="D1387" s="11" t="s">
        <v>655</v>
      </c>
      <c r="E1387" s="11" t="s">
        <v>34</v>
      </c>
      <c r="F1387" s="11" t="s">
        <v>35</v>
      </c>
      <c r="G1387" s="9" t="s">
        <v>41</v>
      </c>
      <c r="H1387" s="13">
        <v>1</v>
      </c>
      <c r="I1387" s="13">
        <v>1</v>
      </c>
      <c r="J1387" s="16">
        <v>18000.0</v>
      </c>
      <c r="K1387" s="16"/>
      <c r="L1387" s="18">
        <f>IF(J1387&gt;0, K1387/J1387, 0)</f>
        <v>0</v>
      </c>
      <c r="M1387" s="16">
        <v>18000.0</v>
      </c>
      <c r="N1387" s="16"/>
      <c r="O1387" s="16">
        <f>M1387-N1387</f>
        <v>18000</v>
      </c>
      <c r="P1387" s="11" t="s">
        <v>42</v>
      </c>
      <c r="Q1387" s="11" t="s">
        <v>43</v>
      </c>
      <c r="R1387" s="11" t="s">
        <v>44</v>
      </c>
      <c r="S1387" s="9" t="s">
        <v>2141</v>
      </c>
      <c r="T1387" s="9" t="s">
        <v>44</v>
      </c>
    </row>
    <row r="1388" spans="1:20">
      <c r="A1388" s="10">
        <v>1381</v>
      </c>
      <c r="B1388" s="10" t="s">
        <v>1713</v>
      </c>
      <c r="C1388" s="10" t="s">
        <v>1683</v>
      </c>
      <c r="D1388" s="10" t="s">
        <v>655</v>
      </c>
      <c r="E1388" s="10" t="s">
        <v>34</v>
      </c>
      <c r="F1388" s="10" t="s">
        <v>35</v>
      </c>
      <c r="G1388" s="8" t="s">
        <v>41</v>
      </c>
      <c r="H1388" s="12">
        <v>1</v>
      </c>
      <c r="I1388" s="12">
        <v>1</v>
      </c>
      <c r="J1388" s="15">
        <v>16000.0</v>
      </c>
      <c r="K1388" s="15"/>
      <c r="L1388" s="17">
        <f>IF(J1388&gt;0, K1388/J1388, 0)</f>
        <v>0</v>
      </c>
      <c r="M1388" s="15">
        <v>16000.0</v>
      </c>
      <c r="N1388" s="15"/>
      <c r="O1388" s="15">
        <f>M1388-N1388</f>
        <v>16000</v>
      </c>
      <c r="P1388" s="10" t="s">
        <v>42</v>
      </c>
      <c r="Q1388" s="10" t="s">
        <v>43</v>
      </c>
      <c r="R1388" s="10" t="s">
        <v>44</v>
      </c>
      <c r="S1388" s="8" t="s">
        <v>2032</v>
      </c>
      <c r="T1388" s="8" t="s">
        <v>44</v>
      </c>
    </row>
    <row r="1389" spans="1:20">
      <c r="A1389" s="11">
        <v>1382</v>
      </c>
      <c r="B1389" s="11" t="s">
        <v>1714</v>
      </c>
      <c r="C1389" s="11" t="s">
        <v>1683</v>
      </c>
      <c r="D1389" s="11" t="s">
        <v>655</v>
      </c>
      <c r="E1389" s="11" t="s">
        <v>34</v>
      </c>
      <c r="F1389" s="11" t="s">
        <v>35</v>
      </c>
      <c r="G1389" s="9" t="s">
        <v>41</v>
      </c>
      <c r="H1389" s="13">
        <v>1</v>
      </c>
      <c r="I1389" s="13">
        <v>1</v>
      </c>
      <c r="J1389" s="16">
        <v>7000.0</v>
      </c>
      <c r="K1389" s="16"/>
      <c r="L1389" s="18">
        <f>IF(J1389&gt;0, K1389/J1389, 0)</f>
        <v>0</v>
      </c>
      <c r="M1389" s="16">
        <v>7000.0</v>
      </c>
      <c r="N1389" s="16"/>
      <c r="O1389" s="16">
        <f>M1389-N1389</f>
        <v>7000</v>
      </c>
      <c r="P1389" s="11" t="s">
        <v>42</v>
      </c>
      <c r="Q1389" s="11" t="s">
        <v>43</v>
      </c>
      <c r="R1389" s="11" t="s">
        <v>44</v>
      </c>
      <c r="S1389" s="9" t="s">
        <v>2038</v>
      </c>
      <c r="T1389" s="9" t="s">
        <v>44</v>
      </c>
    </row>
    <row r="1390" spans="1:20">
      <c r="A1390" s="10">
        <v>1383</v>
      </c>
      <c r="B1390" s="10" t="s">
        <v>1715</v>
      </c>
      <c r="C1390" s="10" t="s">
        <v>1683</v>
      </c>
      <c r="D1390" s="10" t="s">
        <v>655</v>
      </c>
      <c r="E1390" s="10" t="s">
        <v>34</v>
      </c>
      <c r="F1390" s="10" t="s">
        <v>35</v>
      </c>
      <c r="G1390" s="8" t="s">
        <v>41</v>
      </c>
      <c r="H1390" s="12">
        <v>1</v>
      </c>
      <c r="I1390" s="12">
        <v>1</v>
      </c>
      <c r="J1390" s="15">
        <v>18000.0</v>
      </c>
      <c r="K1390" s="15"/>
      <c r="L1390" s="17">
        <f>IF(J1390&gt;0, K1390/J1390, 0)</f>
        <v>0</v>
      </c>
      <c r="M1390" s="15">
        <v>18000.0</v>
      </c>
      <c r="N1390" s="15"/>
      <c r="O1390" s="15">
        <f>M1390-N1390</f>
        <v>18000</v>
      </c>
      <c r="P1390" s="10" t="s">
        <v>42</v>
      </c>
      <c r="Q1390" s="10" t="s">
        <v>43</v>
      </c>
      <c r="R1390" s="10" t="s">
        <v>44</v>
      </c>
      <c r="S1390" s="8" t="s">
        <v>2170</v>
      </c>
      <c r="T1390" s="8" t="s">
        <v>44</v>
      </c>
    </row>
    <row r="1391" spans="1:20">
      <c r="A1391" s="11">
        <v>1384</v>
      </c>
      <c r="B1391" s="11" t="s">
        <v>1716</v>
      </c>
      <c r="C1391" s="11" t="s">
        <v>1683</v>
      </c>
      <c r="D1391" s="11" t="s">
        <v>655</v>
      </c>
      <c r="E1391" s="11" t="s">
        <v>34</v>
      </c>
      <c r="F1391" s="11" t="s">
        <v>35</v>
      </c>
      <c r="G1391" s="9" t="s">
        <v>41</v>
      </c>
      <c r="H1391" s="13">
        <v>1</v>
      </c>
      <c r="I1391" s="13">
        <v>1</v>
      </c>
      <c r="J1391" s="16">
        <v>9500.0</v>
      </c>
      <c r="K1391" s="16"/>
      <c r="L1391" s="18">
        <f>IF(J1391&gt;0, K1391/J1391, 0)</f>
        <v>0</v>
      </c>
      <c r="M1391" s="16">
        <v>9500.0</v>
      </c>
      <c r="N1391" s="16"/>
      <c r="O1391" s="16">
        <f>M1391-N1391</f>
        <v>9500</v>
      </c>
      <c r="P1391" s="11" t="s">
        <v>42</v>
      </c>
      <c r="Q1391" s="11" t="s">
        <v>43</v>
      </c>
      <c r="R1391" s="11" t="s">
        <v>44</v>
      </c>
      <c r="S1391" s="9" t="s">
        <v>2162</v>
      </c>
      <c r="T1391" s="9" t="s">
        <v>44</v>
      </c>
    </row>
    <row r="1392" spans="1:20">
      <c r="A1392" s="10">
        <v>1385</v>
      </c>
      <c r="B1392" s="10" t="s">
        <v>1717</v>
      </c>
      <c r="C1392" s="10" t="s">
        <v>1683</v>
      </c>
      <c r="D1392" s="10" t="s">
        <v>655</v>
      </c>
      <c r="E1392" s="10" t="s">
        <v>34</v>
      </c>
      <c r="F1392" s="10" t="s">
        <v>35</v>
      </c>
      <c r="G1392" s="8" t="s">
        <v>41</v>
      </c>
      <c r="H1392" s="12">
        <v>1</v>
      </c>
      <c r="I1392" s="12">
        <v>1</v>
      </c>
      <c r="J1392" s="15">
        <v>7500.0</v>
      </c>
      <c r="K1392" s="15"/>
      <c r="L1392" s="17">
        <f>IF(J1392&gt;0, K1392/J1392, 0)</f>
        <v>0</v>
      </c>
      <c r="M1392" s="15">
        <v>7500.0</v>
      </c>
      <c r="N1392" s="15"/>
      <c r="O1392" s="15">
        <f>M1392-N1392</f>
        <v>7500</v>
      </c>
      <c r="P1392" s="10" t="s">
        <v>42</v>
      </c>
      <c r="Q1392" s="10" t="s">
        <v>43</v>
      </c>
      <c r="R1392" s="10" t="s">
        <v>44</v>
      </c>
      <c r="S1392" s="8" t="s">
        <v>2151</v>
      </c>
      <c r="T1392" s="8" t="s">
        <v>44</v>
      </c>
    </row>
    <row r="1393" spans="1:20">
      <c r="A1393" s="11">
        <v>1386</v>
      </c>
      <c r="B1393" s="11" t="s">
        <v>1718</v>
      </c>
      <c r="C1393" s="11" t="s">
        <v>1683</v>
      </c>
      <c r="D1393" s="11" t="s">
        <v>655</v>
      </c>
      <c r="E1393" s="11" t="s">
        <v>34</v>
      </c>
      <c r="F1393" s="11" t="s">
        <v>35</v>
      </c>
      <c r="G1393" s="9" t="s">
        <v>41</v>
      </c>
      <c r="H1393" s="13">
        <v>1</v>
      </c>
      <c r="I1393" s="13">
        <v>1</v>
      </c>
      <c r="J1393" s="16">
        <v>16500.0</v>
      </c>
      <c r="K1393" s="16"/>
      <c r="L1393" s="18">
        <f>IF(J1393&gt;0, K1393/J1393, 0)</f>
        <v>0</v>
      </c>
      <c r="M1393" s="16">
        <v>16500.0</v>
      </c>
      <c r="N1393" s="16"/>
      <c r="O1393" s="16">
        <f>M1393-N1393</f>
        <v>16500</v>
      </c>
      <c r="P1393" s="11" t="s">
        <v>42</v>
      </c>
      <c r="Q1393" s="11" t="s">
        <v>43</v>
      </c>
      <c r="R1393" s="11" t="s">
        <v>44</v>
      </c>
      <c r="S1393" s="9" t="s">
        <v>2175</v>
      </c>
      <c r="T1393" s="9" t="s">
        <v>44</v>
      </c>
    </row>
    <row r="1394" spans="1:20">
      <c r="A1394" s="10">
        <v>1387</v>
      </c>
      <c r="B1394" s="10" t="s">
        <v>1719</v>
      </c>
      <c r="C1394" s="10" t="s">
        <v>1683</v>
      </c>
      <c r="D1394" s="10" t="s">
        <v>655</v>
      </c>
      <c r="E1394" s="10" t="s">
        <v>34</v>
      </c>
      <c r="F1394" s="10" t="s">
        <v>35</v>
      </c>
      <c r="G1394" s="8" t="s">
        <v>41</v>
      </c>
      <c r="H1394" s="12">
        <v>1</v>
      </c>
      <c r="I1394" s="12">
        <v>1</v>
      </c>
      <c r="J1394" s="15">
        <v>8500.0</v>
      </c>
      <c r="K1394" s="15"/>
      <c r="L1394" s="17">
        <f>IF(J1394&gt;0, K1394/J1394, 0)</f>
        <v>0</v>
      </c>
      <c r="M1394" s="15">
        <v>8500.0</v>
      </c>
      <c r="N1394" s="15"/>
      <c r="O1394" s="15">
        <f>M1394-N1394</f>
        <v>8500</v>
      </c>
      <c r="P1394" s="10" t="s">
        <v>42</v>
      </c>
      <c r="Q1394" s="10" t="s">
        <v>43</v>
      </c>
      <c r="R1394" s="10" t="s">
        <v>44</v>
      </c>
      <c r="S1394" s="8" t="s">
        <v>2103</v>
      </c>
      <c r="T1394" s="8" t="s">
        <v>44</v>
      </c>
    </row>
    <row r="1395" spans="1:20">
      <c r="A1395" s="11">
        <v>1388</v>
      </c>
      <c r="B1395" s="11" t="s">
        <v>1720</v>
      </c>
      <c r="C1395" s="11" t="s">
        <v>1683</v>
      </c>
      <c r="D1395" s="11" t="s">
        <v>655</v>
      </c>
      <c r="E1395" s="11" t="s">
        <v>34</v>
      </c>
      <c r="F1395" s="11" t="s">
        <v>35</v>
      </c>
      <c r="G1395" s="9" t="s">
        <v>41</v>
      </c>
      <c r="H1395" s="13">
        <v>1</v>
      </c>
      <c r="I1395" s="13">
        <v>1</v>
      </c>
      <c r="J1395" s="16">
        <v>9000.0</v>
      </c>
      <c r="K1395" s="16"/>
      <c r="L1395" s="18">
        <f>IF(J1395&gt;0, K1395/J1395, 0)</f>
        <v>0</v>
      </c>
      <c r="M1395" s="16">
        <v>9000.0</v>
      </c>
      <c r="N1395" s="16"/>
      <c r="O1395" s="16">
        <f>M1395-N1395</f>
        <v>9000</v>
      </c>
      <c r="P1395" s="11" t="s">
        <v>42</v>
      </c>
      <c r="Q1395" s="11" t="s">
        <v>43</v>
      </c>
      <c r="R1395" s="11" t="s">
        <v>44</v>
      </c>
      <c r="S1395" s="9" t="s">
        <v>2109</v>
      </c>
      <c r="T1395" s="9" t="s">
        <v>44</v>
      </c>
    </row>
    <row r="1396" spans="1:20">
      <c r="A1396" s="10">
        <v>1389</v>
      </c>
      <c r="B1396" s="10" t="s">
        <v>1721</v>
      </c>
      <c r="C1396" s="10" t="s">
        <v>1683</v>
      </c>
      <c r="D1396" s="10" t="s">
        <v>655</v>
      </c>
      <c r="E1396" s="10" t="s">
        <v>34</v>
      </c>
      <c r="F1396" s="10" t="s">
        <v>35</v>
      </c>
      <c r="G1396" s="8" t="s">
        <v>41</v>
      </c>
      <c r="H1396" s="12">
        <v>1</v>
      </c>
      <c r="I1396" s="12">
        <v>1</v>
      </c>
      <c r="J1396" s="15">
        <v>8000.0</v>
      </c>
      <c r="K1396" s="15"/>
      <c r="L1396" s="17">
        <f>IF(J1396&gt;0, K1396/J1396, 0)</f>
        <v>0</v>
      </c>
      <c r="M1396" s="15">
        <v>8000.0</v>
      </c>
      <c r="N1396" s="15"/>
      <c r="O1396" s="15">
        <f>M1396-N1396</f>
        <v>8000</v>
      </c>
      <c r="P1396" s="10" t="s">
        <v>42</v>
      </c>
      <c r="Q1396" s="10" t="s">
        <v>43</v>
      </c>
      <c r="R1396" s="10" t="s">
        <v>44</v>
      </c>
      <c r="S1396" s="8" t="s">
        <v>2105</v>
      </c>
      <c r="T1396" s="8" t="s">
        <v>44</v>
      </c>
    </row>
    <row r="1397" spans="1:20">
      <c r="A1397" s="11">
        <v>1390</v>
      </c>
      <c r="B1397" s="11" t="s">
        <v>1722</v>
      </c>
      <c r="C1397" s="11" t="s">
        <v>1723</v>
      </c>
      <c r="D1397" s="11" t="s">
        <v>655</v>
      </c>
      <c r="E1397" s="11" t="s">
        <v>34</v>
      </c>
      <c r="F1397" s="11" t="s">
        <v>35</v>
      </c>
      <c r="G1397" s="9" t="s">
        <v>41</v>
      </c>
      <c r="H1397" s="13">
        <v>1</v>
      </c>
      <c r="I1397" s="13">
        <v>1</v>
      </c>
      <c r="J1397" s="16">
        <v>17000.0</v>
      </c>
      <c r="K1397" s="16"/>
      <c r="L1397" s="18">
        <f>IF(J1397&gt;0, K1397/J1397, 0)</f>
        <v>0</v>
      </c>
      <c r="M1397" s="16">
        <v>17000.0</v>
      </c>
      <c r="N1397" s="16"/>
      <c r="O1397" s="16">
        <f>M1397-N1397</f>
        <v>17000</v>
      </c>
      <c r="P1397" s="11" t="s">
        <v>42</v>
      </c>
      <c r="Q1397" s="11" t="s">
        <v>43</v>
      </c>
      <c r="R1397" s="11" t="s">
        <v>44</v>
      </c>
      <c r="S1397" s="9" t="s">
        <v>2073</v>
      </c>
      <c r="T1397" s="9" t="s">
        <v>44</v>
      </c>
    </row>
    <row r="1398" spans="1:20">
      <c r="A1398" s="10">
        <v>1391</v>
      </c>
      <c r="B1398" s="10" t="s">
        <v>1724</v>
      </c>
      <c r="C1398" s="10" t="s">
        <v>1723</v>
      </c>
      <c r="D1398" s="10" t="s">
        <v>655</v>
      </c>
      <c r="E1398" s="10" t="s">
        <v>34</v>
      </c>
      <c r="F1398" s="10" t="s">
        <v>35</v>
      </c>
      <c r="G1398" s="8" t="s">
        <v>41</v>
      </c>
      <c r="H1398" s="12">
        <v>1</v>
      </c>
      <c r="I1398" s="12">
        <v>1</v>
      </c>
      <c r="J1398" s="15">
        <v>8000.0</v>
      </c>
      <c r="K1398" s="15"/>
      <c r="L1398" s="17">
        <f>IF(J1398&gt;0, K1398/J1398, 0)</f>
        <v>0</v>
      </c>
      <c r="M1398" s="15">
        <v>8000.0</v>
      </c>
      <c r="N1398" s="15"/>
      <c r="O1398" s="15">
        <f>M1398-N1398</f>
        <v>8000</v>
      </c>
      <c r="P1398" s="10" t="s">
        <v>42</v>
      </c>
      <c r="Q1398" s="10" t="s">
        <v>43</v>
      </c>
      <c r="R1398" s="10" t="s">
        <v>44</v>
      </c>
      <c r="S1398" s="8" t="s">
        <v>2062</v>
      </c>
      <c r="T1398" s="8" t="s">
        <v>44</v>
      </c>
    </row>
    <row r="1399" spans="1:20">
      <c r="A1399" s="11">
        <v>1392</v>
      </c>
      <c r="B1399" s="11" t="s">
        <v>1725</v>
      </c>
      <c r="C1399" s="11" t="s">
        <v>1723</v>
      </c>
      <c r="D1399" s="11" t="s">
        <v>655</v>
      </c>
      <c r="E1399" s="11" t="s">
        <v>34</v>
      </c>
      <c r="F1399" s="11" t="s">
        <v>35</v>
      </c>
      <c r="G1399" s="9" t="s">
        <v>41</v>
      </c>
      <c r="H1399" s="13">
        <v>1</v>
      </c>
      <c r="I1399" s="13">
        <v>1</v>
      </c>
      <c r="J1399" s="16">
        <v>8000.0</v>
      </c>
      <c r="K1399" s="16"/>
      <c r="L1399" s="18">
        <f>IF(J1399&gt;0, K1399/J1399, 0)</f>
        <v>0</v>
      </c>
      <c r="M1399" s="16">
        <v>8000.0</v>
      </c>
      <c r="N1399" s="16"/>
      <c r="O1399" s="16">
        <f>M1399-N1399</f>
        <v>8000</v>
      </c>
      <c r="P1399" s="11" t="s">
        <v>42</v>
      </c>
      <c r="Q1399" s="11" t="s">
        <v>43</v>
      </c>
      <c r="R1399" s="11" t="s">
        <v>44</v>
      </c>
      <c r="S1399" s="9" t="s">
        <v>2051</v>
      </c>
      <c r="T1399" s="9" t="s">
        <v>44</v>
      </c>
    </row>
    <row r="1400" spans="1:20">
      <c r="A1400" s="10">
        <v>1393</v>
      </c>
      <c r="B1400" s="10" t="s">
        <v>1726</v>
      </c>
      <c r="C1400" s="10" t="s">
        <v>1723</v>
      </c>
      <c r="D1400" s="10" t="s">
        <v>655</v>
      </c>
      <c r="E1400" s="10" t="s">
        <v>34</v>
      </c>
      <c r="F1400" s="10" t="s">
        <v>35</v>
      </c>
      <c r="G1400" s="8" t="s">
        <v>41</v>
      </c>
      <c r="H1400" s="12">
        <v>1</v>
      </c>
      <c r="I1400" s="12">
        <v>1</v>
      </c>
      <c r="J1400" s="15">
        <v>7000.0</v>
      </c>
      <c r="K1400" s="15"/>
      <c r="L1400" s="17">
        <f>IF(J1400&gt;0, K1400/J1400, 0)</f>
        <v>0</v>
      </c>
      <c r="M1400" s="15">
        <v>7000.0</v>
      </c>
      <c r="N1400" s="15"/>
      <c r="O1400" s="15">
        <f>M1400-N1400</f>
        <v>7000</v>
      </c>
      <c r="P1400" s="10" t="s">
        <v>42</v>
      </c>
      <c r="Q1400" s="10" t="s">
        <v>43</v>
      </c>
      <c r="R1400" s="10" t="s">
        <v>44</v>
      </c>
      <c r="S1400" s="8" t="s">
        <v>2101</v>
      </c>
      <c r="T1400" s="8" t="s">
        <v>44</v>
      </c>
    </row>
    <row r="1401" spans="1:20">
      <c r="A1401" s="11">
        <v>1394</v>
      </c>
      <c r="B1401" s="11" t="s">
        <v>1727</v>
      </c>
      <c r="C1401" s="11" t="s">
        <v>1723</v>
      </c>
      <c r="D1401" s="11" t="s">
        <v>655</v>
      </c>
      <c r="E1401" s="11" t="s">
        <v>34</v>
      </c>
      <c r="F1401" s="11" t="s">
        <v>35</v>
      </c>
      <c r="G1401" s="9" t="s">
        <v>41</v>
      </c>
      <c r="H1401" s="13">
        <v>1</v>
      </c>
      <c r="I1401" s="13">
        <v>1</v>
      </c>
      <c r="J1401" s="16">
        <v>8000.0</v>
      </c>
      <c r="K1401" s="16"/>
      <c r="L1401" s="18">
        <f>IF(J1401&gt;0, K1401/J1401, 0)</f>
        <v>0</v>
      </c>
      <c r="M1401" s="16">
        <v>8000.0</v>
      </c>
      <c r="N1401" s="16"/>
      <c r="O1401" s="16">
        <f>M1401-N1401</f>
        <v>8000</v>
      </c>
      <c r="P1401" s="11" t="s">
        <v>42</v>
      </c>
      <c r="Q1401" s="11" t="s">
        <v>43</v>
      </c>
      <c r="R1401" s="11" t="s">
        <v>44</v>
      </c>
      <c r="S1401" s="9" t="s">
        <v>2024</v>
      </c>
      <c r="T1401" s="9" t="s">
        <v>44</v>
      </c>
    </row>
    <row r="1402" spans="1:20">
      <c r="A1402" s="10">
        <v>1395</v>
      </c>
      <c r="B1402" s="10" t="s">
        <v>1728</v>
      </c>
      <c r="C1402" s="10" t="s">
        <v>1723</v>
      </c>
      <c r="D1402" s="10" t="s">
        <v>655</v>
      </c>
      <c r="E1402" s="10" t="s">
        <v>34</v>
      </c>
      <c r="F1402" s="10" t="s">
        <v>35</v>
      </c>
      <c r="G1402" s="8" t="s">
        <v>41</v>
      </c>
      <c r="H1402" s="12">
        <v>1</v>
      </c>
      <c r="I1402" s="12">
        <v>1</v>
      </c>
      <c r="J1402" s="15">
        <v>8000.0</v>
      </c>
      <c r="K1402" s="15"/>
      <c r="L1402" s="17">
        <f>IF(J1402&gt;0, K1402/J1402, 0)</f>
        <v>0</v>
      </c>
      <c r="M1402" s="15">
        <v>8000.0</v>
      </c>
      <c r="N1402" s="15"/>
      <c r="O1402" s="15">
        <f>M1402-N1402</f>
        <v>8000</v>
      </c>
      <c r="P1402" s="10" t="s">
        <v>42</v>
      </c>
      <c r="Q1402" s="10" t="s">
        <v>43</v>
      </c>
      <c r="R1402" s="10" t="s">
        <v>44</v>
      </c>
      <c r="S1402" s="8" t="s">
        <v>2051</v>
      </c>
      <c r="T1402" s="8" t="s">
        <v>44</v>
      </c>
    </row>
    <row r="1403" spans="1:20">
      <c r="A1403" s="11">
        <v>1396</v>
      </c>
      <c r="B1403" s="11" t="s">
        <v>1729</v>
      </c>
      <c r="C1403" s="11" t="s">
        <v>1723</v>
      </c>
      <c r="D1403" s="11" t="s">
        <v>655</v>
      </c>
      <c r="E1403" s="11" t="s">
        <v>34</v>
      </c>
      <c r="F1403" s="11" t="s">
        <v>35</v>
      </c>
      <c r="G1403" s="9" t="s">
        <v>41</v>
      </c>
      <c r="H1403" s="13">
        <v>1</v>
      </c>
      <c r="I1403" s="13">
        <v>1</v>
      </c>
      <c r="J1403" s="16">
        <v>7000.0</v>
      </c>
      <c r="K1403" s="16"/>
      <c r="L1403" s="18">
        <f>IF(J1403&gt;0, K1403/J1403, 0)</f>
        <v>0</v>
      </c>
      <c r="M1403" s="16">
        <v>7000.0</v>
      </c>
      <c r="N1403" s="16"/>
      <c r="O1403" s="16">
        <f>M1403-N1403</f>
        <v>7000</v>
      </c>
      <c r="P1403" s="11" t="s">
        <v>42</v>
      </c>
      <c r="Q1403" s="11" t="s">
        <v>43</v>
      </c>
      <c r="R1403" s="11" t="s">
        <v>44</v>
      </c>
      <c r="S1403" s="9" t="s">
        <v>2077</v>
      </c>
      <c r="T1403" s="9" t="s">
        <v>44</v>
      </c>
    </row>
    <row r="1404" spans="1:20">
      <c r="A1404" s="10">
        <v>1397</v>
      </c>
      <c r="B1404" s="10" t="s">
        <v>1730</v>
      </c>
      <c r="C1404" s="10" t="s">
        <v>1723</v>
      </c>
      <c r="D1404" s="10" t="s">
        <v>655</v>
      </c>
      <c r="E1404" s="10" t="s">
        <v>34</v>
      </c>
      <c r="F1404" s="10" t="s">
        <v>35</v>
      </c>
      <c r="G1404" s="8" t="s">
        <v>41</v>
      </c>
      <c r="H1404" s="12">
        <v>1</v>
      </c>
      <c r="I1404" s="12">
        <v>1</v>
      </c>
      <c r="J1404" s="15">
        <v>18000.0</v>
      </c>
      <c r="K1404" s="15"/>
      <c r="L1404" s="17">
        <f>IF(J1404&gt;0, K1404/J1404, 0)</f>
        <v>0</v>
      </c>
      <c r="M1404" s="15">
        <v>18000.0</v>
      </c>
      <c r="N1404" s="15"/>
      <c r="O1404" s="15">
        <f>M1404-N1404</f>
        <v>18000</v>
      </c>
      <c r="P1404" s="10" t="s">
        <v>42</v>
      </c>
      <c r="Q1404" s="10" t="s">
        <v>43</v>
      </c>
      <c r="R1404" s="10" t="s">
        <v>44</v>
      </c>
      <c r="S1404" s="8" t="s">
        <v>2118</v>
      </c>
      <c r="T1404" s="8" t="s">
        <v>44</v>
      </c>
    </row>
    <row r="1405" spans="1:20">
      <c r="A1405" s="11">
        <v>1398</v>
      </c>
      <c r="B1405" s="11" t="s">
        <v>1732</v>
      </c>
      <c r="C1405" s="11" t="s">
        <v>1723</v>
      </c>
      <c r="D1405" s="11" t="s">
        <v>655</v>
      </c>
      <c r="E1405" s="11" t="s">
        <v>34</v>
      </c>
      <c r="F1405" s="11" t="s">
        <v>35</v>
      </c>
      <c r="G1405" s="9" t="s">
        <v>41</v>
      </c>
      <c r="H1405" s="13">
        <v>1</v>
      </c>
      <c r="I1405" s="13">
        <v>1</v>
      </c>
      <c r="J1405" s="16">
        <v>18000.0</v>
      </c>
      <c r="K1405" s="16"/>
      <c r="L1405" s="18">
        <f>IF(J1405&gt;0, K1405/J1405, 0)</f>
        <v>0</v>
      </c>
      <c r="M1405" s="16">
        <v>18000.0</v>
      </c>
      <c r="N1405" s="16"/>
      <c r="O1405" s="16">
        <f>M1405-N1405</f>
        <v>18000</v>
      </c>
      <c r="P1405" s="11" t="s">
        <v>42</v>
      </c>
      <c r="Q1405" s="11" t="s">
        <v>43</v>
      </c>
      <c r="R1405" s="11" t="s">
        <v>44</v>
      </c>
      <c r="S1405" s="9" t="s">
        <v>2117</v>
      </c>
      <c r="T1405" s="9" t="s">
        <v>44</v>
      </c>
    </row>
    <row r="1406" spans="1:20">
      <c r="A1406" s="10">
        <v>1399</v>
      </c>
      <c r="B1406" s="10" t="s">
        <v>1733</v>
      </c>
      <c r="C1406" s="10" t="s">
        <v>1723</v>
      </c>
      <c r="D1406" s="10" t="s">
        <v>655</v>
      </c>
      <c r="E1406" s="10" t="s">
        <v>34</v>
      </c>
      <c r="F1406" s="10" t="s">
        <v>35</v>
      </c>
      <c r="G1406" s="8" t="s">
        <v>41</v>
      </c>
      <c r="H1406" s="12">
        <v>1</v>
      </c>
      <c r="I1406" s="12">
        <v>1</v>
      </c>
      <c r="J1406" s="15">
        <v>8500.0</v>
      </c>
      <c r="K1406" s="15"/>
      <c r="L1406" s="17">
        <f>IF(J1406&gt;0, K1406/J1406, 0)</f>
        <v>0</v>
      </c>
      <c r="M1406" s="15">
        <v>8500.0</v>
      </c>
      <c r="N1406" s="15"/>
      <c r="O1406" s="15">
        <f>M1406-N1406</f>
        <v>8500</v>
      </c>
      <c r="P1406" s="10" t="s">
        <v>42</v>
      </c>
      <c r="Q1406" s="10" t="s">
        <v>43</v>
      </c>
      <c r="R1406" s="10" t="s">
        <v>44</v>
      </c>
      <c r="S1406" s="8" t="s">
        <v>2045</v>
      </c>
      <c r="T1406" s="8" t="s">
        <v>44</v>
      </c>
    </row>
    <row r="1407" spans="1:20">
      <c r="A1407" s="11">
        <v>1400</v>
      </c>
      <c r="B1407" s="11" t="s">
        <v>1734</v>
      </c>
      <c r="C1407" s="11" t="s">
        <v>1723</v>
      </c>
      <c r="D1407" s="11" t="s">
        <v>655</v>
      </c>
      <c r="E1407" s="11" t="s">
        <v>34</v>
      </c>
      <c r="F1407" s="11" t="s">
        <v>35</v>
      </c>
      <c r="G1407" s="9" t="s">
        <v>41</v>
      </c>
      <c r="H1407" s="13">
        <v>1</v>
      </c>
      <c r="I1407" s="13">
        <v>3</v>
      </c>
      <c r="J1407" s="16">
        <v>24000.0</v>
      </c>
      <c r="K1407" s="16"/>
      <c r="L1407" s="18">
        <f>IF(J1407&gt;0, K1407/J1407, 0)</f>
        <v>0</v>
      </c>
      <c r="M1407" s="16">
        <v>24000.0</v>
      </c>
      <c r="N1407" s="16"/>
      <c r="O1407" s="16">
        <f>M1407-N1407</f>
        <v>24000</v>
      </c>
      <c r="P1407" s="11" t="s">
        <v>42</v>
      </c>
      <c r="Q1407" s="11" t="s">
        <v>43</v>
      </c>
      <c r="R1407" s="11" t="s">
        <v>44</v>
      </c>
      <c r="S1407" s="9" t="s">
        <v>2163</v>
      </c>
      <c r="T1407" s="9" t="s">
        <v>44</v>
      </c>
    </row>
    <row r="1408" spans="1:20">
      <c r="A1408" s="10">
        <v>1401</v>
      </c>
      <c r="B1408" s="10" t="s">
        <v>1735</v>
      </c>
      <c r="C1408" s="10" t="s">
        <v>1723</v>
      </c>
      <c r="D1408" s="10" t="s">
        <v>655</v>
      </c>
      <c r="E1408" s="10" t="s">
        <v>34</v>
      </c>
      <c r="F1408" s="10" t="s">
        <v>35</v>
      </c>
      <c r="G1408" s="8" t="s">
        <v>41</v>
      </c>
      <c r="H1408" s="12">
        <v>1</v>
      </c>
      <c r="I1408" s="12">
        <v>2</v>
      </c>
      <c r="J1408" s="15">
        <v>33000.0</v>
      </c>
      <c r="K1408" s="15"/>
      <c r="L1408" s="17">
        <f>IF(J1408&gt;0, K1408/J1408, 0)</f>
        <v>0</v>
      </c>
      <c r="M1408" s="15">
        <v>33000.0</v>
      </c>
      <c r="N1408" s="15"/>
      <c r="O1408" s="15">
        <f>M1408-N1408</f>
        <v>33000</v>
      </c>
      <c r="P1408" s="10" t="s">
        <v>42</v>
      </c>
      <c r="Q1408" s="10" t="s">
        <v>43</v>
      </c>
      <c r="R1408" s="10" t="s">
        <v>44</v>
      </c>
      <c r="S1408" s="8" t="s">
        <v>2210</v>
      </c>
      <c r="T1408" s="8" t="s">
        <v>44</v>
      </c>
    </row>
    <row r="1409" spans="1:20">
      <c r="A1409" s="11">
        <v>1402</v>
      </c>
      <c r="B1409" s="11" t="s">
        <v>1736</v>
      </c>
      <c r="C1409" s="11" t="s">
        <v>1723</v>
      </c>
      <c r="D1409" s="11" t="s">
        <v>655</v>
      </c>
      <c r="E1409" s="11" t="s">
        <v>34</v>
      </c>
      <c r="F1409" s="11" t="s">
        <v>35</v>
      </c>
      <c r="G1409" s="9" t="s">
        <v>41</v>
      </c>
      <c r="H1409" s="13">
        <v>1</v>
      </c>
      <c r="I1409" s="13">
        <v>2</v>
      </c>
      <c r="J1409" s="16">
        <v>17000.0</v>
      </c>
      <c r="K1409" s="16"/>
      <c r="L1409" s="18">
        <f>IF(J1409&gt;0, K1409/J1409, 0)</f>
        <v>0</v>
      </c>
      <c r="M1409" s="16">
        <v>17000.0</v>
      </c>
      <c r="N1409" s="16"/>
      <c r="O1409" s="16">
        <f>M1409-N1409</f>
        <v>17000</v>
      </c>
      <c r="P1409" s="11" t="s">
        <v>42</v>
      </c>
      <c r="Q1409" s="11" t="s">
        <v>43</v>
      </c>
      <c r="R1409" s="11" t="s">
        <v>44</v>
      </c>
      <c r="S1409" s="9" t="s">
        <v>2185</v>
      </c>
      <c r="T1409" s="9" t="s">
        <v>44</v>
      </c>
    </row>
    <row r="1410" spans="1:20">
      <c r="A1410" s="10">
        <v>1403</v>
      </c>
      <c r="B1410" s="10" t="s">
        <v>1737</v>
      </c>
      <c r="C1410" s="10" t="s">
        <v>1723</v>
      </c>
      <c r="D1410" s="10" t="s">
        <v>655</v>
      </c>
      <c r="E1410" s="10" t="s">
        <v>34</v>
      </c>
      <c r="F1410" s="10" t="s">
        <v>35</v>
      </c>
      <c r="G1410" s="8" t="s">
        <v>41</v>
      </c>
      <c r="H1410" s="12">
        <v>1</v>
      </c>
      <c r="I1410" s="12">
        <v>2</v>
      </c>
      <c r="J1410" s="15">
        <v>18000.0</v>
      </c>
      <c r="K1410" s="15"/>
      <c r="L1410" s="17">
        <f>IF(J1410&gt;0, K1410/J1410, 0)</f>
        <v>0</v>
      </c>
      <c r="M1410" s="15">
        <v>18000.0</v>
      </c>
      <c r="N1410" s="15"/>
      <c r="O1410" s="15">
        <f>M1410-N1410</f>
        <v>18000</v>
      </c>
      <c r="P1410" s="10" t="s">
        <v>42</v>
      </c>
      <c r="Q1410" s="10" t="s">
        <v>43</v>
      </c>
      <c r="R1410" s="10" t="s">
        <v>44</v>
      </c>
      <c r="S1410" s="8" t="s">
        <v>2131</v>
      </c>
      <c r="T1410" s="8" t="s">
        <v>44</v>
      </c>
    </row>
    <row r="1411" spans="1:20">
      <c r="A1411" s="11">
        <v>1404</v>
      </c>
      <c r="B1411" s="11" t="s">
        <v>1738</v>
      </c>
      <c r="C1411" s="11" t="s">
        <v>1723</v>
      </c>
      <c r="D1411" s="11" t="s">
        <v>655</v>
      </c>
      <c r="E1411" s="11" t="s">
        <v>34</v>
      </c>
      <c r="F1411" s="11" t="s">
        <v>35</v>
      </c>
      <c r="G1411" s="9" t="s">
        <v>41</v>
      </c>
      <c r="H1411" s="13">
        <v>1</v>
      </c>
      <c r="I1411" s="13">
        <v>3</v>
      </c>
      <c r="J1411" s="16">
        <v>21000.0</v>
      </c>
      <c r="K1411" s="16"/>
      <c r="L1411" s="18">
        <f>IF(J1411&gt;0, K1411/J1411, 0)</f>
        <v>0</v>
      </c>
      <c r="M1411" s="16">
        <v>21000.0</v>
      </c>
      <c r="N1411" s="16"/>
      <c r="O1411" s="16">
        <f>M1411-N1411</f>
        <v>21000</v>
      </c>
      <c r="P1411" s="11" t="s">
        <v>42</v>
      </c>
      <c r="Q1411" s="11" t="s">
        <v>43</v>
      </c>
      <c r="R1411" s="11" t="s">
        <v>44</v>
      </c>
      <c r="S1411" s="9" t="s">
        <v>2231</v>
      </c>
      <c r="T1411" s="9" t="s">
        <v>44</v>
      </c>
    </row>
    <row r="1412" spans="1:20">
      <c r="A1412" s="10">
        <v>1405</v>
      </c>
      <c r="B1412" s="10" t="s">
        <v>1739</v>
      </c>
      <c r="C1412" s="10" t="s">
        <v>1740</v>
      </c>
      <c r="D1412" s="10" t="s">
        <v>655</v>
      </c>
      <c r="E1412" s="10" t="s">
        <v>34</v>
      </c>
      <c r="F1412" s="10" t="s">
        <v>35</v>
      </c>
      <c r="G1412" s="8" t="s">
        <v>41</v>
      </c>
      <c r="H1412" s="12">
        <v>1</v>
      </c>
      <c r="I1412" s="12">
        <v>2</v>
      </c>
      <c r="J1412" s="15">
        <v>16000.0</v>
      </c>
      <c r="K1412" s="15"/>
      <c r="L1412" s="17">
        <f>IF(J1412&gt;0, K1412/J1412, 0)</f>
        <v>0</v>
      </c>
      <c r="M1412" s="15">
        <v>16000.0</v>
      </c>
      <c r="N1412" s="15"/>
      <c r="O1412" s="15">
        <f>M1412-N1412</f>
        <v>16000</v>
      </c>
      <c r="P1412" s="10" t="s">
        <v>42</v>
      </c>
      <c r="Q1412" s="10" t="s">
        <v>43</v>
      </c>
      <c r="R1412" s="10" t="s">
        <v>44</v>
      </c>
      <c r="S1412" s="8" t="s">
        <v>2132</v>
      </c>
      <c r="T1412" s="8" t="s">
        <v>44</v>
      </c>
    </row>
    <row r="1413" spans="1:20">
      <c r="A1413" s="11">
        <v>1406</v>
      </c>
      <c r="B1413" s="11" t="s">
        <v>1741</v>
      </c>
      <c r="C1413" s="11" t="s">
        <v>1740</v>
      </c>
      <c r="D1413" s="11" t="s">
        <v>655</v>
      </c>
      <c r="E1413" s="11" t="s">
        <v>70</v>
      </c>
      <c r="F1413" s="11" t="s">
        <v>35</v>
      </c>
      <c r="G1413" s="9" t="s">
        <v>41</v>
      </c>
      <c r="H1413" s="13">
        <v>1</v>
      </c>
      <c r="I1413" s="13">
        <v>1</v>
      </c>
      <c r="J1413" s="16">
        <v>9000.0</v>
      </c>
      <c r="K1413" s="16"/>
      <c r="L1413" s="18">
        <f>IF(J1413&gt;0, K1413/J1413, 0)</f>
        <v>0</v>
      </c>
      <c r="M1413" s="16">
        <v>9000.0</v>
      </c>
      <c r="N1413" s="16"/>
      <c r="O1413" s="16">
        <f>M1413-N1413</f>
        <v>9000</v>
      </c>
      <c r="P1413" s="11" t="s">
        <v>42</v>
      </c>
      <c r="Q1413" s="11" t="s">
        <v>73</v>
      </c>
      <c r="R1413" s="11" t="s">
        <v>44</v>
      </c>
      <c r="S1413" s="9" t="s">
        <v>2232</v>
      </c>
      <c r="T1413" s="9" t="s">
        <v>44</v>
      </c>
    </row>
    <row r="1414" spans="1:20">
      <c r="A1414" s="10">
        <v>1407</v>
      </c>
      <c r="B1414" s="10" t="s">
        <v>1744</v>
      </c>
      <c r="C1414" s="10" t="s">
        <v>1740</v>
      </c>
      <c r="D1414" s="10" t="s">
        <v>655</v>
      </c>
      <c r="E1414" s="10" t="s">
        <v>34</v>
      </c>
      <c r="F1414" s="10" t="s">
        <v>35</v>
      </c>
      <c r="G1414" s="8" t="s">
        <v>41</v>
      </c>
      <c r="H1414" s="12">
        <v>1</v>
      </c>
      <c r="I1414" s="12">
        <v>1</v>
      </c>
      <c r="J1414" s="15">
        <v>17000.0</v>
      </c>
      <c r="K1414" s="15"/>
      <c r="L1414" s="17">
        <f>IF(J1414&gt;0, K1414/J1414, 0)</f>
        <v>0</v>
      </c>
      <c r="M1414" s="15">
        <v>17000.0</v>
      </c>
      <c r="N1414" s="15"/>
      <c r="O1414" s="15">
        <f>M1414-N1414</f>
        <v>17000</v>
      </c>
      <c r="P1414" s="10" t="s">
        <v>42</v>
      </c>
      <c r="Q1414" s="10" t="s">
        <v>43</v>
      </c>
      <c r="R1414" s="10" t="s">
        <v>44</v>
      </c>
      <c r="S1414" s="8" t="s">
        <v>2078</v>
      </c>
      <c r="T1414" s="8" t="s">
        <v>44</v>
      </c>
    </row>
    <row r="1415" spans="1:20">
      <c r="A1415" s="11">
        <v>1408</v>
      </c>
      <c r="B1415" s="11" t="s">
        <v>1745</v>
      </c>
      <c r="C1415" s="11" t="s">
        <v>1740</v>
      </c>
      <c r="D1415" s="11" t="s">
        <v>655</v>
      </c>
      <c r="E1415" s="11" t="s">
        <v>34</v>
      </c>
      <c r="F1415" s="11" t="s">
        <v>35</v>
      </c>
      <c r="G1415" s="9" t="s">
        <v>41</v>
      </c>
      <c r="H1415" s="13">
        <v>1</v>
      </c>
      <c r="I1415" s="13">
        <v>2</v>
      </c>
      <c r="J1415" s="16">
        <v>34000.0</v>
      </c>
      <c r="K1415" s="16"/>
      <c r="L1415" s="18">
        <f>IF(J1415&gt;0, K1415/J1415, 0)</f>
        <v>0</v>
      </c>
      <c r="M1415" s="16">
        <v>34000.0</v>
      </c>
      <c r="N1415" s="16"/>
      <c r="O1415" s="16">
        <f>M1415-N1415</f>
        <v>34000</v>
      </c>
      <c r="P1415" s="11" t="s">
        <v>42</v>
      </c>
      <c r="Q1415" s="11" t="s">
        <v>43</v>
      </c>
      <c r="R1415" s="11" t="s">
        <v>44</v>
      </c>
      <c r="S1415" s="9" t="s">
        <v>2220</v>
      </c>
      <c r="T1415" s="9" t="s">
        <v>44</v>
      </c>
    </row>
    <row r="1416" spans="1:20">
      <c r="A1416" s="10">
        <v>1409</v>
      </c>
      <c r="B1416" s="10" t="s">
        <v>1746</v>
      </c>
      <c r="C1416" s="10" t="s">
        <v>1740</v>
      </c>
      <c r="D1416" s="10" t="s">
        <v>655</v>
      </c>
      <c r="E1416" s="10" t="s">
        <v>34</v>
      </c>
      <c r="F1416" s="10" t="s">
        <v>35</v>
      </c>
      <c r="G1416" s="8" t="s">
        <v>41</v>
      </c>
      <c r="H1416" s="12">
        <v>1</v>
      </c>
      <c r="I1416" s="12">
        <v>1</v>
      </c>
      <c r="J1416" s="15">
        <v>17000.0</v>
      </c>
      <c r="K1416" s="15"/>
      <c r="L1416" s="17">
        <f>IF(J1416&gt;0, K1416/J1416, 0)</f>
        <v>0</v>
      </c>
      <c r="M1416" s="15">
        <v>17000.0</v>
      </c>
      <c r="N1416" s="15"/>
      <c r="O1416" s="15">
        <f>M1416-N1416</f>
        <v>17000</v>
      </c>
      <c r="P1416" s="10" t="s">
        <v>42</v>
      </c>
      <c r="Q1416" s="10" t="s">
        <v>43</v>
      </c>
      <c r="R1416" s="10" t="s">
        <v>44</v>
      </c>
      <c r="S1416" s="8" t="s">
        <v>2040</v>
      </c>
      <c r="T1416" s="8" t="s">
        <v>44</v>
      </c>
    </row>
    <row r="1417" spans="1:20">
      <c r="A1417" s="11">
        <v>1410</v>
      </c>
      <c r="B1417" s="11" t="s">
        <v>1747</v>
      </c>
      <c r="C1417" s="11" t="s">
        <v>1740</v>
      </c>
      <c r="D1417" s="11" t="s">
        <v>655</v>
      </c>
      <c r="E1417" s="11" t="s">
        <v>34</v>
      </c>
      <c r="F1417" s="11" t="s">
        <v>35</v>
      </c>
      <c r="G1417" s="9" t="s">
        <v>41</v>
      </c>
      <c r="H1417" s="13">
        <v>1</v>
      </c>
      <c r="I1417" s="13">
        <v>2</v>
      </c>
      <c r="J1417" s="16">
        <v>16000.0</v>
      </c>
      <c r="K1417" s="16"/>
      <c r="L1417" s="18">
        <f>IF(J1417&gt;0, K1417/J1417, 0)</f>
        <v>0</v>
      </c>
      <c r="M1417" s="16">
        <v>16000.0</v>
      </c>
      <c r="N1417" s="16"/>
      <c r="O1417" s="16">
        <f>M1417-N1417</f>
        <v>16000</v>
      </c>
      <c r="P1417" s="11" t="s">
        <v>42</v>
      </c>
      <c r="Q1417" s="11" t="s">
        <v>43</v>
      </c>
      <c r="R1417" s="11" t="s">
        <v>44</v>
      </c>
      <c r="S1417" s="9" t="s">
        <v>2233</v>
      </c>
      <c r="T1417" s="9" t="s">
        <v>44</v>
      </c>
    </row>
    <row r="1418" spans="1:20">
      <c r="A1418" s="10">
        <v>1411</v>
      </c>
      <c r="B1418" s="10" t="s">
        <v>1748</v>
      </c>
      <c r="C1418" s="10" t="s">
        <v>1740</v>
      </c>
      <c r="D1418" s="10" t="s">
        <v>655</v>
      </c>
      <c r="E1418" s="10" t="s">
        <v>34</v>
      </c>
      <c r="F1418" s="10" t="s">
        <v>35</v>
      </c>
      <c r="G1418" s="8" t="s">
        <v>41</v>
      </c>
      <c r="H1418" s="12">
        <v>1</v>
      </c>
      <c r="I1418" s="12">
        <v>1</v>
      </c>
      <c r="J1418" s="15">
        <v>8000.0</v>
      </c>
      <c r="K1418" s="15"/>
      <c r="L1418" s="17">
        <f>IF(J1418&gt;0, K1418/J1418, 0)</f>
        <v>0</v>
      </c>
      <c r="M1418" s="15">
        <v>8000.0</v>
      </c>
      <c r="N1418" s="15"/>
      <c r="O1418" s="15">
        <f>M1418-N1418</f>
        <v>8000</v>
      </c>
      <c r="P1418" s="10" t="s">
        <v>42</v>
      </c>
      <c r="Q1418" s="10" t="s">
        <v>43</v>
      </c>
      <c r="R1418" s="10" t="s">
        <v>44</v>
      </c>
      <c r="S1418" s="8" t="s">
        <v>2067</v>
      </c>
      <c r="T1418" s="8" t="s">
        <v>44</v>
      </c>
    </row>
    <row r="1419" spans="1:20">
      <c r="A1419" s="11">
        <v>1412</v>
      </c>
      <c r="B1419" s="11" t="s">
        <v>1749</v>
      </c>
      <c r="C1419" s="11" t="s">
        <v>1740</v>
      </c>
      <c r="D1419" s="11" t="s">
        <v>655</v>
      </c>
      <c r="E1419" s="11" t="s">
        <v>34</v>
      </c>
      <c r="F1419" s="11" t="s">
        <v>35</v>
      </c>
      <c r="G1419" s="9" t="s">
        <v>41</v>
      </c>
      <c r="H1419" s="13">
        <v>1</v>
      </c>
      <c r="I1419" s="13">
        <v>2</v>
      </c>
      <c r="J1419" s="16">
        <v>16000.0</v>
      </c>
      <c r="K1419" s="16"/>
      <c r="L1419" s="18">
        <f>IF(J1419&gt;0, K1419/J1419, 0)</f>
        <v>0</v>
      </c>
      <c r="M1419" s="16">
        <v>16000.0</v>
      </c>
      <c r="N1419" s="16"/>
      <c r="O1419" s="16">
        <f>M1419-N1419</f>
        <v>16000</v>
      </c>
      <c r="P1419" s="11" t="s">
        <v>42</v>
      </c>
      <c r="Q1419" s="11" t="s">
        <v>43</v>
      </c>
      <c r="R1419" s="11" t="s">
        <v>44</v>
      </c>
      <c r="S1419" s="9" t="s">
        <v>2184</v>
      </c>
      <c r="T1419" s="9" t="s">
        <v>44</v>
      </c>
    </row>
    <row r="1420" spans="1:20">
      <c r="A1420" s="10">
        <v>1413</v>
      </c>
      <c r="B1420" s="10" t="s">
        <v>1750</v>
      </c>
      <c r="C1420" s="10" t="s">
        <v>1740</v>
      </c>
      <c r="D1420" s="10" t="s">
        <v>655</v>
      </c>
      <c r="E1420" s="10" t="s">
        <v>34</v>
      </c>
      <c r="F1420" s="10" t="s">
        <v>35</v>
      </c>
      <c r="G1420" s="8" t="s">
        <v>41</v>
      </c>
      <c r="H1420" s="12">
        <v>1</v>
      </c>
      <c r="I1420" s="12">
        <v>2</v>
      </c>
      <c r="J1420" s="15">
        <v>17800.0</v>
      </c>
      <c r="K1420" s="15"/>
      <c r="L1420" s="17">
        <f>IF(J1420&gt;0, K1420/J1420, 0)</f>
        <v>0</v>
      </c>
      <c r="M1420" s="15">
        <v>17800.0</v>
      </c>
      <c r="N1420" s="15"/>
      <c r="O1420" s="15">
        <f>M1420-N1420</f>
        <v>17800</v>
      </c>
      <c r="P1420" s="10" t="s">
        <v>42</v>
      </c>
      <c r="Q1420" s="10" t="s">
        <v>43</v>
      </c>
      <c r="R1420" s="10" t="s">
        <v>44</v>
      </c>
      <c r="S1420" s="8" t="s">
        <v>2184</v>
      </c>
      <c r="T1420" s="8" t="s">
        <v>44</v>
      </c>
    </row>
    <row r="1421" spans="1:20">
      <c r="A1421" s="11">
        <v>1414</v>
      </c>
      <c r="B1421" s="11" t="s">
        <v>1751</v>
      </c>
      <c r="C1421" s="11" t="s">
        <v>1740</v>
      </c>
      <c r="D1421" s="11" t="s">
        <v>655</v>
      </c>
      <c r="E1421" s="11" t="s">
        <v>34</v>
      </c>
      <c r="F1421" s="11" t="s">
        <v>35</v>
      </c>
      <c r="G1421" s="9" t="s">
        <v>41</v>
      </c>
      <c r="H1421" s="13">
        <v>1</v>
      </c>
      <c r="I1421" s="13">
        <v>3</v>
      </c>
      <c r="J1421" s="16">
        <v>21000.0</v>
      </c>
      <c r="K1421" s="16"/>
      <c r="L1421" s="18">
        <f>IF(J1421&gt;0, K1421/J1421, 0)</f>
        <v>0</v>
      </c>
      <c r="M1421" s="16">
        <v>21000.0</v>
      </c>
      <c r="N1421" s="16"/>
      <c r="O1421" s="16">
        <f>M1421-N1421</f>
        <v>21000</v>
      </c>
      <c r="P1421" s="11" t="s">
        <v>42</v>
      </c>
      <c r="Q1421" s="11" t="s">
        <v>43</v>
      </c>
      <c r="R1421" s="11" t="s">
        <v>44</v>
      </c>
      <c r="S1421" s="9" t="s">
        <v>2183</v>
      </c>
      <c r="T1421" s="9" t="s">
        <v>44</v>
      </c>
    </row>
    <row r="1422" spans="1:20">
      <c r="A1422" s="10">
        <v>1415</v>
      </c>
      <c r="B1422" s="10" t="s">
        <v>1752</v>
      </c>
      <c r="C1422" s="10" t="s">
        <v>1740</v>
      </c>
      <c r="D1422" s="10" t="s">
        <v>655</v>
      </c>
      <c r="E1422" s="10" t="s">
        <v>70</v>
      </c>
      <c r="F1422" s="10" t="s">
        <v>35</v>
      </c>
      <c r="G1422" s="8" t="s">
        <v>41</v>
      </c>
      <c r="H1422" s="12">
        <v>1</v>
      </c>
      <c r="I1422" s="12">
        <v>1</v>
      </c>
      <c r="J1422" s="15">
        <v>8000.0</v>
      </c>
      <c r="K1422" s="15"/>
      <c r="L1422" s="17">
        <f>IF(J1422&gt;0, K1422/J1422, 0)</f>
        <v>0</v>
      </c>
      <c r="M1422" s="15">
        <v>8000.0</v>
      </c>
      <c r="N1422" s="15"/>
      <c r="O1422" s="15">
        <f>M1422-N1422</f>
        <v>8000</v>
      </c>
      <c r="P1422" s="10" t="s">
        <v>42</v>
      </c>
      <c r="Q1422" s="10" t="s">
        <v>73</v>
      </c>
      <c r="R1422" s="10" t="s">
        <v>44</v>
      </c>
      <c r="S1422" s="8" t="s">
        <v>2139</v>
      </c>
      <c r="T1422" s="8" t="s">
        <v>44</v>
      </c>
    </row>
    <row r="1423" spans="1:20">
      <c r="A1423" s="11">
        <v>1416</v>
      </c>
      <c r="B1423" s="11" t="s">
        <v>1753</v>
      </c>
      <c r="C1423" s="11" t="s">
        <v>1740</v>
      </c>
      <c r="D1423" s="11" t="s">
        <v>655</v>
      </c>
      <c r="E1423" s="11" t="s">
        <v>34</v>
      </c>
      <c r="F1423" s="11" t="s">
        <v>35</v>
      </c>
      <c r="G1423" s="9" t="s">
        <v>41</v>
      </c>
      <c r="H1423" s="13">
        <v>1</v>
      </c>
      <c r="I1423" s="13">
        <v>1</v>
      </c>
      <c r="J1423" s="16">
        <v>17000.0</v>
      </c>
      <c r="K1423" s="16"/>
      <c r="L1423" s="18">
        <f>IF(J1423&gt;0, K1423/J1423, 0)</f>
        <v>0</v>
      </c>
      <c r="M1423" s="16">
        <v>17000.0</v>
      </c>
      <c r="N1423" s="16"/>
      <c r="O1423" s="16">
        <f>M1423-N1423</f>
        <v>17000</v>
      </c>
      <c r="P1423" s="11" t="s">
        <v>42</v>
      </c>
      <c r="Q1423" s="11" t="s">
        <v>43</v>
      </c>
      <c r="R1423" s="11" t="s">
        <v>44</v>
      </c>
      <c r="S1423" s="9" t="s">
        <v>2073</v>
      </c>
      <c r="T1423" s="9" t="s">
        <v>44</v>
      </c>
    </row>
    <row r="1424" spans="1:20">
      <c r="A1424" s="10">
        <v>1417</v>
      </c>
      <c r="B1424" s="10" t="s">
        <v>1754</v>
      </c>
      <c r="C1424" s="10" t="s">
        <v>1740</v>
      </c>
      <c r="D1424" s="10" t="s">
        <v>655</v>
      </c>
      <c r="E1424" s="10" t="s">
        <v>34</v>
      </c>
      <c r="F1424" s="10" t="s">
        <v>35</v>
      </c>
      <c r="G1424" s="8" t="s">
        <v>41</v>
      </c>
      <c r="H1424" s="12">
        <v>1</v>
      </c>
      <c r="I1424" s="12">
        <v>1</v>
      </c>
      <c r="J1424" s="15">
        <v>18000.0</v>
      </c>
      <c r="K1424" s="15"/>
      <c r="L1424" s="17">
        <f>IF(J1424&gt;0, K1424/J1424, 0)</f>
        <v>0</v>
      </c>
      <c r="M1424" s="15">
        <v>18000.0</v>
      </c>
      <c r="N1424" s="15"/>
      <c r="O1424" s="15">
        <f>M1424-N1424</f>
        <v>18000</v>
      </c>
      <c r="P1424" s="10" t="s">
        <v>42</v>
      </c>
      <c r="Q1424" s="10" t="s">
        <v>43</v>
      </c>
      <c r="R1424" s="10" t="s">
        <v>44</v>
      </c>
      <c r="S1424" s="8" t="s">
        <v>2114</v>
      </c>
      <c r="T1424" s="8" t="s">
        <v>44</v>
      </c>
    </row>
    <row r="1425" spans="1:20">
      <c r="A1425" s="11">
        <v>1418</v>
      </c>
      <c r="B1425" s="11" t="s">
        <v>1755</v>
      </c>
      <c r="C1425" s="11" t="s">
        <v>1740</v>
      </c>
      <c r="D1425" s="11" t="s">
        <v>655</v>
      </c>
      <c r="E1425" s="11" t="s">
        <v>34</v>
      </c>
      <c r="F1425" s="11" t="s">
        <v>35</v>
      </c>
      <c r="G1425" s="9" t="s">
        <v>41</v>
      </c>
      <c r="H1425" s="13">
        <v>1</v>
      </c>
      <c r="I1425" s="13">
        <v>1</v>
      </c>
      <c r="J1425" s="16">
        <v>9000.0</v>
      </c>
      <c r="K1425" s="16"/>
      <c r="L1425" s="18">
        <f>IF(J1425&gt;0, K1425/J1425, 0)</f>
        <v>0</v>
      </c>
      <c r="M1425" s="16">
        <v>9000.0</v>
      </c>
      <c r="N1425" s="16"/>
      <c r="O1425" s="16">
        <f>M1425-N1425</f>
        <v>9000</v>
      </c>
      <c r="P1425" s="11" t="s">
        <v>42</v>
      </c>
      <c r="Q1425" s="11" t="s">
        <v>43</v>
      </c>
      <c r="R1425" s="11" t="s">
        <v>44</v>
      </c>
      <c r="S1425" s="9" t="s">
        <v>2062</v>
      </c>
      <c r="T1425" s="9" t="s">
        <v>44</v>
      </c>
    </row>
    <row r="1426" spans="1:20">
      <c r="A1426" s="10">
        <v>1419</v>
      </c>
      <c r="B1426" s="10" t="s">
        <v>1756</v>
      </c>
      <c r="C1426" s="10" t="s">
        <v>1740</v>
      </c>
      <c r="D1426" s="10" t="s">
        <v>655</v>
      </c>
      <c r="E1426" s="10" t="s">
        <v>34</v>
      </c>
      <c r="F1426" s="10" t="s">
        <v>35</v>
      </c>
      <c r="G1426" s="8" t="s">
        <v>41</v>
      </c>
      <c r="H1426" s="12">
        <v>1</v>
      </c>
      <c r="I1426" s="12">
        <v>2</v>
      </c>
      <c r="J1426" s="15">
        <v>16000.0</v>
      </c>
      <c r="K1426" s="15"/>
      <c r="L1426" s="17">
        <f>IF(J1426&gt;0, K1426/J1426, 0)</f>
        <v>0</v>
      </c>
      <c r="M1426" s="15">
        <v>16000.0</v>
      </c>
      <c r="N1426" s="15"/>
      <c r="O1426" s="15">
        <f>M1426-N1426</f>
        <v>16000</v>
      </c>
      <c r="P1426" s="10" t="s">
        <v>42</v>
      </c>
      <c r="Q1426" s="10" t="s">
        <v>43</v>
      </c>
      <c r="R1426" s="10" t="s">
        <v>44</v>
      </c>
      <c r="S1426" s="8" t="s">
        <v>2157</v>
      </c>
      <c r="T1426" s="8" t="s">
        <v>44</v>
      </c>
    </row>
    <row r="1427" spans="1:20">
      <c r="A1427" s="11">
        <v>1420</v>
      </c>
      <c r="B1427" s="11" t="s">
        <v>1757</v>
      </c>
      <c r="C1427" s="11" t="s">
        <v>1740</v>
      </c>
      <c r="D1427" s="11" t="s">
        <v>655</v>
      </c>
      <c r="E1427" s="11" t="s">
        <v>34</v>
      </c>
      <c r="F1427" s="11" t="s">
        <v>35</v>
      </c>
      <c r="G1427" s="9" t="s">
        <v>41</v>
      </c>
      <c r="H1427" s="13">
        <v>1</v>
      </c>
      <c r="I1427" s="13">
        <v>2</v>
      </c>
      <c r="J1427" s="16">
        <v>14000.0</v>
      </c>
      <c r="K1427" s="16"/>
      <c r="L1427" s="18">
        <f>IF(J1427&gt;0, K1427/J1427, 0)</f>
        <v>0</v>
      </c>
      <c r="M1427" s="16">
        <v>14000.0</v>
      </c>
      <c r="N1427" s="16"/>
      <c r="O1427" s="16">
        <f>M1427-N1427</f>
        <v>14000</v>
      </c>
      <c r="P1427" s="11" t="s">
        <v>42</v>
      </c>
      <c r="Q1427" s="11" t="s">
        <v>43</v>
      </c>
      <c r="R1427" s="11" t="s">
        <v>44</v>
      </c>
      <c r="S1427" s="9" t="s">
        <v>2140</v>
      </c>
      <c r="T1427" s="9" t="s">
        <v>44</v>
      </c>
    </row>
    <row r="1428" spans="1:20">
      <c r="A1428" s="10">
        <v>1421</v>
      </c>
      <c r="B1428" s="10" t="s">
        <v>1758</v>
      </c>
      <c r="C1428" s="10" t="s">
        <v>1740</v>
      </c>
      <c r="D1428" s="10" t="s">
        <v>655</v>
      </c>
      <c r="E1428" s="10" t="s">
        <v>34</v>
      </c>
      <c r="F1428" s="10" t="s">
        <v>35</v>
      </c>
      <c r="G1428" s="8" t="s">
        <v>41</v>
      </c>
      <c r="H1428" s="12">
        <v>1</v>
      </c>
      <c r="I1428" s="12">
        <v>1</v>
      </c>
      <c r="J1428" s="15">
        <v>17000.0</v>
      </c>
      <c r="K1428" s="15"/>
      <c r="L1428" s="17">
        <f>IF(J1428&gt;0, K1428/J1428, 0)</f>
        <v>0</v>
      </c>
      <c r="M1428" s="15">
        <v>17000.0</v>
      </c>
      <c r="N1428" s="15"/>
      <c r="O1428" s="15">
        <f>M1428-N1428</f>
        <v>17000</v>
      </c>
      <c r="P1428" s="10" t="s">
        <v>42</v>
      </c>
      <c r="Q1428" s="10" t="s">
        <v>43</v>
      </c>
      <c r="R1428" s="10" t="s">
        <v>44</v>
      </c>
      <c r="S1428" s="8" t="s">
        <v>2078</v>
      </c>
      <c r="T1428" s="8" t="s">
        <v>44</v>
      </c>
    </row>
    <row r="1429" spans="1:20">
      <c r="A1429" s="11">
        <v>1422</v>
      </c>
      <c r="B1429" s="11" t="s">
        <v>1759</v>
      </c>
      <c r="C1429" s="11" t="s">
        <v>1740</v>
      </c>
      <c r="D1429" s="11" t="s">
        <v>655</v>
      </c>
      <c r="E1429" s="11" t="s">
        <v>34</v>
      </c>
      <c r="F1429" s="11" t="s">
        <v>35</v>
      </c>
      <c r="G1429" s="9" t="s">
        <v>41</v>
      </c>
      <c r="H1429" s="13">
        <v>1</v>
      </c>
      <c r="I1429" s="13">
        <v>2</v>
      </c>
      <c r="J1429" s="16">
        <v>16000.0</v>
      </c>
      <c r="K1429" s="16"/>
      <c r="L1429" s="18">
        <f>IF(J1429&gt;0, K1429/J1429, 0)</f>
        <v>0</v>
      </c>
      <c r="M1429" s="16">
        <v>16000.0</v>
      </c>
      <c r="N1429" s="16"/>
      <c r="O1429" s="16">
        <f>M1429-N1429</f>
        <v>16000</v>
      </c>
      <c r="P1429" s="11" t="s">
        <v>42</v>
      </c>
      <c r="Q1429" s="11" t="s">
        <v>43</v>
      </c>
      <c r="R1429" s="11" t="s">
        <v>44</v>
      </c>
      <c r="S1429" s="9" t="s">
        <v>2093</v>
      </c>
      <c r="T1429" s="9" t="s">
        <v>44</v>
      </c>
    </row>
    <row r="1430" spans="1:20">
      <c r="A1430" s="10">
        <v>1423</v>
      </c>
      <c r="B1430" s="10" t="s">
        <v>1760</v>
      </c>
      <c r="C1430" s="10" t="s">
        <v>1740</v>
      </c>
      <c r="D1430" s="10" t="s">
        <v>655</v>
      </c>
      <c r="E1430" s="10" t="s">
        <v>34</v>
      </c>
      <c r="F1430" s="10" t="s">
        <v>35</v>
      </c>
      <c r="G1430" s="8" t="s">
        <v>41</v>
      </c>
      <c r="H1430" s="12">
        <v>1</v>
      </c>
      <c r="I1430" s="12">
        <v>1</v>
      </c>
      <c r="J1430" s="15">
        <v>18000.0</v>
      </c>
      <c r="K1430" s="15"/>
      <c r="L1430" s="17">
        <f>IF(J1430&gt;0, K1430/J1430, 0)</f>
        <v>0</v>
      </c>
      <c r="M1430" s="15">
        <v>18000.0</v>
      </c>
      <c r="N1430" s="15"/>
      <c r="O1430" s="15">
        <f>M1430-N1430</f>
        <v>18000</v>
      </c>
      <c r="P1430" s="10" t="s">
        <v>42</v>
      </c>
      <c r="Q1430" s="10" t="s">
        <v>43</v>
      </c>
      <c r="R1430" s="10" t="s">
        <v>44</v>
      </c>
      <c r="S1430" s="8" t="s">
        <v>2118</v>
      </c>
      <c r="T1430" s="8" t="s">
        <v>44</v>
      </c>
    </row>
    <row r="1431" spans="1:20">
      <c r="A1431" s="11">
        <v>1424</v>
      </c>
      <c r="B1431" s="11" t="s">
        <v>1761</v>
      </c>
      <c r="C1431" s="11" t="s">
        <v>1740</v>
      </c>
      <c r="D1431" s="11" t="s">
        <v>655</v>
      </c>
      <c r="E1431" s="11" t="s">
        <v>34</v>
      </c>
      <c r="F1431" s="11" t="s">
        <v>35</v>
      </c>
      <c r="G1431" s="9" t="s">
        <v>41</v>
      </c>
      <c r="H1431" s="13">
        <v>1</v>
      </c>
      <c r="I1431" s="13">
        <v>1</v>
      </c>
      <c r="J1431" s="16">
        <v>7000.0</v>
      </c>
      <c r="K1431" s="16"/>
      <c r="L1431" s="18">
        <f>IF(J1431&gt;0, K1431/J1431, 0)</f>
        <v>0</v>
      </c>
      <c r="M1431" s="16">
        <v>7000.0</v>
      </c>
      <c r="N1431" s="16"/>
      <c r="O1431" s="16">
        <f>M1431-N1431</f>
        <v>7000</v>
      </c>
      <c r="P1431" s="11" t="s">
        <v>42</v>
      </c>
      <c r="Q1431" s="11" t="s">
        <v>43</v>
      </c>
      <c r="R1431" s="11" t="s">
        <v>44</v>
      </c>
      <c r="S1431" s="9" t="s">
        <v>2142</v>
      </c>
      <c r="T1431" s="9" t="s">
        <v>44</v>
      </c>
    </row>
    <row r="1432" spans="1:20">
      <c r="A1432" s="10">
        <v>1425</v>
      </c>
      <c r="B1432" s="10" t="s">
        <v>1762</v>
      </c>
      <c r="C1432" s="10" t="s">
        <v>1740</v>
      </c>
      <c r="D1432" s="10" t="s">
        <v>655</v>
      </c>
      <c r="E1432" s="10" t="s">
        <v>34</v>
      </c>
      <c r="F1432" s="10" t="s">
        <v>35</v>
      </c>
      <c r="G1432" s="8" t="s">
        <v>41</v>
      </c>
      <c r="H1432" s="12">
        <v>1</v>
      </c>
      <c r="I1432" s="12">
        <v>1</v>
      </c>
      <c r="J1432" s="15">
        <v>8000.0</v>
      </c>
      <c r="K1432" s="15"/>
      <c r="L1432" s="17">
        <f>IF(J1432&gt;0, K1432/J1432, 0)</f>
        <v>0</v>
      </c>
      <c r="M1432" s="15">
        <v>8000.0</v>
      </c>
      <c r="N1432" s="15"/>
      <c r="O1432" s="15">
        <f>M1432-N1432</f>
        <v>8000</v>
      </c>
      <c r="P1432" s="10" t="s">
        <v>42</v>
      </c>
      <c r="Q1432" s="10" t="s">
        <v>43</v>
      </c>
      <c r="R1432" s="10" t="s">
        <v>44</v>
      </c>
      <c r="S1432" s="8" t="s">
        <v>2137</v>
      </c>
      <c r="T1432" s="8" t="s">
        <v>44</v>
      </c>
    </row>
    <row r="1433" spans="1:20">
      <c r="A1433" s="11">
        <v>1426</v>
      </c>
      <c r="B1433" s="11" t="s">
        <v>1763</v>
      </c>
      <c r="C1433" s="11" t="s">
        <v>1740</v>
      </c>
      <c r="D1433" s="11" t="s">
        <v>655</v>
      </c>
      <c r="E1433" s="11" t="s">
        <v>34</v>
      </c>
      <c r="F1433" s="11" t="s">
        <v>35</v>
      </c>
      <c r="G1433" s="9" t="s">
        <v>41</v>
      </c>
      <c r="H1433" s="13">
        <v>1</v>
      </c>
      <c r="I1433" s="13">
        <v>1</v>
      </c>
      <c r="J1433" s="16">
        <v>7000.0</v>
      </c>
      <c r="K1433" s="16"/>
      <c r="L1433" s="18">
        <f>IF(J1433&gt;0, K1433/J1433, 0)</f>
        <v>0</v>
      </c>
      <c r="M1433" s="16">
        <v>7000.0</v>
      </c>
      <c r="N1433" s="16"/>
      <c r="O1433" s="16">
        <f>M1433-N1433</f>
        <v>7000</v>
      </c>
      <c r="P1433" s="11" t="s">
        <v>42</v>
      </c>
      <c r="Q1433" s="11" t="s">
        <v>43</v>
      </c>
      <c r="R1433" s="11" t="s">
        <v>44</v>
      </c>
      <c r="S1433" s="9" t="s">
        <v>2088</v>
      </c>
      <c r="T1433" s="9" t="s">
        <v>44</v>
      </c>
    </row>
    <row r="1434" spans="1:20">
      <c r="A1434" s="10">
        <v>1427</v>
      </c>
      <c r="B1434" s="10" t="s">
        <v>1764</v>
      </c>
      <c r="C1434" s="10" t="s">
        <v>1740</v>
      </c>
      <c r="D1434" s="10" t="s">
        <v>655</v>
      </c>
      <c r="E1434" s="10" t="s">
        <v>34</v>
      </c>
      <c r="F1434" s="10" t="s">
        <v>35</v>
      </c>
      <c r="G1434" s="8" t="s">
        <v>41</v>
      </c>
      <c r="H1434" s="12">
        <v>1</v>
      </c>
      <c r="I1434" s="12">
        <v>2</v>
      </c>
      <c r="J1434" s="15">
        <v>14000.0</v>
      </c>
      <c r="K1434" s="15"/>
      <c r="L1434" s="17">
        <f>IF(J1434&gt;0, K1434/J1434, 0)</f>
        <v>0</v>
      </c>
      <c r="M1434" s="15">
        <v>14000.0</v>
      </c>
      <c r="N1434" s="15"/>
      <c r="O1434" s="15">
        <f>M1434-N1434</f>
        <v>14000</v>
      </c>
      <c r="P1434" s="10" t="s">
        <v>42</v>
      </c>
      <c r="Q1434" s="10" t="s">
        <v>43</v>
      </c>
      <c r="R1434" s="10" t="s">
        <v>44</v>
      </c>
      <c r="S1434" s="8" t="s">
        <v>2140</v>
      </c>
      <c r="T1434" s="8" t="s">
        <v>44</v>
      </c>
    </row>
    <row r="1435" spans="1:20">
      <c r="A1435" s="11">
        <v>1428</v>
      </c>
      <c r="B1435" s="11" t="s">
        <v>1765</v>
      </c>
      <c r="C1435" s="11" t="s">
        <v>1740</v>
      </c>
      <c r="D1435" s="11" t="s">
        <v>655</v>
      </c>
      <c r="E1435" s="11" t="s">
        <v>34</v>
      </c>
      <c r="F1435" s="11" t="s">
        <v>35</v>
      </c>
      <c r="G1435" s="9" t="s">
        <v>41</v>
      </c>
      <c r="H1435" s="13">
        <v>1</v>
      </c>
      <c r="I1435" s="13">
        <v>1</v>
      </c>
      <c r="J1435" s="16">
        <v>17000.0</v>
      </c>
      <c r="K1435" s="16"/>
      <c r="L1435" s="18">
        <f>IF(J1435&gt;0, K1435/J1435, 0)</f>
        <v>0</v>
      </c>
      <c r="M1435" s="16">
        <v>17000.0</v>
      </c>
      <c r="N1435" s="16"/>
      <c r="O1435" s="16">
        <f>M1435-N1435</f>
        <v>17000</v>
      </c>
      <c r="P1435" s="11" t="s">
        <v>42</v>
      </c>
      <c r="Q1435" s="11" t="s">
        <v>43</v>
      </c>
      <c r="R1435" s="11" t="s">
        <v>44</v>
      </c>
      <c r="S1435" s="9" t="s">
        <v>2073</v>
      </c>
      <c r="T1435" s="9" t="s">
        <v>44</v>
      </c>
    </row>
    <row r="1436" spans="1:20">
      <c r="A1436" s="10">
        <v>1429</v>
      </c>
      <c r="B1436" s="10" t="s">
        <v>1766</v>
      </c>
      <c r="C1436" s="10" t="s">
        <v>1740</v>
      </c>
      <c r="D1436" s="10" t="s">
        <v>655</v>
      </c>
      <c r="E1436" s="10" t="s">
        <v>70</v>
      </c>
      <c r="F1436" s="10" t="s">
        <v>35</v>
      </c>
      <c r="G1436" s="8" t="s">
        <v>41</v>
      </c>
      <c r="H1436" s="12">
        <v>1</v>
      </c>
      <c r="I1436" s="12">
        <v>1</v>
      </c>
      <c r="J1436" s="15">
        <v>10000.0</v>
      </c>
      <c r="K1436" s="15"/>
      <c r="L1436" s="17">
        <f>IF(J1436&gt;0, K1436/J1436, 0)</f>
        <v>0</v>
      </c>
      <c r="M1436" s="15">
        <v>10000.0</v>
      </c>
      <c r="N1436" s="15"/>
      <c r="O1436" s="15">
        <f>M1436-N1436</f>
        <v>10000</v>
      </c>
      <c r="P1436" s="10" t="s">
        <v>42</v>
      </c>
      <c r="Q1436" s="10" t="s">
        <v>73</v>
      </c>
      <c r="R1436" s="10" t="s">
        <v>44</v>
      </c>
      <c r="S1436" s="8" t="s">
        <v>2058</v>
      </c>
      <c r="T1436" s="8" t="s">
        <v>44</v>
      </c>
    </row>
    <row r="1437" spans="1:20">
      <c r="A1437" s="11">
        <v>1430</v>
      </c>
      <c r="B1437" s="11" t="s">
        <v>1767</v>
      </c>
      <c r="C1437" s="11" t="s">
        <v>1740</v>
      </c>
      <c r="D1437" s="11" t="s">
        <v>655</v>
      </c>
      <c r="E1437" s="11" t="s">
        <v>70</v>
      </c>
      <c r="F1437" s="11" t="s">
        <v>35</v>
      </c>
      <c r="G1437" s="9" t="s">
        <v>41</v>
      </c>
      <c r="H1437" s="13">
        <v>1</v>
      </c>
      <c r="I1437" s="13">
        <v>2</v>
      </c>
      <c r="J1437" s="16">
        <v>16000.0</v>
      </c>
      <c r="K1437" s="16"/>
      <c r="L1437" s="18">
        <f>IF(J1437&gt;0, K1437/J1437, 0)</f>
        <v>0</v>
      </c>
      <c r="M1437" s="16">
        <v>16000.0</v>
      </c>
      <c r="N1437" s="16"/>
      <c r="O1437" s="16">
        <f>M1437-N1437</f>
        <v>16000</v>
      </c>
      <c r="P1437" s="11" t="s">
        <v>42</v>
      </c>
      <c r="Q1437" s="11" t="s">
        <v>73</v>
      </c>
      <c r="R1437" s="11" t="s">
        <v>44</v>
      </c>
      <c r="S1437" s="9" t="s">
        <v>2234</v>
      </c>
      <c r="T1437" s="9" t="s">
        <v>44</v>
      </c>
    </row>
    <row r="1438" spans="1:20">
      <c r="A1438" s="10">
        <v>1431</v>
      </c>
      <c r="B1438" s="10" t="s">
        <v>1768</v>
      </c>
      <c r="C1438" s="10" t="s">
        <v>1769</v>
      </c>
      <c r="D1438" s="10" t="s">
        <v>655</v>
      </c>
      <c r="E1438" s="10" t="s">
        <v>34</v>
      </c>
      <c r="F1438" s="10" t="s">
        <v>35</v>
      </c>
      <c r="G1438" s="8" t="s">
        <v>41</v>
      </c>
      <c r="H1438" s="12">
        <v>1</v>
      </c>
      <c r="I1438" s="12">
        <v>2</v>
      </c>
      <c r="J1438" s="15">
        <v>16000.0</v>
      </c>
      <c r="K1438" s="15"/>
      <c r="L1438" s="17">
        <f>IF(J1438&gt;0, K1438/J1438, 0)</f>
        <v>0</v>
      </c>
      <c r="M1438" s="15">
        <v>16000.0</v>
      </c>
      <c r="N1438" s="15"/>
      <c r="O1438" s="15">
        <f>M1438-N1438</f>
        <v>16000</v>
      </c>
      <c r="P1438" s="10" t="s">
        <v>42</v>
      </c>
      <c r="Q1438" s="10" t="s">
        <v>43</v>
      </c>
      <c r="R1438" s="10" t="s">
        <v>44</v>
      </c>
      <c r="S1438" s="8" t="s">
        <v>2184</v>
      </c>
      <c r="T1438" s="8" t="s">
        <v>44</v>
      </c>
    </row>
    <row r="1439" spans="1:20">
      <c r="A1439" s="11">
        <v>1432</v>
      </c>
      <c r="B1439" s="11" t="s">
        <v>1770</v>
      </c>
      <c r="C1439" s="11" t="s">
        <v>1769</v>
      </c>
      <c r="D1439" s="11" t="s">
        <v>655</v>
      </c>
      <c r="E1439" s="11" t="s">
        <v>34</v>
      </c>
      <c r="F1439" s="11" t="s">
        <v>35</v>
      </c>
      <c r="G1439" s="9" t="s">
        <v>41</v>
      </c>
      <c r="H1439" s="13">
        <v>1</v>
      </c>
      <c r="I1439" s="13">
        <v>3</v>
      </c>
      <c r="J1439" s="16">
        <v>24000.0</v>
      </c>
      <c r="K1439" s="16"/>
      <c r="L1439" s="18">
        <f>IF(J1439&gt;0, K1439/J1439, 0)</f>
        <v>0</v>
      </c>
      <c r="M1439" s="16">
        <v>24000.0</v>
      </c>
      <c r="N1439" s="16"/>
      <c r="O1439" s="16">
        <f>M1439-N1439</f>
        <v>24000</v>
      </c>
      <c r="P1439" s="11" t="s">
        <v>42</v>
      </c>
      <c r="Q1439" s="11" t="s">
        <v>43</v>
      </c>
      <c r="R1439" s="11" t="s">
        <v>44</v>
      </c>
      <c r="S1439" s="9" t="s">
        <v>2235</v>
      </c>
      <c r="T1439" s="9" t="s">
        <v>44</v>
      </c>
    </row>
    <row r="1440" spans="1:20">
      <c r="A1440" s="10">
        <v>1433</v>
      </c>
      <c r="B1440" s="10" t="s">
        <v>1771</v>
      </c>
      <c r="C1440" s="10" t="s">
        <v>1769</v>
      </c>
      <c r="D1440" s="10" t="s">
        <v>655</v>
      </c>
      <c r="E1440" s="10" t="s">
        <v>34</v>
      </c>
      <c r="F1440" s="10" t="s">
        <v>35</v>
      </c>
      <c r="G1440" s="8" t="s">
        <v>41</v>
      </c>
      <c r="H1440" s="12">
        <v>1</v>
      </c>
      <c r="I1440" s="12">
        <v>3</v>
      </c>
      <c r="J1440" s="15">
        <v>21000.0</v>
      </c>
      <c r="K1440" s="15"/>
      <c r="L1440" s="17">
        <f>IF(J1440&gt;0, K1440/J1440, 0)</f>
        <v>0</v>
      </c>
      <c r="M1440" s="15">
        <v>21000.0</v>
      </c>
      <c r="N1440" s="15"/>
      <c r="O1440" s="15">
        <f>M1440-N1440</f>
        <v>21000</v>
      </c>
      <c r="P1440" s="10" t="s">
        <v>42</v>
      </c>
      <c r="Q1440" s="10" t="s">
        <v>43</v>
      </c>
      <c r="R1440" s="10" t="s">
        <v>44</v>
      </c>
      <c r="S1440" s="8" t="s">
        <v>2183</v>
      </c>
      <c r="T1440" s="8" t="s">
        <v>44</v>
      </c>
    </row>
    <row r="1441" spans="1:20">
      <c r="A1441" s="11">
        <v>1434</v>
      </c>
      <c r="B1441" s="11" t="s">
        <v>1772</v>
      </c>
      <c r="C1441" s="11" t="s">
        <v>1769</v>
      </c>
      <c r="D1441" s="11" t="s">
        <v>655</v>
      </c>
      <c r="E1441" s="11" t="s">
        <v>70</v>
      </c>
      <c r="F1441" s="11" t="s">
        <v>35</v>
      </c>
      <c r="G1441" s="9" t="s">
        <v>41</v>
      </c>
      <c r="H1441" s="13">
        <v>1</v>
      </c>
      <c r="I1441" s="13">
        <v>1</v>
      </c>
      <c r="J1441" s="16">
        <v>11000.0</v>
      </c>
      <c r="K1441" s="16"/>
      <c r="L1441" s="18">
        <f>IF(J1441&gt;0, K1441/J1441, 0)</f>
        <v>0</v>
      </c>
      <c r="M1441" s="16">
        <v>11000.0</v>
      </c>
      <c r="N1441" s="16"/>
      <c r="O1441" s="16">
        <f>M1441-N1441</f>
        <v>11000</v>
      </c>
      <c r="P1441" s="11" t="s">
        <v>42</v>
      </c>
      <c r="Q1441" s="11" t="s">
        <v>73</v>
      </c>
      <c r="R1441" s="11" t="s">
        <v>44</v>
      </c>
      <c r="S1441" s="9" t="s">
        <v>2084</v>
      </c>
      <c r="T1441" s="9" t="s">
        <v>44</v>
      </c>
    </row>
    <row r="1442" spans="1:20">
      <c r="A1442" s="10">
        <v>1435</v>
      </c>
      <c r="B1442" s="10" t="s">
        <v>1774</v>
      </c>
      <c r="C1442" s="10" t="s">
        <v>1769</v>
      </c>
      <c r="D1442" s="10" t="s">
        <v>655</v>
      </c>
      <c r="E1442" s="10" t="s">
        <v>34</v>
      </c>
      <c r="F1442" s="10" t="s">
        <v>35</v>
      </c>
      <c r="G1442" s="8" t="s">
        <v>41</v>
      </c>
      <c r="H1442" s="12">
        <v>1</v>
      </c>
      <c r="I1442" s="12">
        <v>1</v>
      </c>
      <c r="J1442" s="15">
        <v>18000.0</v>
      </c>
      <c r="K1442" s="15"/>
      <c r="L1442" s="17">
        <f>IF(J1442&gt;0, K1442/J1442, 0)</f>
        <v>0</v>
      </c>
      <c r="M1442" s="15">
        <v>18000.0</v>
      </c>
      <c r="N1442" s="15"/>
      <c r="O1442" s="15">
        <f>M1442-N1442</f>
        <v>18000</v>
      </c>
      <c r="P1442" s="10" t="s">
        <v>42</v>
      </c>
      <c r="Q1442" s="10" t="s">
        <v>43</v>
      </c>
      <c r="R1442" s="10" t="s">
        <v>44</v>
      </c>
      <c r="S1442" s="8" t="s">
        <v>2049</v>
      </c>
      <c r="T1442" s="8" t="s">
        <v>44</v>
      </c>
    </row>
    <row r="1443" spans="1:20">
      <c r="A1443" s="11">
        <v>1436</v>
      </c>
      <c r="B1443" s="11" t="s">
        <v>1775</v>
      </c>
      <c r="C1443" s="11" t="s">
        <v>1769</v>
      </c>
      <c r="D1443" s="11" t="s">
        <v>655</v>
      </c>
      <c r="E1443" s="11" t="s">
        <v>34</v>
      </c>
      <c r="F1443" s="11" t="s">
        <v>35</v>
      </c>
      <c r="G1443" s="9" t="s">
        <v>41</v>
      </c>
      <c r="H1443" s="13">
        <v>1</v>
      </c>
      <c r="I1443" s="13">
        <v>1</v>
      </c>
      <c r="J1443" s="16">
        <v>8500.0</v>
      </c>
      <c r="K1443" s="16"/>
      <c r="L1443" s="18">
        <f>IF(J1443&gt;0, K1443/J1443, 0)</f>
        <v>0</v>
      </c>
      <c r="M1443" s="16">
        <v>8500.0</v>
      </c>
      <c r="N1443" s="16"/>
      <c r="O1443" s="16">
        <f>M1443-N1443</f>
        <v>8500</v>
      </c>
      <c r="P1443" s="11" t="s">
        <v>42</v>
      </c>
      <c r="Q1443" s="11" t="s">
        <v>43</v>
      </c>
      <c r="R1443" s="11" t="s">
        <v>44</v>
      </c>
      <c r="S1443" s="9" t="s">
        <v>2098</v>
      </c>
      <c r="T1443" s="9" t="s">
        <v>44</v>
      </c>
    </row>
    <row r="1444" spans="1:20">
      <c r="A1444" s="10">
        <v>1437</v>
      </c>
      <c r="B1444" s="10" t="s">
        <v>1776</v>
      </c>
      <c r="C1444" s="10" t="s">
        <v>1777</v>
      </c>
      <c r="D1444" s="10" t="s">
        <v>655</v>
      </c>
      <c r="E1444" s="10" t="s">
        <v>70</v>
      </c>
      <c r="F1444" s="10" t="s">
        <v>35</v>
      </c>
      <c r="G1444" s="8" t="s">
        <v>41</v>
      </c>
      <c r="H1444" s="12">
        <v>1</v>
      </c>
      <c r="I1444" s="12">
        <v>1</v>
      </c>
      <c r="J1444" s="15">
        <v>10000.0</v>
      </c>
      <c r="K1444" s="15"/>
      <c r="L1444" s="17">
        <f>IF(J1444&gt;0, K1444/J1444, 0)</f>
        <v>0</v>
      </c>
      <c r="M1444" s="15">
        <v>10000.0</v>
      </c>
      <c r="N1444" s="15"/>
      <c r="O1444" s="15">
        <f>M1444-N1444</f>
        <v>10000</v>
      </c>
      <c r="P1444" s="10" t="s">
        <v>42</v>
      </c>
      <c r="Q1444" s="10" t="s">
        <v>73</v>
      </c>
      <c r="R1444" s="10" t="s">
        <v>44</v>
      </c>
      <c r="S1444" s="8" t="s">
        <v>2098</v>
      </c>
      <c r="T1444" s="8" t="s">
        <v>44</v>
      </c>
    </row>
    <row r="1445" spans="1:20">
      <c r="A1445" s="11">
        <v>1438</v>
      </c>
      <c r="B1445" s="11" t="s">
        <v>1778</v>
      </c>
      <c r="C1445" s="11" t="s">
        <v>1777</v>
      </c>
      <c r="D1445" s="11" t="s">
        <v>655</v>
      </c>
      <c r="E1445" s="11" t="s">
        <v>70</v>
      </c>
      <c r="F1445" s="11" t="s">
        <v>35</v>
      </c>
      <c r="G1445" s="9" t="s">
        <v>41</v>
      </c>
      <c r="H1445" s="13">
        <v>1</v>
      </c>
      <c r="I1445" s="13">
        <v>1</v>
      </c>
      <c r="J1445" s="16">
        <v>10000.0</v>
      </c>
      <c r="K1445" s="16"/>
      <c r="L1445" s="18">
        <f>IF(J1445&gt;0, K1445/J1445, 0)</f>
        <v>0</v>
      </c>
      <c r="M1445" s="16">
        <v>10000.0</v>
      </c>
      <c r="N1445" s="16"/>
      <c r="O1445" s="16">
        <f>M1445-N1445</f>
        <v>10000</v>
      </c>
      <c r="P1445" s="11" t="s">
        <v>42</v>
      </c>
      <c r="Q1445" s="11" t="s">
        <v>73</v>
      </c>
      <c r="R1445" s="11" t="s">
        <v>44</v>
      </c>
      <c r="S1445" s="9" t="s">
        <v>2053</v>
      </c>
      <c r="T1445" s="9" t="s">
        <v>44</v>
      </c>
    </row>
    <row r="1446" spans="1:20">
      <c r="A1446" s="10">
        <v>1439</v>
      </c>
      <c r="B1446" s="10" t="s">
        <v>1779</v>
      </c>
      <c r="C1446" s="10" t="s">
        <v>1777</v>
      </c>
      <c r="D1446" s="10" t="s">
        <v>655</v>
      </c>
      <c r="E1446" s="10" t="s">
        <v>34</v>
      </c>
      <c r="F1446" s="10" t="s">
        <v>35</v>
      </c>
      <c r="G1446" s="8" t="s">
        <v>41</v>
      </c>
      <c r="H1446" s="12">
        <v>1</v>
      </c>
      <c r="I1446" s="12">
        <v>1</v>
      </c>
      <c r="J1446" s="15">
        <v>8000.0</v>
      </c>
      <c r="K1446" s="15"/>
      <c r="L1446" s="17">
        <f>IF(J1446&gt;0, K1446/J1446, 0)</f>
        <v>0</v>
      </c>
      <c r="M1446" s="15">
        <v>8000.0</v>
      </c>
      <c r="N1446" s="15"/>
      <c r="O1446" s="15">
        <f>M1446-N1446</f>
        <v>8000</v>
      </c>
      <c r="P1446" s="10" t="s">
        <v>42</v>
      </c>
      <c r="Q1446" s="10" t="s">
        <v>43</v>
      </c>
      <c r="R1446" s="10" t="s">
        <v>44</v>
      </c>
      <c r="S1446" s="8" t="s">
        <v>2053</v>
      </c>
      <c r="T1446" s="8" t="s">
        <v>44</v>
      </c>
    </row>
    <row r="1447" spans="1:20">
      <c r="A1447" s="11">
        <v>1440</v>
      </c>
      <c r="B1447" s="11" t="s">
        <v>1780</v>
      </c>
      <c r="C1447" s="11" t="s">
        <v>1777</v>
      </c>
      <c r="D1447" s="11" t="s">
        <v>655</v>
      </c>
      <c r="E1447" s="11" t="s">
        <v>34</v>
      </c>
      <c r="F1447" s="11" t="s">
        <v>35</v>
      </c>
      <c r="G1447" s="9" t="s">
        <v>41</v>
      </c>
      <c r="H1447" s="13">
        <v>1</v>
      </c>
      <c r="I1447" s="13">
        <v>2</v>
      </c>
      <c r="J1447" s="16">
        <v>16000.0</v>
      </c>
      <c r="K1447" s="16"/>
      <c r="L1447" s="18">
        <f>IF(J1447&gt;0, K1447/J1447, 0)</f>
        <v>0</v>
      </c>
      <c r="M1447" s="16">
        <v>16000.0</v>
      </c>
      <c r="N1447" s="16"/>
      <c r="O1447" s="16">
        <f>M1447-N1447</f>
        <v>16000</v>
      </c>
      <c r="P1447" s="11" t="s">
        <v>42</v>
      </c>
      <c r="Q1447" s="11" t="s">
        <v>43</v>
      </c>
      <c r="R1447" s="11" t="s">
        <v>44</v>
      </c>
      <c r="S1447" s="9" t="s">
        <v>2184</v>
      </c>
      <c r="T1447" s="9" t="s">
        <v>44</v>
      </c>
    </row>
    <row r="1448" spans="1:20">
      <c r="A1448" s="10">
        <v>1441</v>
      </c>
      <c r="B1448" s="10" t="s">
        <v>1781</v>
      </c>
      <c r="C1448" s="10" t="s">
        <v>1777</v>
      </c>
      <c r="D1448" s="10" t="s">
        <v>655</v>
      </c>
      <c r="E1448" s="10" t="s">
        <v>34</v>
      </c>
      <c r="F1448" s="10" t="s">
        <v>35</v>
      </c>
      <c r="G1448" s="8" t="s">
        <v>41</v>
      </c>
      <c r="H1448" s="12">
        <v>1</v>
      </c>
      <c r="I1448" s="12">
        <v>1</v>
      </c>
      <c r="J1448" s="15">
        <v>18000.0</v>
      </c>
      <c r="K1448" s="15"/>
      <c r="L1448" s="17">
        <f>IF(J1448&gt;0, K1448/J1448, 0)</f>
        <v>0</v>
      </c>
      <c r="M1448" s="15">
        <v>18000.0</v>
      </c>
      <c r="N1448" s="15"/>
      <c r="O1448" s="15">
        <f>M1448-N1448</f>
        <v>18000</v>
      </c>
      <c r="P1448" s="10" t="s">
        <v>42</v>
      </c>
      <c r="Q1448" s="10" t="s">
        <v>43</v>
      </c>
      <c r="R1448" s="10" t="s">
        <v>44</v>
      </c>
      <c r="S1448" s="8" t="s">
        <v>2114</v>
      </c>
      <c r="T1448" s="8" t="s">
        <v>44</v>
      </c>
    </row>
    <row r="1449" spans="1:20">
      <c r="A1449" s="11">
        <v>1442</v>
      </c>
      <c r="B1449" s="11" t="s">
        <v>1782</v>
      </c>
      <c r="C1449" s="11" t="s">
        <v>1777</v>
      </c>
      <c r="D1449" s="11" t="s">
        <v>655</v>
      </c>
      <c r="E1449" s="11" t="s">
        <v>34</v>
      </c>
      <c r="F1449" s="11" t="s">
        <v>35</v>
      </c>
      <c r="G1449" s="9" t="s">
        <v>41</v>
      </c>
      <c r="H1449" s="13">
        <v>1</v>
      </c>
      <c r="I1449" s="13">
        <v>2</v>
      </c>
      <c r="J1449" s="16">
        <v>14000.0</v>
      </c>
      <c r="K1449" s="16"/>
      <c r="L1449" s="18">
        <f>IF(J1449&gt;0, K1449/J1449, 0)</f>
        <v>0</v>
      </c>
      <c r="M1449" s="16">
        <v>14000.0</v>
      </c>
      <c r="N1449" s="16"/>
      <c r="O1449" s="16">
        <f>M1449-N1449</f>
        <v>14000</v>
      </c>
      <c r="P1449" s="11" t="s">
        <v>42</v>
      </c>
      <c r="Q1449" s="11" t="s">
        <v>43</v>
      </c>
      <c r="R1449" s="11" t="s">
        <v>44</v>
      </c>
      <c r="S1449" s="9" t="s">
        <v>2063</v>
      </c>
      <c r="T1449" s="9" t="s">
        <v>44</v>
      </c>
    </row>
    <row r="1450" spans="1:20">
      <c r="A1450" s="10">
        <v>1443</v>
      </c>
      <c r="B1450" s="10" t="s">
        <v>1783</v>
      </c>
      <c r="C1450" s="10" t="s">
        <v>1777</v>
      </c>
      <c r="D1450" s="10" t="s">
        <v>655</v>
      </c>
      <c r="E1450" s="10" t="s">
        <v>34</v>
      </c>
      <c r="F1450" s="10" t="s">
        <v>35</v>
      </c>
      <c r="G1450" s="8" t="s">
        <v>41</v>
      </c>
      <c r="H1450" s="12">
        <v>1</v>
      </c>
      <c r="I1450" s="12">
        <v>1</v>
      </c>
      <c r="J1450" s="15">
        <v>8000.0</v>
      </c>
      <c r="K1450" s="15"/>
      <c r="L1450" s="17">
        <f>IF(J1450&gt;0, K1450/J1450, 0)</f>
        <v>0</v>
      </c>
      <c r="M1450" s="15">
        <v>8000.0</v>
      </c>
      <c r="N1450" s="15"/>
      <c r="O1450" s="15">
        <f>M1450-N1450</f>
        <v>8000</v>
      </c>
      <c r="P1450" s="10" t="s">
        <v>42</v>
      </c>
      <c r="Q1450" s="10" t="s">
        <v>43</v>
      </c>
      <c r="R1450" s="10" t="s">
        <v>44</v>
      </c>
      <c r="S1450" s="8" t="s">
        <v>2115</v>
      </c>
      <c r="T1450" s="8" t="s">
        <v>44</v>
      </c>
    </row>
    <row r="1451" spans="1:20">
      <c r="A1451" s="11">
        <v>1444</v>
      </c>
      <c r="B1451" s="11" t="s">
        <v>1784</v>
      </c>
      <c r="C1451" s="11" t="s">
        <v>1777</v>
      </c>
      <c r="D1451" s="11" t="s">
        <v>655</v>
      </c>
      <c r="E1451" s="11" t="s">
        <v>34</v>
      </c>
      <c r="F1451" s="11" t="s">
        <v>35</v>
      </c>
      <c r="G1451" s="9" t="s">
        <v>41</v>
      </c>
      <c r="H1451" s="13">
        <v>1</v>
      </c>
      <c r="I1451" s="13">
        <v>1</v>
      </c>
      <c r="J1451" s="16">
        <v>7000.0</v>
      </c>
      <c r="K1451" s="16"/>
      <c r="L1451" s="18">
        <f>IF(J1451&gt;0, K1451/J1451, 0)</f>
        <v>0</v>
      </c>
      <c r="M1451" s="16">
        <v>7000.0</v>
      </c>
      <c r="N1451" s="16"/>
      <c r="O1451" s="16">
        <f>M1451-N1451</f>
        <v>7000</v>
      </c>
      <c r="P1451" s="11" t="s">
        <v>42</v>
      </c>
      <c r="Q1451" s="11" t="s">
        <v>43</v>
      </c>
      <c r="R1451" s="11" t="s">
        <v>44</v>
      </c>
      <c r="S1451" s="9" t="s">
        <v>2029</v>
      </c>
      <c r="T1451" s="9" t="s">
        <v>44</v>
      </c>
    </row>
    <row r="1452" spans="1:20">
      <c r="A1452" s="10">
        <v>1445</v>
      </c>
      <c r="B1452" s="10" t="s">
        <v>1785</v>
      </c>
      <c r="C1452" s="10" t="s">
        <v>1777</v>
      </c>
      <c r="D1452" s="10" t="s">
        <v>655</v>
      </c>
      <c r="E1452" s="10" t="s">
        <v>34</v>
      </c>
      <c r="F1452" s="10" t="s">
        <v>35</v>
      </c>
      <c r="G1452" s="8" t="s">
        <v>41</v>
      </c>
      <c r="H1452" s="12">
        <v>1</v>
      </c>
      <c r="I1452" s="12">
        <v>1</v>
      </c>
      <c r="J1452" s="15">
        <v>9000.0</v>
      </c>
      <c r="K1452" s="15"/>
      <c r="L1452" s="17">
        <f>IF(J1452&gt;0, K1452/J1452, 0)</f>
        <v>0</v>
      </c>
      <c r="M1452" s="15">
        <v>9000.0</v>
      </c>
      <c r="N1452" s="15"/>
      <c r="O1452" s="15">
        <f>M1452-N1452</f>
        <v>9000</v>
      </c>
      <c r="P1452" s="10" t="s">
        <v>42</v>
      </c>
      <c r="Q1452" s="10" t="s">
        <v>43</v>
      </c>
      <c r="R1452" s="10" t="s">
        <v>44</v>
      </c>
      <c r="S1452" s="8" t="s">
        <v>2083</v>
      </c>
      <c r="T1452" s="8" t="s">
        <v>44</v>
      </c>
    </row>
    <row r="1453" spans="1:20">
      <c r="A1453" s="11">
        <v>1446</v>
      </c>
      <c r="B1453" s="11" t="s">
        <v>1786</v>
      </c>
      <c r="C1453" s="11" t="s">
        <v>1777</v>
      </c>
      <c r="D1453" s="11" t="s">
        <v>655</v>
      </c>
      <c r="E1453" s="11" t="s">
        <v>34</v>
      </c>
      <c r="F1453" s="11" t="s">
        <v>35</v>
      </c>
      <c r="G1453" s="9" t="s">
        <v>41</v>
      </c>
      <c r="H1453" s="13">
        <v>1</v>
      </c>
      <c r="I1453" s="13">
        <v>1</v>
      </c>
      <c r="J1453" s="16">
        <v>16000.0</v>
      </c>
      <c r="K1453" s="16"/>
      <c r="L1453" s="18">
        <f>IF(J1453&gt;0, K1453/J1453, 0)</f>
        <v>0</v>
      </c>
      <c r="M1453" s="16">
        <v>16000.0</v>
      </c>
      <c r="N1453" s="16"/>
      <c r="O1453" s="16">
        <f>M1453-N1453</f>
        <v>16000</v>
      </c>
      <c r="P1453" s="11" t="s">
        <v>42</v>
      </c>
      <c r="Q1453" s="11" t="s">
        <v>43</v>
      </c>
      <c r="R1453" s="11" t="s">
        <v>44</v>
      </c>
      <c r="S1453" s="9" t="s">
        <v>2036</v>
      </c>
      <c r="T1453" s="9" t="s">
        <v>44</v>
      </c>
    </row>
    <row r="1454" spans="1:20">
      <c r="A1454" s="10">
        <v>1447</v>
      </c>
      <c r="B1454" s="10" t="s">
        <v>1787</v>
      </c>
      <c r="C1454" s="10" t="s">
        <v>1777</v>
      </c>
      <c r="D1454" s="10" t="s">
        <v>655</v>
      </c>
      <c r="E1454" s="10" t="s">
        <v>34</v>
      </c>
      <c r="F1454" s="10" t="s">
        <v>35</v>
      </c>
      <c r="G1454" s="8" t="s">
        <v>41</v>
      </c>
      <c r="H1454" s="12">
        <v>1</v>
      </c>
      <c r="I1454" s="12">
        <v>1</v>
      </c>
      <c r="J1454" s="15">
        <v>8000.0</v>
      </c>
      <c r="K1454" s="15"/>
      <c r="L1454" s="17">
        <f>IF(J1454&gt;0, K1454/J1454, 0)</f>
        <v>0</v>
      </c>
      <c r="M1454" s="15">
        <v>8000.0</v>
      </c>
      <c r="N1454" s="15"/>
      <c r="O1454" s="15">
        <f>M1454-N1454</f>
        <v>8000</v>
      </c>
      <c r="P1454" s="10" t="s">
        <v>42</v>
      </c>
      <c r="Q1454" s="10" t="s">
        <v>43</v>
      </c>
      <c r="R1454" s="10" t="s">
        <v>44</v>
      </c>
      <c r="S1454" s="8" t="s">
        <v>2037</v>
      </c>
      <c r="T1454" s="8" t="s">
        <v>44</v>
      </c>
    </row>
    <row r="1455" spans="1:20">
      <c r="A1455" s="11">
        <v>1448</v>
      </c>
      <c r="B1455" s="11" t="s">
        <v>1788</v>
      </c>
      <c r="C1455" s="11" t="s">
        <v>1777</v>
      </c>
      <c r="D1455" s="11" t="s">
        <v>655</v>
      </c>
      <c r="E1455" s="11" t="s">
        <v>34</v>
      </c>
      <c r="F1455" s="11" t="s">
        <v>35</v>
      </c>
      <c r="G1455" s="9" t="s">
        <v>41</v>
      </c>
      <c r="H1455" s="13">
        <v>1</v>
      </c>
      <c r="I1455" s="13">
        <v>1</v>
      </c>
      <c r="J1455" s="16">
        <v>7000.0</v>
      </c>
      <c r="K1455" s="16"/>
      <c r="L1455" s="18">
        <f>IF(J1455&gt;0, K1455/J1455, 0)</f>
        <v>0</v>
      </c>
      <c r="M1455" s="16">
        <v>7000.0</v>
      </c>
      <c r="N1455" s="16"/>
      <c r="O1455" s="16">
        <f>M1455-N1455</f>
        <v>7000</v>
      </c>
      <c r="P1455" s="11" t="s">
        <v>42</v>
      </c>
      <c r="Q1455" s="11" t="s">
        <v>43</v>
      </c>
      <c r="R1455" s="11" t="s">
        <v>44</v>
      </c>
      <c r="S1455" s="9" t="s">
        <v>2055</v>
      </c>
      <c r="T1455" s="9" t="s">
        <v>44</v>
      </c>
    </row>
    <row r="1456" spans="1:20">
      <c r="A1456" s="10">
        <v>1449</v>
      </c>
      <c r="B1456" s="10" t="s">
        <v>1790</v>
      </c>
      <c r="C1456" s="10" t="s">
        <v>1777</v>
      </c>
      <c r="D1456" s="10" t="s">
        <v>655</v>
      </c>
      <c r="E1456" s="10" t="s">
        <v>34</v>
      </c>
      <c r="F1456" s="10" t="s">
        <v>35</v>
      </c>
      <c r="G1456" s="8" t="s">
        <v>41</v>
      </c>
      <c r="H1456" s="12">
        <v>1</v>
      </c>
      <c r="I1456" s="12">
        <v>1</v>
      </c>
      <c r="J1456" s="15">
        <v>7500.0</v>
      </c>
      <c r="K1456" s="15"/>
      <c r="L1456" s="17">
        <f>IF(J1456&gt;0, K1456/J1456, 0)</f>
        <v>0</v>
      </c>
      <c r="M1456" s="15">
        <v>7500.0</v>
      </c>
      <c r="N1456" s="15"/>
      <c r="O1456" s="15">
        <f>M1456-N1456</f>
        <v>7500</v>
      </c>
      <c r="P1456" s="10" t="s">
        <v>42</v>
      </c>
      <c r="Q1456" s="10" t="s">
        <v>43</v>
      </c>
      <c r="R1456" s="10" t="s">
        <v>44</v>
      </c>
      <c r="S1456" s="8" t="s">
        <v>2074</v>
      </c>
      <c r="T1456" s="8" t="s">
        <v>44</v>
      </c>
    </row>
    <row r="1457" spans="1:20">
      <c r="A1457" s="11">
        <v>1450</v>
      </c>
      <c r="B1457" s="11" t="s">
        <v>1791</v>
      </c>
      <c r="C1457" s="11" t="s">
        <v>1777</v>
      </c>
      <c r="D1457" s="11" t="s">
        <v>655</v>
      </c>
      <c r="E1457" s="11" t="s">
        <v>34</v>
      </c>
      <c r="F1457" s="11" t="s">
        <v>35</v>
      </c>
      <c r="G1457" s="9" t="s">
        <v>41</v>
      </c>
      <c r="H1457" s="13">
        <v>1</v>
      </c>
      <c r="I1457" s="13">
        <v>1</v>
      </c>
      <c r="J1457" s="16">
        <v>8500.0</v>
      </c>
      <c r="K1457" s="16"/>
      <c r="L1457" s="18">
        <f>IF(J1457&gt;0, K1457/J1457, 0)</f>
        <v>0</v>
      </c>
      <c r="M1457" s="16">
        <v>8500.0</v>
      </c>
      <c r="N1457" s="16"/>
      <c r="O1457" s="16">
        <f>M1457-N1457</f>
        <v>8500</v>
      </c>
      <c r="P1457" s="11" t="s">
        <v>42</v>
      </c>
      <c r="Q1457" s="11" t="s">
        <v>43</v>
      </c>
      <c r="R1457" s="11" t="s">
        <v>44</v>
      </c>
      <c r="S1457" s="9" t="s">
        <v>2103</v>
      </c>
      <c r="T1457" s="9" t="s">
        <v>44</v>
      </c>
    </row>
    <row r="1458" spans="1:20">
      <c r="A1458" s="10">
        <v>1451</v>
      </c>
      <c r="B1458" s="10" t="s">
        <v>1792</v>
      </c>
      <c r="C1458" s="10" t="s">
        <v>1777</v>
      </c>
      <c r="D1458" s="10" t="s">
        <v>655</v>
      </c>
      <c r="E1458" s="10" t="s">
        <v>34</v>
      </c>
      <c r="F1458" s="10" t="s">
        <v>35</v>
      </c>
      <c r="G1458" s="8" t="s">
        <v>41</v>
      </c>
      <c r="H1458" s="12">
        <v>1</v>
      </c>
      <c r="I1458" s="12">
        <v>1</v>
      </c>
      <c r="J1458" s="15">
        <v>9500.0</v>
      </c>
      <c r="K1458" s="15"/>
      <c r="L1458" s="17">
        <f>IF(J1458&gt;0, K1458/J1458, 0)</f>
        <v>0</v>
      </c>
      <c r="M1458" s="15">
        <v>9500.0</v>
      </c>
      <c r="N1458" s="15"/>
      <c r="O1458" s="15">
        <f>M1458-N1458</f>
        <v>9500</v>
      </c>
      <c r="P1458" s="10" t="s">
        <v>42</v>
      </c>
      <c r="Q1458" s="10" t="s">
        <v>43</v>
      </c>
      <c r="R1458" s="10" t="s">
        <v>44</v>
      </c>
      <c r="S1458" s="8" t="s">
        <v>2052</v>
      </c>
      <c r="T1458" s="8" t="s">
        <v>44</v>
      </c>
    </row>
    <row r="1459" spans="1:20">
      <c r="A1459" s="11">
        <v>1452</v>
      </c>
      <c r="B1459" s="11" t="s">
        <v>1793</v>
      </c>
      <c r="C1459" s="11" t="s">
        <v>1777</v>
      </c>
      <c r="D1459" s="11" t="s">
        <v>655</v>
      </c>
      <c r="E1459" s="11" t="s">
        <v>34</v>
      </c>
      <c r="F1459" s="11" t="s">
        <v>35</v>
      </c>
      <c r="G1459" s="9" t="s">
        <v>41</v>
      </c>
      <c r="H1459" s="13">
        <v>1</v>
      </c>
      <c r="I1459" s="13">
        <v>1</v>
      </c>
      <c r="J1459" s="16">
        <v>16500.0</v>
      </c>
      <c r="K1459" s="16"/>
      <c r="L1459" s="18">
        <f>IF(J1459&gt;0, K1459/J1459, 0)</f>
        <v>0</v>
      </c>
      <c r="M1459" s="16">
        <v>16500.0</v>
      </c>
      <c r="N1459" s="16"/>
      <c r="O1459" s="16">
        <f>M1459-N1459</f>
        <v>16500</v>
      </c>
      <c r="P1459" s="11" t="s">
        <v>42</v>
      </c>
      <c r="Q1459" s="11" t="s">
        <v>43</v>
      </c>
      <c r="R1459" s="11" t="s">
        <v>44</v>
      </c>
      <c r="S1459" s="9" t="s">
        <v>2070</v>
      </c>
      <c r="T1459" s="9" t="s">
        <v>44</v>
      </c>
    </row>
    <row r="1460" spans="1:20">
      <c r="A1460" s="10">
        <v>1453</v>
      </c>
      <c r="B1460" s="10" t="s">
        <v>1794</v>
      </c>
      <c r="C1460" s="10" t="s">
        <v>1777</v>
      </c>
      <c r="D1460" s="10" t="s">
        <v>655</v>
      </c>
      <c r="E1460" s="10" t="s">
        <v>34</v>
      </c>
      <c r="F1460" s="10" t="s">
        <v>35</v>
      </c>
      <c r="G1460" s="8" t="s">
        <v>41</v>
      </c>
      <c r="H1460" s="12">
        <v>1</v>
      </c>
      <c r="I1460" s="12">
        <v>1</v>
      </c>
      <c r="J1460" s="15">
        <v>9000.0</v>
      </c>
      <c r="K1460" s="15"/>
      <c r="L1460" s="17">
        <f>IF(J1460&gt;0, K1460/J1460, 0)</f>
        <v>0</v>
      </c>
      <c r="M1460" s="15">
        <v>9000.0</v>
      </c>
      <c r="N1460" s="15"/>
      <c r="O1460" s="15">
        <f>M1460-N1460</f>
        <v>9000</v>
      </c>
      <c r="P1460" s="10" t="s">
        <v>42</v>
      </c>
      <c r="Q1460" s="10" t="s">
        <v>43</v>
      </c>
      <c r="R1460" s="10" t="s">
        <v>44</v>
      </c>
      <c r="S1460" s="8" t="s">
        <v>2120</v>
      </c>
      <c r="T1460" s="8" t="s">
        <v>44</v>
      </c>
    </row>
    <row r="1461" spans="1:20">
      <c r="A1461" s="11">
        <v>1454</v>
      </c>
      <c r="B1461" s="11" t="s">
        <v>1795</v>
      </c>
      <c r="C1461" s="11" t="s">
        <v>1777</v>
      </c>
      <c r="D1461" s="11" t="s">
        <v>655</v>
      </c>
      <c r="E1461" s="11" t="s">
        <v>34</v>
      </c>
      <c r="F1461" s="11" t="s">
        <v>35</v>
      </c>
      <c r="G1461" s="9" t="s">
        <v>41</v>
      </c>
      <c r="H1461" s="13">
        <v>1</v>
      </c>
      <c r="I1461" s="13">
        <v>1</v>
      </c>
      <c r="J1461" s="16">
        <v>8000.0</v>
      </c>
      <c r="K1461" s="16"/>
      <c r="L1461" s="18">
        <f>IF(J1461&gt;0, K1461/J1461, 0)</f>
        <v>0</v>
      </c>
      <c r="M1461" s="16">
        <v>8000.0</v>
      </c>
      <c r="N1461" s="16"/>
      <c r="O1461" s="16">
        <f>M1461-N1461</f>
        <v>8000</v>
      </c>
      <c r="P1461" s="11" t="s">
        <v>42</v>
      </c>
      <c r="Q1461" s="11" t="s">
        <v>43</v>
      </c>
      <c r="R1461" s="11" t="s">
        <v>44</v>
      </c>
      <c r="S1461" s="9" t="s">
        <v>2108</v>
      </c>
      <c r="T1461" s="9" t="s">
        <v>44</v>
      </c>
    </row>
    <row r="1462" spans="1:20">
      <c r="A1462" s="10">
        <v>1455</v>
      </c>
      <c r="B1462" s="10" t="s">
        <v>1796</v>
      </c>
      <c r="C1462" s="10" t="s">
        <v>1777</v>
      </c>
      <c r="D1462" s="10" t="s">
        <v>655</v>
      </c>
      <c r="E1462" s="10" t="s">
        <v>70</v>
      </c>
      <c r="F1462" s="10" t="s">
        <v>35</v>
      </c>
      <c r="G1462" s="8" t="s">
        <v>41</v>
      </c>
      <c r="H1462" s="12">
        <v>1</v>
      </c>
      <c r="I1462" s="12">
        <v>1</v>
      </c>
      <c r="J1462" s="15">
        <v>17000.0</v>
      </c>
      <c r="K1462" s="15"/>
      <c r="L1462" s="17">
        <f>IF(J1462&gt;0, K1462/J1462, 0)</f>
        <v>0</v>
      </c>
      <c r="M1462" s="15">
        <v>17000.0</v>
      </c>
      <c r="N1462" s="15"/>
      <c r="O1462" s="15">
        <f>M1462-N1462</f>
        <v>17000</v>
      </c>
      <c r="P1462" s="10" t="s">
        <v>42</v>
      </c>
      <c r="Q1462" s="10" t="s">
        <v>73</v>
      </c>
      <c r="R1462" s="10" t="s">
        <v>44</v>
      </c>
      <c r="S1462" s="8" t="s">
        <v>2039</v>
      </c>
      <c r="T1462" s="8" t="s">
        <v>44</v>
      </c>
    </row>
    <row r="1463" spans="1:20">
      <c r="A1463" s="11">
        <v>1456</v>
      </c>
      <c r="B1463" s="11" t="s">
        <v>1797</v>
      </c>
      <c r="C1463" s="11" t="s">
        <v>1777</v>
      </c>
      <c r="D1463" s="11" t="s">
        <v>655</v>
      </c>
      <c r="E1463" s="11" t="s">
        <v>34</v>
      </c>
      <c r="F1463" s="11" t="s">
        <v>35</v>
      </c>
      <c r="G1463" s="9" t="s">
        <v>41</v>
      </c>
      <c r="H1463" s="13">
        <v>1</v>
      </c>
      <c r="I1463" s="13">
        <v>1</v>
      </c>
      <c r="J1463" s="16">
        <v>16500.0</v>
      </c>
      <c r="K1463" s="16"/>
      <c r="L1463" s="18">
        <f>IF(J1463&gt;0, K1463/J1463, 0)</f>
        <v>0</v>
      </c>
      <c r="M1463" s="16">
        <v>16500.0</v>
      </c>
      <c r="N1463" s="16"/>
      <c r="O1463" s="16">
        <f>M1463-N1463</f>
        <v>16500</v>
      </c>
      <c r="P1463" s="11" t="s">
        <v>42</v>
      </c>
      <c r="Q1463" s="11" t="s">
        <v>43</v>
      </c>
      <c r="R1463" s="11" t="s">
        <v>44</v>
      </c>
      <c r="S1463" s="9" t="s">
        <v>2070</v>
      </c>
      <c r="T1463" s="9" t="s">
        <v>44</v>
      </c>
    </row>
    <row r="1464" spans="1:20">
      <c r="A1464" s="10">
        <v>1457</v>
      </c>
      <c r="B1464" s="10" t="s">
        <v>1798</v>
      </c>
      <c r="C1464" s="10" t="s">
        <v>1777</v>
      </c>
      <c r="D1464" s="10" t="s">
        <v>655</v>
      </c>
      <c r="E1464" s="10" t="s">
        <v>34</v>
      </c>
      <c r="F1464" s="10" t="s">
        <v>35</v>
      </c>
      <c r="G1464" s="8" t="s">
        <v>41</v>
      </c>
      <c r="H1464" s="12">
        <v>1</v>
      </c>
      <c r="I1464" s="12">
        <v>1</v>
      </c>
      <c r="J1464" s="15">
        <v>8500.0</v>
      </c>
      <c r="K1464" s="15"/>
      <c r="L1464" s="17">
        <f>IF(J1464&gt;0, K1464/J1464, 0)</f>
        <v>0</v>
      </c>
      <c r="M1464" s="15">
        <v>8500.0</v>
      </c>
      <c r="N1464" s="15"/>
      <c r="O1464" s="15">
        <f>M1464-N1464</f>
        <v>8500</v>
      </c>
      <c r="P1464" s="10" t="s">
        <v>42</v>
      </c>
      <c r="Q1464" s="10" t="s">
        <v>43</v>
      </c>
      <c r="R1464" s="10" t="s">
        <v>44</v>
      </c>
      <c r="S1464" s="8" t="s">
        <v>2119</v>
      </c>
      <c r="T1464" s="8" t="s">
        <v>44</v>
      </c>
    </row>
    <row r="1465" spans="1:20">
      <c r="A1465" s="11">
        <v>1458</v>
      </c>
      <c r="B1465" s="11" t="s">
        <v>1799</v>
      </c>
      <c r="C1465" s="11" t="s">
        <v>1777</v>
      </c>
      <c r="D1465" s="11" t="s">
        <v>655</v>
      </c>
      <c r="E1465" s="11" t="s">
        <v>34</v>
      </c>
      <c r="F1465" s="11" t="s">
        <v>35</v>
      </c>
      <c r="G1465" s="9" t="s">
        <v>41</v>
      </c>
      <c r="H1465" s="13">
        <v>1</v>
      </c>
      <c r="I1465" s="13">
        <v>1</v>
      </c>
      <c r="J1465" s="16">
        <v>9500.0</v>
      </c>
      <c r="K1465" s="16"/>
      <c r="L1465" s="18">
        <f>IF(J1465&gt;0, K1465/J1465, 0)</f>
        <v>0</v>
      </c>
      <c r="M1465" s="16">
        <v>9500.0</v>
      </c>
      <c r="N1465" s="16"/>
      <c r="O1465" s="16">
        <f>M1465-N1465</f>
        <v>9500</v>
      </c>
      <c r="P1465" s="11" t="s">
        <v>42</v>
      </c>
      <c r="Q1465" s="11" t="s">
        <v>43</v>
      </c>
      <c r="R1465" s="11" t="s">
        <v>44</v>
      </c>
      <c r="S1465" s="9" t="s">
        <v>2052</v>
      </c>
      <c r="T1465" s="9" t="s">
        <v>44</v>
      </c>
    </row>
    <row r="1466" spans="1:20">
      <c r="A1466" s="10">
        <v>1459</v>
      </c>
      <c r="B1466" s="10" t="s">
        <v>1800</v>
      </c>
      <c r="C1466" s="10" t="s">
        <v>1777</v>
      </c>
      <c r="D1466" s="10" t="s">
        <v>655</v>
      </c>
      <c r="E1466" s="10" t="s">
        <v>34</v>
      </c>
      <c r="F1466" s="10" t="s">
        <v>35</v>
      </c>
      <c r="G1466" s="8" t="s">
        <v>41</v>
      </c>
      <c r="H1466" s="12">
        <v>1</v>
      </c>
      <c r="I1466" s="12">
        <v>1</v>
      </c>
      <c r="J1466" s="15">
        <v>9000.0</v>
      </c>
      <c r="K1466" s="15"/>
      <c r="L1466" s="17">
        <f>IF(J1466&gt;0, K1466/J1466, 0)</f>
        <v>0</v>
      </c>
      <c r="M1466" s="15">
        <v>9000.0</v>
      </c>
      <c r="N1466" s="15"/>
      <c r="O1466" s="15">
        <f>M1466-N1466</f>
        <v>9000</v>
      </c>
      <c r="P1466" s="10" t="s">
        <v>42</v>
      </c>
      <c r="Q1466" s="10" t="s">
        <v>43</v>
      </c>
      <c r="R1466" s="10" t="s">
        <v>44</v>
      </c>
      <c r="S1466" s="8" t="s">
        <v>2120</v>
      </c>
      <c r="T1466" s="8" t="s">
        <v>44</v>
      </c>
    </row>
    <row r="1467" spans="1:20">
      <c r="A1467" s="11">
        <v>1460</v>
      </c>
      <c r="B1467" s="11" t="s">
        <v>1801</v>
      </c>
      <c r="C1467" s="11" t="s">
        <v>1777</v>
      </c>
      <c r="D1467" s="11" t="s">
        <v>655</v>
      </c>
      <c r="E1467" s="11" t="s">
        <v>34</v>
      </c>
      <c r="F1467" s="11" t="s">
        <v>35</v>
      </c>
      <c r="G1467" s="9" t="s">
        <v>41</v>
      </c>
      <c r="H1467" s="13">
        <v>1</v>
      </c>
      <c r="I1467" s="13">
        <v>1</v>
      </c>
      <c r="J1467" s="16">
        <v>8000.0</v>
      </c>
      <c r="K1467" s="16"/>
      <c r="L1467" s="18">
        <f>IF(J1467&gt;0, K1467/J1467, 0)</f>
        <v>0</v>
      </c>
      <c r="M1467" s="16">
        <v>8000.0</v>
      </c>
      <c r="N1467" s="16"/>
      <c r="O1467" s="16">
        <f>M1467-N1467</f>
        <v>8000</v>
      </c>
      <c r="P1467" s="11" t="s">
        <v>42</v>
      </c>
      <c r="Q1467" s="11" t="s">
        <v>43</v>
      </c>
      <c r="R1467" s="11" t="s">
        <v>44</v>
      </c>
      <c r="S1467" s="9" t="s">
        <v>2068</v>
      </c>
      <c r="T1467" s="9" t="s">
        <v>44</v>
      </c>
    </row>
    <row r="1468" spans="1:20">
      <c r="A1468" s="10">
        <v>1461</v>
      </c>
      <c r="B1468" s="10" t="s">
        <v>1802</v>
      </c>
      <c r="C1468" s="10" t="s">
        <v>1777</v>
      </c>
      <c r="D1468" s="10" t="s">
        <v>655</v>
      </c>
      <c r="E1468" s="10" t="s">
        <v>34</v>
      </c>
      <c r="F1468" s="10" t="s">
        <v>35</v>
      </c>
      <c r="G1468" s="8" t="s">
        <v>41</v>
      </c>
      <c r="H1468" s="12">
        <v>1</v>
      </c>
      <c r="I1468" s="12">
        <v>1</v>
      </c>
      <c r="J1468" s="15">
        <v>8000.0</v>
      </c>
      <c r="K1468" s="15"/>
      <c r="L1468" s="17">
        <f>IF(J1468&gt;0, K1468/J1468, 0)</f>
        <v>0</v>
      </c>
      <c r="M1468" s="15">
        <v>8000.0</v>
      </c>
      <c r="N1468" s="15"/>
      <c r="O1468" s="15">
        <f>M1468-N1468</f>
        <v>8000</v>
      </c>
      <c r="P1468" s="10" t="s">
        <v>42</v>
      </c>
      <c r="Q1468" s="10" t="s">
        <v>43</v>
      </c>
      <c r="R1468" s="10" t="s">
        <v>44</v>
      </c>
      <c r="S1468" s="8" t="s">
        <v>2024</v>
      </c>
      <c r="T1468" s="8" t="s">
        <v>44</v>
      </c>
    </row>
    <row r="1469" spans="1:20">
      <c r="A1469" s="11">
        <v>1462</v>
      </c>
      <c r="B1469" s="11" t="s">
        <v>1803</v>
      </c>
      <c r="C1469" s="11" t="s">
        <v>1777</v>
      </c>
      <c r="D1469" s="11" t="s">
        <v>655</v>
      </c>
      <c r="E1469" s="11" t="s">
        <v>34</v>
      </c>
      <c r="F1469" s="11" t="s">
        <v>35</v>
      </c>
      <c r="G1469" s="9" t="s">
        <v>41</v>
      </c>
      <c r="H1469" s="13">
        <v>1</v>
      </c>
      <c r="I1469" s="13">
        <v>1</v>
      </c>
      <c r="J1469" s="16">
        <v>9000.0</v>
      </c>
      <c r="K1469" s="16"/>
      <c r="L1469" s="18">
        <f>IF(J1469&gt;0, K1469/J1469, 0)</f>
        <v>0</v>
      </c>
      <c r="M1469" s="16">
        <v>9000.0</v>
      </c>
      <c r="N1469" s="16"/>
      <c r="O1469" s="16">
        <f>M1469-N1469</f>
        <v>9000</v>
      </c>
      <c r="P1469" s="11" t="s">
        <v>42</v>
      </c>
      <c r="Q1469" s="11" t="s">
        <v>43</v>
      </c>
      <c r="R1469" s="11" t="s">
        <v>44</v>
      </c>
      <c r="S1469" s="9" t="s">
        <v>2071</v>
      </c>
      <c r="T1469" s="9" t="s">
        <v>44</v>
      </c>
    </row>
    <row r="1470" spans="1:20">
      <c r="A1470" s="10">
        <v>1463</v>
      </c>
      <c r="B1470" s="10" t="s">
        <v>1804</v>
      </c>
      <c r="C1470" s="10" t="s">
        <v>1777</v>
      </c>
      <c r="D1470" s="10" t="s">
        <v>655</v>
      </c>
      <c r="E1470" s="10" t="s">
        <v>34</v>
      </c>
      <c r="F1470" s="10" t="s">
        <v>35</v>
      </c>
      <c r="G1470" s="8" t="s">
        <v>41</v>
      </c>
      <c r="H1470" s="12">
        <v>1</v>
      </c>
      <c r="I1470" s="12">
        <v>1</v>
      </c>
      <c r="J1470" s="15">
        <v>8000.0</v>
      </c>
      <c r="K1470" s="15"/>
      <c r="L1470" s="17">
        <f>IF(J1470&gt;0, K1470/J1470, 0)</f>
        <v>0</v>
      </c>
      <c r="M1470" s="15">
        <v>8000.0</v>
      </c>
      <c r="N1470" s="15"/>
      <c r="O1470" s="15">
        <f>M1470-N1470</f>
        <v>8000</v>
      </c>
      <c r="P1470" s="10" t="s">
        <v>42</v>
      </c>
      <c r="Q1470" s="10" t="s">
        <v>43</v>
      </c>
      <c r="R1470" s="10" t="s">
        <v>44</v>
      </c>
      <c r="S1470" s="8" t="s">
        <v>2144</v>
      </c>
      <c r="T1470" s="8" t="s">
        <v>44</v>
      </c>
    </row>
    <row r="1471" spans="1:20">
      <c r="A1471" s="11">
        <v>1464</v>
      </c>
      <c r="B1471" s="11" t="s">
        <v>1805</v>
      </c>
      <c r="C1471" s="11" t="s">
        <v>1777</v>
      </c>
      <c r="D1471" s="11" t="s">
        <v>655</v>
      </c>
      <c r="E1471" s="11" t="s">
        <v>34</v>
      </c>
      <c r="F1471" s="11" t="s">
        <v>35</v>
      </c>
      <c r="G1471" s="9" t="s">
        <v>41</v>
      </c>
      <c r="H1471" s="13">
        <v>1</v>
      </c>
      <c r="I1471" s="13">
        <v>1</v>
      </c>
      <c r="J1471" s="16">
        <v>7000.0</v>
      </c>
      <c r="K1471" s="16"/>
      <c r="L1471" s="18">
        <f>IF(J1471&gt;0, K1471/J1471, 0)</f>
        <v>0</v>
      </c>
      <c r="M1471" s="16">
        <v>7000.0</v>
      </c>
      <c r="N1471" s="16"/>
      <c r="O1471" s="16">
        <f>M1471-N1471</f>
        <v>7000</v>
      </c>
      <c r="P1471" s="11" t="s">
        <v>42</v>
      </c>
      <c r="Q1471" s="11" t="s">
        <v>43</v>
      </c>
      <c r="R1471" s="11" t="s">
        <v>44</v>
      </c>
      <c r="S1471" s="9" t="s">
        <v>2020</v>
      </c>
      <c r="T1471" s="9" t="s">
        <v>44</v>
      </c>
    </row>
    <row r="1472" spans="1:20">
      <c r="A1472" s="10">
        <v>1465</v>
      </c>
      <c r="B1472" s="10" t="s">
        <v>1806</v>
      </c>
      <c r="C1472" s="10" t="s">
        <v>1777</v>
      </c>
      <c r="D1472" s="10" t="s">
        <v>655</v>
      </c>
      <c r="E1472" s="10" t="s">
        <v>70</v>
      </c>
      <c r="F1472" s="10" t="s">
        <v>35</v>
      </c>
      <c r="G1472" s="8" t="s">
        <v>41</v>
      </c>
      <c r="H1472" s="12">
        <v>1</v>
      </c>
      <c r="I1472" s="12">
        <v>1</v>
      </c>
      <c r="J1472" s="15">
        <v>11000.0</v>
      </c>
      <c r="K1472" s="15"/>
      <c r="L1472" s="17">
        <f>IF(J1472&gt;0, K1472/J1472, 0)</f>
        <v>0</v>
      </c>
      <c r="M1472" s="15">
        <v>11000.0</v>
      </c>
      <c r="N1472" s="15"/>
      <c r="O1472" s="15">
        <f>M1472-N1472</f>
        <v>11000</v>
      </c>
      <c r="P1472" s="10" t="s">
        <v>42</v>
      </c>
      <c r="Q1472" s="10" t="s">
        <v>73</v>
      </c>
      <c r="R1472" s="10" t="s">
        <v>44</v>
      </c>
      <c r="S1472" s="8" t="s">
        <v>2148</v>
      </c>
      <c r="T1472" s="8" t="s">
        <v>44</v>
      </c>
    </row>
    <row r="1473" spans="1:20">
      <c r="A1473" s="11">
        <v>1466</v>
      </c>
      <c r="B1473" s="11" t="s">
        <v>1807</v>
      </c>
      <c r="C1473" s="11" t="s">
        <v>1777</v>
      </c>
      <c r="D1473" s="11" t="s">
        <v>655</v>
      </c>
      <c r="E1473" s="11" t="s">
        <v>34</v>
      </c>
      <c r="F1473" s="11" t="s">
        <v>35</v>
      </c>
      <c r="G1473" s="9" t="s">
        <v>41</v>
      </c>
      <c r="H1473" s="13">
        <v>1</v>
      </c>
      <c r="I1473" s="13">
        <v>1</v>
      </c>
      <c r="J1473" s="16">
        <v>18000.0</v>
      </c>
      <c r="K1473" s="16"/>
      <c r="L1473" s="18">
        <f>IF(J1473&gt;0, K1473/J1473, 0)</f>
        <v>0</v>
      </c>
      <c r="M1473" s="16">
        <v>18000.0</v>
      </c>
      <c r="N1473" s="16"/>
      <c r="O1473" s="16">
        <f>M1473-N1473</f>
        <v>18000</v>
      </c>
      <c r="P1473" s="11" t="s">
        <v>42</v>
      </c>
      <c r="Q1473" s="11" t="s">
        <v>43</v>
      </c>
      <c r="R1473" s="11" t="s">
        <v>44</v>
      </c>
      <c r="S1473" s="9" t="s">
        <v>2128</v>
      </c>
      <c r="T1473" s="9" t="s">
        <v>44</v>
      </c>
    </row>
    <row r="1474" spans="1:20">
      <c r="A1474" s="10">
        <v>1467</v>
      </c>
      <c r="B1474" s="10" t="s">
        <v>1808</v>
      </c>
      <c r="C1474" s="10" t="s">
        <v>1777</v>
      </c>
      <c r="D1474" s="10" t="s">
        <v>655</v>
      </c>
      <c r="E1474" s="10" t="s">
        <v>34</v>
      </c>
      <c r="F1474" s="10" t="s">
        <v>35</v>
      </c>
      <c r="G1474" s="8" t="s">
        <v>41</v>
      </c>
      <c r="H1474" s="12">
        <v>1</v>
      </c>
      <c r="I1474" s="12">
        <v>2</v>
      </c>
      <c r="J1474" s="15">
        <v>16000.0</v>
      </c>
      <c r="K1474" s="15"/>
      <c r="L1474" s="17">
        <f>IF(J1474&gt;0, K1474/J1474, 0)</f>
        <v>0</v>
      </c>
      <c r="M1474" s="15">
        <v>16000.0</v>
      </c>
      <c r="N1474" s="15"/>
      <c r="O1474" s="15">
        <f>M1474-N1474</f>
        <v>16000</v>
      </c>
      <c r="P1474" s="10" t="s">
        <v>42</v>
      </c>
      <c r="Q1474" s="10" t="s">
        <v>43</v>
      </c>
      <c r="R1474" s="10" t="s">
        <v>44</v>
      </c>
      <c r="S1474" s="8" t="s">
        <v>2236</v>
      </c>
      <c r="T1474" s="8" t="s">
        <v>44</v>
      </c>
    </row>
    <row r="1475" spans="1:20">
      <c r="A1475" s="11">
        <v>1468</v>
      </c>
      <c r="B1475" s="11" t="s">
        <v>1809</v>
      </c>
      <c r="C1475" s="11" t="s">
        <v>1777</v>
      </c>
      <c r="D1475" s="11" t="s">
        <v>655</v>
      </c>
      <c r="E1475" s="11" t="s">
        <v>34</v>
      </c>
      <c r="F1475" s="11" t="s">
        <v>35</v>
      </c>
      <c r="G1475" s="9" t="s">
        <v>41</v>
      </c>
      <c r="H1475" s="13">
        <v>1</v>
      </c>
      <c r="I1475" s="13">
        <v>1</v>
      </c>
      <c r="J1475" s="16">
        <v>7000.0</v>
      </c>
      <c r="K1475" s="16"/>
      <c r="L1475" s="18">
        <f>IF(J1475&gt;0, K1475/J1475, 0)</f>
        <v>0</v>
      </c>
      <c r="M1475" s="16">
        <v>7000.0</v>
      </c>
      <c r="N1475" s="16"/>
      <c r="O1475" s="16">
        <f>M1475-N1475</f>
        <v>7000</v>
      </c>
      <c r="P1475" s="11" t="s">
        <v>42</v>
      </c>
      <c r="Q1475" s="11" t="s">
        <v>43</v>
      </c>
      <c r="R1475" s="11" t="s">
        <v>44</v>
      </c>
      <c r="S1475" s="9" t="s">
        <v>2179</v>
      </c>
      <c r="T1475" s="9" t="s">
        <v>44</v>
      </c>
    </row>
    <row r="1476" spans="1:20">
      <c r="A1476" s="10">
        <v>1469</v>
      </c>
      <c r="B1476" s="10" t="s">
        <v>1810</v>
      </c>
      <c r="C1476" s="10" t="s">
        <v>1777</v>
      </c>
      <c r="D1476" s="10" t="s">
        <v>655</v>
      </c>
      <c r="E1476" s="10" t="s">
        <v>34</v>
      </c>
      <c r="F1476" s="10" t="s">
        <v>35</v>
      </c>
      <c r="G1476" s="8" t="s">
        <v>41</v>
      </c>
      <c r="H1476" s="12">
        <v>1</v>
      </c>
      <c r="I1476" s="12">
        <v>1</v>
      </c>
      <c r="J1476" s="15">
        <v>16000.0</v>
      </c>
      <c r="K1476" s="15"/>
      <c r="L1476" s="17">
        <f>IF(J1476&gt;0, K1476/J1476, 0)</f>
        <v>0</v>
      </c>
      <c r="M1476" s="15">
        <v>16000.0</v>
      </c>
      <c r="N1476" s="15"/>
      <c r="O1476" s="15">
        <f>M1476-N1476</f>
        <v>16000</v>
      </c>
      <c r="P1476" s="10" t="s">
        <v>42</v>
      </c>
      <c r="Q1476" s="10" t="s">
        <v>43</v>
      </c>
      <c r="R1476" s="10" t="s">
        <v>44</v>
      </c>
      <c r="S1476" s="8" t="s">
        <v>2032</v>
      </c>
      <c r="T1476" s="8" t="s">
        <v>44</v>
      </c>
    </row>
    <row r="1477" spans="1:20">
      <c r="A1477" s="11">
        <v>1470</v>
      </c>
      <c r="B1477" s="11" t="s">
        <v>1811</v>
      </c>
      <c r="C1477" s="11" t="s">
        <v>1777</v>
      </c>
      <c r="D1477" s="11" t="s">
        <v>655</v>
      </c>
      <c r="E1477" s="11" t="s">
        <v>34</v>
      </c>
      <c r="F1477" s="11" t="s">
        <v>35</v>
      </c>
      <c r="G1477" s="9" t="s">
        <v>41</v>
      </c>
      <c r="H1477" s="13">
        <v>1</v>
      </c>
      <c r="I1477" s="13">
        <v>1</v>
      </c>
      <c r="J1477" s="16">
        <v>9000.0</v>
      </c>
      <c r="K1477" s="16"/>
      <c r="L1477" s="18">
        <f>IF(J1477&gt;0, K1477/J1477, 0)</f>
        <v>0</v>
      </c>
      <c r="M1477" s="16">
        <v>9000.0</v>
      </c>
      <c r="N1477" s="16"/>
      <c r="O1477" s="16">
        <f>M1477-N1477</f>
        <v>9000</v>
      </c>
      <c r="P1477" s="11" t="s">
        <v>42</v>
      </c>
      <c r="Q1477" s="11" t="s">
        <v>43</v>
      </c>
      <c r="R1477" s="11" t="s">
        <v>44</v>
      </c>
      <c r="S1477" s="9" t="s">
        <v>2203</v>
      </c>
      <c r="T1477" s="9" t="s">
        <v>44</v>
      </c>
    </row>
    <row r="1478" spans="1:20">
      <c r="A1478" s="10">
        <v>1471</v>
      </c>
      <c r="B1478" s="10" t="s">
        <v>1812</v>
      </c>
      <c r="C1478" s="10" t="s">
        <v>1777</v>
      </c>
      <c r="D1478" s="10" t="s">
        <v>655</v>
      </c>
      <c r="E1478" s="10" t="s">
        <v>34</v>
      </c>
      <c r="F1478" s="10" t="s">
        <v>35</v>
      </c>
      <c r="G1478" s="8" t="s">
        <v>41</v>
      </c>
      <c r="H1478" s="12">
        <v>1</v>
      </c>
      <c r="I1478" s="12">
        <v>2</v>
      </c>
      <c r="J1478" s="15">
        <v>16000.0</v>
      </c>
      <c r="K1478" s="15"/>
      <c r="L1478" s="17">
        <f>IF(J1478&gt;0, K1478/J1478, 0)</f>
        <v>0</v>
      </c>
      <c r="M1478" s="15">
        <v>16000.0</v>
      </c>
      <c r="N1478" s="15"/>
      <c r="O1478" s="15">
        <f>M1478-N1478</f>
        <v>16000</v>
      </c>
      <c r="P1478" s="10" t="s">
        <v>42</v>
      </c>
      <c r="Q1478" s="10" t="s">
        <v>43</v>
      </c>
      <c r="R1478" s="10" t="s">
        <v>44</v>
      </c>
      <c r="S1478" s="8" t="s">
        <v>2180</v>
      </c>
      <c r="T1478" s="8" t="s">
        <v>44</v>
      </c>
    </row>
    <row r="1479" spans="1:20">
      <c r="A1479" s="11">
        <v>1472</v>
      </c>
      <c r="B1479" s="11" t="s">
        <v>1813</v>
      </c>
      <c r="C1479" s="11" t="s">
        <v>1777</v>
      </c>
      <c r="D1479" s="11" t="s">
        <v>655</v>
      </c>
      <c r="E1479" s="11" t="s">
        <v>34</v>
      </c>
      <c r="F1479" s="11" t="s">
        <v>35</v>
      </c>
      <c r="G1479" s="9" t="s">
        <v>41</v>
      </c>
      <c r="H1479" s="13">
        <v>1</v>
      </c>
      <c r="I1479" s="13">
        <v>2</v>
      </c>
      <c r="J1479" s="16">
        <v>14000.0</v>
      </c>
      <c r="K1479" s="16"/>
      <c r="L1479" s="18">
        <f>IF(J1479&gt;0, K1479/J1479, 0)</f>
        <v>0</v>
      </c>
      <c r="M1479" s="16">
        <v>14000.0</v>
      </c>
      <c r="N1479" s="16"/>
      <c r="O1479" s="16">
        <f>M1479-N1479</f>
        <v>14000</v>
      </c>
      <c r="P1479" s="11" t="s">
        <v>42</v>
      </c>
      <c r="Q1479" s="11" t="s">
        <v>43</v>
      </c>
      <c r="R1479" s="11" t="s">
        <v>44</v>
      </c>
      <c r="S1479" s="9" t="s">
        <v>2182</v>
      </c>
      <c r="T1479" s="9" t="s">
        <v>44</v>
      </c>
    </row>
    <row r="1480" spans="1:20">
      <c r="A1480" s="10">
        <v>1473</v>
      </c>
      <c r="B1480" s="10" t="s">
        <v>1814</v>
      </c>
      <c r="C1480" s="10" t="s">
        <v>1777</v>
      </c>
      <c r="D1480" s="10" t="s">
        <v>655</v>
      </c>
      <c r="E1480" s="10" t="s">
        <v>34</v>
      </c>
      <c r="F1480" s="10" t="s">
        <v>35</v>
      </c>
      <c r="G1480" s="8" t="s">
        <v>41</v>
      </c>
      <c r="H1480" s="12">
        <v>1</v>
      </c>
      <c r="I1480" s="12">
        <v>1</v>
      </c>
      <c r="J1480" s="15">
        <v>18000.0</v>
      </c>
      <c r="K1480" s="15"/>
      <c r="L1480" s="17">
        <f>IF(J1480&gt;0, K1480/J1480, 0)</f>
        <v>0</v>
      </c>
      <c r="M1480" s="15">
        <v>18000.0</v>
      </c>
      <c r="N1480" s="15"/>
      <c r="O1480" s="15">
        <f>M1480-N1480</f>
        <v>18000</v>
      </c>
      <c r="P1480" s="10" t="s">
        <v>42</v>
      </c>
      <c r="Q1480" s="10" t="s">
        <v>43</v>
      </c>
      <c r="R1480" s="10" t="s">
        <v>44</v>
      </c>
      <c r="S1480" s="8" t="s">
        <v>2065</v>
      </c>
      <c r="T1480" s="8" t="s">
        <v>44</v>
      </c>
    </row>
    <row r="1481" spans="1:20">
      <c r="A1481" s="11">
        <v>1474</v>
      </c>
      <c r="B1481" s="11" t="s">
        <v>1815</v>
      </c>
      <c r="C1481" s="11" t="s">
        <v>1777</v>
      </c>
      <c r="D1481" s="11" t="s">
        <v>655</v>
      </c>
      <c r="E1481" s="11" t="s">
        <v>34</v>
      </c>
      <c r="F1481" s="11" t="s">
        <v>35</v>
      </c>
      <c r="G1481" s="9" t="s">
        <v>41</v>
      </c>
      <c r="H1481" s="13">
        <v>1</v>
      </c>
      <c r="I1481" s="13">
        <v>2</v>
      </c>
      <c r="J1481" s="16">
        <v>17000.0</v>
      </c>
      <c r="K1481" s="16"/>
      <c r="L1481" s="18">
        <f>IF(J1481&gt;0, K1481/J1481, 0)</f>
        <v>0</v>
      </c>
      <c r="M1481" s="16">
        <v>17000.0</v>
      </c>
      <c r="N1481" s="16"/>
      <c r="O1481" s="16">
        <f>M1481-N1481</f>
        <v>17000</v>
      </c>
      <c r="P1481" s="11" t="s">
        <v>42</v>
      </c>
      <c r="Q1481" s="11" t="s">
        <v>43</v>
      </c>
      <c r="R1481" s="11" t="s">
        <v>44</v>
      </c>
      <c r="S1481" s="9" t="s">
        <v>2186</v>
      </c>
      <c r="T1481" s="9" t="s">
        <v>44</v>
      </c>
    </row>
    <row r="1482" spans="1:20">
      <c r="A1482" s="10">
        <v>1475</v>
      </c>
      <c r="B1482" s="10" t="s">
        <v>1816</v>
      </c>
      <c r="C1482" s="10" t="s">
        <v>1777</v>
      </c>
      <c r="D1482" s="10" t="s">
        <v>655</v>
      </c>
      <c r="E1482" s="10" t="s">
        <v>34</v>
      </c>
      <c r="F1482" s="10" t="s">
        <v>35</v>
      </c>
      <c r="G1482" s="8" t="s">
        <v>41</v>
      </c>
      <c r="H1482" s="12">
        <v>1</v>
      </c>
      <c r="I1482" s="12">
        <v>1</v>
      </c>
      <c r="J1482" s="15">
        <v>7500.0</v>
      </c>
      <c r="K1482" s="15"/>
      <c r="L1482" s="17">
        <f>IF(J1482&gt;0, K1482/J1482, 0)</f>
        <v>0</v>
      </c>
      <c r="M1482" s="15">
        <v>7500.0</v>
      </c>
      <c r="N1482" s="15"/>
      <c r="O1482" s="15">
        <f>M1482-N1482</f>
        <v>7500</v>
      </c>
      <c r="P1482" s="10" t="s">
        <v>42</v>
      </c>
      <c r="Q1482" s="10" t="s">
        <v>43</v>
      </c>
      <c r="R1482" s="10" t="s">
        <v>44</v>
      </c>
      <c r="S1482" s="8" t="s">
        <v>2046</v>
      </c>
      <c r="T1482" s="8" t="s">
        <v>44</v>
      </c>
    </row>
    <row r="1483" spans="1:20">
      <c r="A1483" s="11">
        <v>1476</v>
      </c>
      <c r="B1483" s="11" t="s">
        <v>1817</v>
      </c>
      <c r="C1483" s="11" t="s">
        <v>1777</v>
      </c>
      <c r="D1483" s="11" t="s">
        <v>655</v>
      </c>
      <c r="E1483" s="11" t="s">
        <v>34</v>
      </c>
      <c r="F1483" s="11" t="s">
        <v>35</v>
      </c>
      <c r="G1483" s="9" t="s">
        <v>41</v>
      </c>
      <c r="H1483" s="13">
        <v>1</v>
      </c>
      <c r="I1483" s="13">
        <v>1</v>
      </c>
      <c r="J1483" s="16">
        <v>16500.0</v>
      </c>
      <c r="K1483" s="16"/>
      <c r="L1483" s="18">
        <f>IF(J1483&gt;0, K1483/J1483, 0)</f>
        <v>0</v>
      </c>
      <c r="M1483" s="16">
        <v>16500.0</v>
      </c>
      <c r="N1483" s="16"/>
      <c r="O1483" s="16">
        <f>M1483-N1483</f>
        <v>16500</v>
      </c>
      <c r="P1483" s="11" t="s">
        <v>42</v>
      </c>
      <c r="Q1483" s="11" t="s">
        <v>43</v>
      </c>
      <c r="R1483" s="11" t="s">
        <v>44</v>
      </c>
      <c r="S1483" s="9" t="s">
        <v>2064</v>
      </c>
      <c r="T1483" s="9" t="s">
        <v>44</v>
      </c>
    </row>
    <row r="1484" spans="1:20">
      <c r="A1484" s="10">
        <v>1477</v>
      </c>
      <c r="B1484" s="10" t="s">
        <v>1818</v>
      </c>
      <c r="C1484" s="10" t="s">
        <v>1777</v>
      </c>
      <c r="D1484" s="10" t="s">
        <v>655</v>
      </c>
      <c r="E1484" s="10" t="s">
        <v>34</v>
      </c>
      <c r="F1484" s="10" t="s">
        <v>35</v>
      </c>
      <c r="G1484" s="8" t="s">
        <v>41</v>
      </c>
      <c r="H1484" s="12">
        <v>1</v>
      </c>
      <c r="I1484" s="12">
        <v>1</v>
      </c>
      <c r="J1484" s="15">
        <v>9000.0</v>
      </c>
      <c r="K1484" s="15"/>
      <c r="L1484" s="17">
        <f>IF(J1484&gt;0, K1484/J1484, 0)</f>
        <v>0</v>
      </c>
      <c r="M1484" s="15">
        <v>9000.0</v>
      </c>
      <c r="N1484" s="15"/>
      <c r="O1484" s="15">
        <f>M1484-N1484</f>
        <v>9000</v>
      </c>
      <c r="P1484" s="10" t="s">
        <v>42</v>
      </c>
      <c r="Q1484" s="10" t="s">
        <v>43</v>
      </c>
      <c r="R1484" s="10" t="s">
        <v>44</v>
      </c>
      <c r="S1484" s="8" t="s">
        <v>2027</v>
      </c>
      <c r="T1484" s="8" t="s">
        <v>44</v>
      </c>
    </row>
    <row r="1485" spans="1:20">
      <c r="A1485" s="11">
        <v>1478</v>
      </c>
      <c r="B1485" s="11" t="s">
        <v>1819</v>
      </c>
      <c r="C1485" s="11" t="s">
        <v>1777</v>
      </c>
      <c r="D1485" s="11" t="s">
        <v>655</v>
      </c>
      <c r="E1485" s="11" t="s">
        <v>34</v>
      </c>
      <c r="F1485" s="11" t="s">
        <v>35</v>
      </c>
      <c r="G1485" s="9" t="s">
        <v>41</v>
      </c>
      <c r="H1485" s="13">
        <v>1</v>
      </c>
      <c r="I1485" s="13">
        <v>2</v>
      </c>
      <c r="J1485" s="16">
        <v>16000.0</v>
      </c>
      <c r="K1485" s="16"/>
      <c r="L1485" s="18">
        <f>IF(J1485&gt;0, K1485/J1485, 0)</f>
        <v>0</v>
      </c>
      <c r="M1485" s="16">
        <v>16000.0</v>
      </c>
      <c r="N1485" s="16"/>
      <c r="O1485" s="16">
        <f>M1485-N1485</f>
        <v>16000</v>
      </c>
      <c r="P1485" s="11" t="s">
        <v>42</v>
      </c>
      <c r="Q1485" s="11" t="s">
        <v>43</v>
      </c>
      <c r="R1485" s="11" t="s">
        <v>44</v>
      </c>
      <c r="S1485" s="9" t="s">
        <v>2050</v>
      </c>
      <c r="T1485" s="9" t="s">
        <v>44</v>
      </c>
    </row>
    <row r="1486" spans="1:20">
      <c r="A1486" s="10">
        <v>1479</v>
      </c>
      <c r="B1486" s="10" t="s">
        <v>1820</v>
      </c>
      <c r="C1486" s="10" t="s">
        <v>1777</v>
      </c>
      <c r="D1486" s="10" t="s">
        <v>655</v>
      </c>
      <c r="E1486" s="10" t="s">
        <v>70</v>
      </c>
      <c r="F1486" s="10" t="s">
        <v>35</v>
      </c>
      <c r="G1486" s="8" t="s">
        <v>41</v>
      </c>
      <c r="H1486" s="12">
        <v>1</v>
      </c>
      <c r="I1486" s="12">
        <v>1</v>
      </c>
      <c r="J1486" s="15">
        <v>8000.0</v>
      </c>
      <c r="K1486" s="15"/>
      <c r="L1486" s="17">
        <f>IF(J1486&gt;0, K1486/J1486, 0)</f>
        <v>0</v>
      </c>
      <c r="M1486" s="15">
        <v>8000.0</v>
      </c>
      <c r="N1486" s="15"/>
      <c r="O1486" s="15">
        <f>M1486-N1486</f>
        <v>8000</v>
      </c>
      <c r="P1486" s="10" t="s">
        <v>42</v>
      </c>
      <c r="Q1486" s="10" t="s">
        <v>73</v>
      </c>
      <c r="R1486" s="10" t="s">
        <v>44</v>
      </c>
      <c r="S1486" s="8" t="s">
        <v>2139</v>
      </c>
      <c r="T1486" s="8" t="s">
        <v>44</v>
      </c>
    </row>
    <row r="1487" spans="1:20">
      <c r="A1487" s="11">
        <v>1480</v>
      </c>
      <c r="B1487" s="11" t="s">
        <v>1821</v>
      </c>
      <c r="C1487" s="11" t="s">
        <v>1777</v>
      </c>
      <c r="D1487" s="11" t="s">
        <v>655</v>
      </c>
      <c r="E1487" s="11" t="s">
        <v>70</v>
      </c>
      <c r="F1487" s="11" t="s">
        <v>35</v>
      </c>
      <c r="G1487" s="9" t="s">
        <v>41</v>
      </c>
      <c r="H1487" s="13">
        <v>1</v>
      </c>
      <c r="I1487" s="13">
        <v>1</v>
      </c>
      <c r="J1487" s="16">
        <v>17000.0</v>
      </c>
      <c r="K1487" s="16"/>
      <c r="L1487" s="18">
        <f>IF(J1487&gt;0, K1487/J1487, 0)</f>
        <v>0</v>
      </c>
      <c r="M1487" s="16">
        <v>17000.0</v>
      </c>
      <c r="N1487" s="16"/>
      <c r="O1487" s="16">
        <f>M1487-N1487</f>
        <v>17000</v>
      </c>
      <c r="P1487" s="11" t="s">
        <v>42</v>
      </c>
      <c r="Q1487" s="11" t="s">
        <v>73</v>
      </c>
      <c r="R1487" s="11" t="s">
        <v>44</v>
      </c>
      <c r="S1487" s="9" t="s">
        <v>2040</v>
      </c>
      <c r="T1487" s="9" t="s">
        <v>44</v>
      </c>
    </row>
    <row r="1488" spans="1:20">
      <c r="A1488" s="10">
        <v>1481</v>
      </c>
      <c r="B1488" s="10" t="s">
        <v>1822</v>
      </c>
      <c r="C1488" s="10" t="s">
        <v>1777</v>
      </c>
      <c r="D1488" s="10" t="s">
        <v>655</v>
      </c>
      <c r="E1488" s="10" t="s">
        <v>70</v>
      </c>
      <c r="F1488" s="10" t="s">
        <v>35</v>
      </c>
      <c r="G1488" s="8" t="s">
        <v>41</v>
      </c>
      <c r="H1488" s="12">
        <v>1</v>
      </c>
      <c r="I1488" s="12">
        <v>1</v>
      </c>
      <c r="J1488" s="15">
        <v>10000.0</v>
      </c>
      <c r="K1488" s="15"/>
      <c r="L1488" s="17">
        <f>IF(J1488&gt;0, K1488/J1488, 0)</f>
        <v>0</v>
      </c>
      <c r="M1488" s="15">
        <v>10000.0</v>
      </c>
      <c r="N1488" s="15"/>
      <c r="O1488" s="15">
        <f>M1488-N1488</f>
        <v>10000</v>
      </c>
      <c r="P1488" s="10" t="s">
        <v>42</v>
      </c>
      <c r="Q1488" s="10" t="s">
        <v>73</v>
      </c>
      <c r="R1488" s="10" t="s">
        <v>44</v>
      </c>
      <c r="S1488" s="8" t="s">
        <v>2084</v>
      </c>
      <c r="T1488" s="8" t="s">
        <v>44</v>
      </c>
    </row>
    <row r="1489" spans="1:20">
      <c r="A1489" s="11">
        <v>1482</v>
      </c>
      <c r="B1489" s="11" t="s">
        <v>1823</v>
      </c>
      <c r="C1489" s="11" t="s">
        <v>1777</v>
      </c>
      <c r="D1489" s="11" t="s">
        <v>655</v>
      </c>
      <c r="E1489" s="11" t="s">
        <v>34</v>
      </c>
      <c r="F1489" s="11" t="s">
        <v>35</v>
      </c>
      <c r="G1489" s="9" t="s">
        <v>41</v>
      </c>
      <c r="H1489" s="13">
        <v>1</v>
      </c>
      <c r="I1489" s="13">
        <v>1</v>
      </c>
      <c r="J1489" s="16">
        <v>18000.0</v>
      </c>
      <c r="K1489" s="16"/>
      <c r="L1489" s="18">
        <f>IF(J1489&gt;0, K1489/J1489, 0)</f>
        <v>0</v>
      </c>
      <c r="M1489" s="16">
        <v>18000.0</v>
      </c>
      <c r="N1489" s="16"/>
      <c r="O1489" s="16">
        <f>M1489-N1489</f>
        <v>18000</v>
      </c>
      <c r="P1489" s="11" t="s">
        <v>42</v>
      </c>
      <c r="Q1489" s="11" t="s">
        <v>43</v>
      </c>
      <c r="R1489" s="11" t="s">
        <v>44</v>
      </c>
      <c r="S1489" s="9" t="s">
        <v>2114</v>
      </c>
      <c r="T1489" s="9" t="s">
        <v>44</v>
      </c>
    </row>
    <row r="1490" spans="1:20">
      <c r="A1490" s="10">
        <v>1483</v>
      </c>
      <c r="B1490" s="10" t="s">
        <v>1824</v>
      </c>
      <c r="C1490" s="10" t="s">
        <v>1777</v>
      </c>
      <c r="D1490" s="10" t="s">
        <v>655</v>
      </c>
      <c r="E1490" s="10" t="s">
        <v>34</v>
      </c>
      <c r="F1490" s="10" t="s">
        <v>35</v>
      </c>
      <c r="G1490" s="8" t="s">
        <v>41</v>
      </c>
      <c r="H1490" s="12">
        <v>1</v>
      </c>
      <c r="I1490" s="12">
        <v>1</v>
      </c>
      <c r="J1490" s="15">
        <v>8000.0</v>
      </c>
      <c r="K1490" s="15"/>
      <c r="L1490" s="17">
        <f>IF(J1490&gt;0, K1490/J1490, 0)</f>
        <v>0</v>
      </c>
      <c r="M1490" s="15">
        <v>8000.0</v>
      </c>
      <c r="N1490" s="15"/>
      <c r="O1490" s="15">
        <f>M1490-N1490</f>
        <v>8000</v>
      </c>
      <c r="P1490" s="10" t="s">
        <v>42</v>
      </c>
      <c r="Q1490" s="10" t="s">
        <v>43</v>
      </c>
      <c r="R1490" s="10" t="s">
        <v>44</v>
      </c>
      <c r="S1490" s="8" t="s">
        <v>2115</v>
      </c>
      <c r="T1490" s="8" t="s">
        <v>44</v>
      </c>
    </row>
    <row r="1491" spans="1:20">
      <c r="A1491" s="11">
        <v>1484</v>
      </c>
      <c r="B1491" s="11" t="s">
        <v>1825</v>
      </c>
      <c r="C1491" s="11" t="s">
        <v>1777</v>
      </c>
      <c r="D1491" s="11" t="s">
        <v>655</v>
      </c>
      <c r="E1491" s="11" t="s">
        <v>34</v>
      </c>
      <c r="F1491" s="11" t="s">
        <v>35</v>
      </c>
      <c r="G1491" s="9" t="s">
        <v>41</v>
      </c>
      <c r="H1491" s="13">
        <v>1</v>
      </c>
      <c r="I1491" s="13">
        <v>1</v>
      </c>
      <c r="J1491" s="16">
        <v>8000.0</v>
      </c>
      <c r="K1491" s="16"/>
      <c r="L1491" s="18">
        <f>IF(J1491&gt;0, K1491/J1491, 0)</f>
        <v>0</v>
      </c>
      <c r="M1491" s="16">
        <v>8000.0</v>
      </c>
      <c r="N1491" s="16"/>
      <c r="O1491" s="16">
        <f>M1491-N1491</f>
        <v>8000</v>
      </c>
      <c r="P1491" s="11" t="s">
        <v>42</v>
      </c>
      <c r="Q1491" s="11" t="s">
        <v>43</v>
      </c>
      <c r="R1491" s="11" t="s">
        <v>44</v>
      </c>
      <c r="S1491" s="9" t="s">
        <v>2067</v>
      </c>
      <c r="T1491" s="9" t="s">
        <v>44</v>
      </c>
    </row>
    <row r="1492" spans="1:20">
      <c r="A1492" s="10">
        <v>1485</v>
      </c>
      <c r="B1492" s="10" t="s">
        <v>1826</v>
      </c>
      <c r="C1492" s="10" t="s">
        <v>1777</v>
      </c>
      <c r="D1492" s="10" t="s">
        <v>655</v>
      </c>
      <c r="E1492" s="10" t="s">
        <v>34</v>
      </c>
      <c r="F1492" s="10" t="s">
        <v>35</v>
      </c>
      <c r="G1492" s="8" t="s">
        <v>41</v>
      </c>
      <c r="H1492" s="12">
        <v>1</v>
      </c>
      <c r="I1492" s="12">
        <v>1</v>
      </c>
      <c r="J1492" s="15">
        <v>7000.0</v>
      </c>
      <c r="K1492" s="15"/>
      <c r="L1492" s="17">
        <f>IF(J1492&gt;0, K1492/J1492, 0)</f>
        <v>0</v>
      </c>
      <c r="M1492" s="15">
        <v>7000.0</v>
      </c>
      <c r="N1492" s="15"/>
      <c r="O1492" s="15">
        <f>M1492-N1492</f>
        <v>7000</v>
      </c>
      <c r="P1492" s="10" t="s">
        <v>42</v>
      </c>
      <c r="Q1492" s="10" t="s">
        <v>43</v>
      </c>
      <c r="R1492" s="10" t="s">
        <v>44</v>
      </c>
      <c r="S1492" s="8" t="s">
        <v>2055</v>
      </c>
      <c r="T1492" s="8" t="s">
        <v>44</v>
      </c>
    </row>
    <row r="1493" spans="1:20">
      <c r="A1493" s="11">
        <v>1486</v>
      </c>
      <c r="B1493" s="11" t="s">
        <v>1827</v>
      </c>
      <c r="C1493" s="11" t="s">
        <v>1828</v>
      </c>
      <c r="D1493" s="11" t="s">
        <v>1829</v>
      </c>
      <c r="E1493" s="11" t="s">
        <v>34</v>
      </c>
      <c r="F1493" s="11" t="s">
        <v>35</v>
      </c>
      <c r="G1493" s="9" t="s">
        <v>41</v>
      </c>
      <c r="H1493" s="13">
        <v>1</v>
      </c>
      <c r="I1493" s="13">
        <v>1</v>
      </c>
      <c r="J1493" s="16">
        <v>7000.0</v>
      </c>
      <c r="K1493" s="16"/>
      <c r="L1493" s="18">
        <f>IF(J1493&gt;0, K1493/J1493, 0)</f>
        <v>0</v>
      </c>
      <c r="M1493" s="16">
        <v>7000.0</v>
      </c>
      <c r="N1493" s="16"/>
      <c r="O1493" s="16">
        <f>M1493-N1493</f>
        <v>7000</v>
      </c>
      <c r="P1493" s="11" t="s">
        <v>42</v>
      </c>
      <c r="Q1493" s="11" t="s">
        <v>43</v>
      </c>
      <c r="R1493" s="11" t="s">
        <v>44</v>
      </c>
      <c r="S1493" s="9" t="s">
        <v>2088</v>
      </c>
      <c r="T1493" s="9" t="s">
        <v>44</v>
      </c>
    </row>
    <row r="1494" spans="1:20">
      <c r="A1494" s="10">
        <v>1487</v>
      </c>
      <c r="B1494" s="10" t="s">
        <v>1830</v>
      </c>
      <c r="C1494" s="10" t="s">
        <v>1828</v>
      </c>
      <c r="D1494" s="10" t="s">
        <v>1829</v>
      </c>
      <c r="E1494" s="10" t="s">
        <v>34</v>
      </c>
      <c r="F1494" s="10" t="s">
        <v>35</v>
      </c>
      <c r="G1494" s="8" t="s">
        <v>41</v>
      </c>
      <c r="H1494" s="12">
        <v>1</v>
      </c>
      <c r="I1494" s="12">
        <v>1</v>
      </c>
      <c r="J1494" s="15">
        <v>7000.0</v>
      </c>
      <c r="K1494" s="15"/>
      <c r="L1494" s="17">
        <f>IF(J1494&gt;0, K1494/J1494, 0)</f>
        <v>0</v>
      </c>
      <c r="M1494" s="15">
        <v>7000.0</v>
      </c>
      <c r="N1494" s="15"/>
      <c r="O1494" s="15">
        <f>M1494-N1494</f>
        <v>7000</v>
      </c>
      <c r="P1494" s="10" t="s">
        <v>42</v>
      </c>
      <c r="Q1494" s="10" t="s">
        <v>43</v>
      </c>
      <c r="R1494" s="10" t="s">
        <v>44</v>
      </c>
      <c r="S1494" s="8" t="s">
        <v>2053</v>
      </c>
      <c r="T1494" s="8" t="s">
        <v>44</v>
      </c>
    </row>
    <row r="1495" spans="1:20">
      <c r="A1495" s="11">
        <v>1488</v>
      </c>
      <c r="B1495" s="11" t="s">
        <v>1831</v>
      </c>
      <c r="C1495" s="11" t="s">
        <v>1828</v>
      </c>
      <c r="D1495" s="11" t="s">
        <v>1829</v>
      </c>
      <c r="E1495" s="11" t="s">
        <v>34</v>
      </c>
      <c r="F1495" s="11" t="s">
        <v>35</v>
      </c>
      <c r="G1495" s="9" t="s">
        <v>41</v>
      </c>
      <c r="H1495" s="13">
        <v>1</v>
      </c>
      <c r="I1495" s="13">
        <v>1</v>
      </c>
      <c r="J1495" s="16">
        <v>16500.0</v>
      </c>
      <c r="K1495" s="16"/>
      <c r="L1495" s="18">
        <f>IF(J1495&gt;0, K1495/J1495, 0)</f>
        <v>0</v>
      </c>
      <c r="M1495" s="16">
        <v>16500.0</v>
      </c>
      <c r="N1495" s="16"/>
      <c r="O1495" s="16">
        <f>M1495-N1495</f>
        <v>16500</v>
      </c>
      <c r="P1495" s="11" t="s">
        <v>42</v>
      </c>
      <c r="Q1495" s="11" t="s">
        <v>43</v>
      </c>
      <c r="R1495" s="11" t="s">
        <v>44</v>
      </c>
      <c r="S1495" s="9" t="s">
        <v>2064</v>
      </c>
      <c r="T1495" s="9" t="s">
        <v>44</v>
      </c>
    </row>
    <row r="1496" spans="1:20">
      <c r="A1496" s="10">
        <v>1489</v>
      </c>
      <c r="B1496" s="10" t="s">
        <v>1832</v>
      </c>
      <c r="C1496" s="10" t="s">
        <v>1828</v>
      </c>
      <c r="D1496" s="10" t="s">
        <v>1829</v>
      </c>
      <c r="E1496" s="10" t="s">
        <v>34</v>
      </c>
      <c r="F1496" s="10" t="s">
        <v>35</v>
      </c>
      <c r="G1496" s="8" t="s">
        <v>41</v>
      </c>
      <c r="H1496" s="12">
        <v>1</v>
      </c>
      <c r="I1496" s="12">
        <v>1</v>
      </c>
      <c r="J1496" s="15">
        <v>9000.0</v>
      </c>
      <c r="K1496" s="15"/>
      <c r="L1496" s="17">
        <f>IF(J1496&gt;0, K1496/J1496, 0)</f>
        <v>0</v>
      </c>
      <c r="M1496" s="15">
        <v>9000.0</v>
      </c>
      <c r="N1496" s="15"/>
      <c r="O1496" s="15">
        <f>M1496-N1496</f>
        <v>9000</v>
      </c>
      <c r="P1496" s="10" t="s">
        <v>42</v>
      </c>
      <c r="Q1496" s="10" t="s">
        <v>43</v>
      </c>
      <c r="R1496" s="10" t="s">
        <v>44</v>
      </c>
      <c r="S1496" s="8" t="s">
        <v>2148</v>
      </c>
      <c r="T1496" s="8" t="s">
        <v>44</v>
      </c>
    </row>
    <row r="1497" spans="1:20">
      <c r="A1497" s="11">
        <v>1490</v>
      </c>
      <c r="B1497" s="11" t="s">
        <v>1833</v>
      </c>
      <c r="C1497" s="11" t="s">
        <v>1828</v>
      </c>
      <c r="D1497" s="11" t="s">
        <v>1829</v>
      </c>
      <c r="E1497" s="11" t="s">
        <v>34</v>
      </c>
      <c r="F1497" s="11" t="s">
        <v>35</v>
      </c>
      <c r="G1497" s="9" t="s">
        <v>41</v>
      </c>
      <c r="H1497" s="13">
        <v>1</v>
      </c>
      <c r="I1497" s="13">
        <v>2</v>
      </c>
      <c r="J1497" s="16">
        <v>16000.0</v>
      </c>
      <c r="K1497" s="16"/>
      <c r="L1497" s="18">
        <f>IF(J1497&gt;0, K1497/J1497, 0)</f>
        <v>0</v>
      </c>
      <c r="M1497" s="16">
        <v>16000.0</v>
      </c>
      <c r="N1497" s="16"/>
      <c r="O1497" s="16">
        <f>M1497-N1497</f>
        <v>16000</v>
      </c>
      <c r="P1497" s="11" t="s">
        <v>42</v>
      </c>
      <c r="Q1497" s="11" t="s">
        <v>43</v>
      </c>
      <c r="R1497" s="11" t="s">
        <v>44</v>
      </c>
      <c r="S1497" s="9" t="s">
        <v>2050</v>
      </c>
      <c r="T1497" s="9" t="s">
        <v>44</v>
      </c>
    </row>
    <row r="1498" spans="1:20">
      <c r="A1498" s="10">
        <v>1491</v>
      </c>
      <c r="B1498" s="10" t="s">
        <v>1834</v>
      </c>
      <c r="C1498" s="10" t="s">
        <v>1828</v>
      </c>
      <c r="D1498" s="10" t="s">
        <v>1829</v>
      </c>
      <c r="E1498" s="10" t="s">
        <v>34</v>
      </c>
      <c r="F1498" s="10" t="s">
        <v>35</v>
      </c>
      <c r="G1498" s="8" t="s">
        <v>41</v>
      </c>
      <c r="H1498" s="12">
        <v>1</v>
      </c>
      <c r="I1498" s="12">
        <v>2</v>
      </c>
      <c r="J1498" s="15">
        <v>16000.0</v>
      </c>
      <c r="K1498" s="15"/>
      <c r="L1498" s="17">
        <f>IF(J1498&gt;0, K1498/J1498, 0)</f>
        <v>0</v>
      </c>
      <c r="M1498" s="15">
        <v>16000.0</v>
      </c>
      <c r="N1498" s="15"/>
      <c r="O1498" s="15">
        <f>M1498-N1498</f>
        <v>16000</v>
      </c>
      <c r="P1498" s="10" t="s">
        <v>42</v>
      </c>
      <c r="Q1498" s="10" t="s">
        <v>43</v>
      </c>
      <c r="R1498" s="10" t="s">
        <v>44</v>
      </c>
      <c r="S1498" s="8" t="s">
        <v>2093</v>
      </c>
      <c r="T1498" s="8" t="s">
        <v>44</v>
      </c>
    </row>
    <row r="1499" spans="1:20">
      <c r="A1499" s="11">
        <v>1492</v>
      </c>
      <c r="B1499" s="11" t="s">
        <v>1835</v>
      </c>
      <c r="C1499" s="11" t="s">
        <v>1828</v>
      </c>
      <c r="D1499" s="11" t="s">
        <v>1829</v>
      </c>
      <c r="E1499" s="11" t="s">
        <v>34</v>
      </c>
      <c r="F1499" s="11" t="s">
        <v>35</v>
      </c>
      <c r="G1499" s="9" t="s">
        <v>41</v>
      </c>
      <c r="H1499" s="13">
        <v>1</v>
      </c>
      <c r="I1499" s="13">
        <v>3</v>
      </c>
      <c r="J1499" s="16">
        <v>21000.0</v>
      </c>
      <c r="K1499" s="16"/>
      <c r="L1499" s="18">
        <f>IF(J1499&gt;0, K1499/J1499, 0)</f>
        <v>0</v>
      </c>
      <c r="M1499" s="16">
        <v>21000.0</v>
      </c>
      <c r="N1499" s="16"/>
      <c r="O1499" s="16">
        <f>M1499-N1499</f>
        <v>21000</v>
      </c>
      <c r="P1499" s="11" t="s">
        <v>42</v>
      </c>
      <c r="Q1499" s="11" t="s">
        <v>43</v>
      </c>
      <c r="R1499" s="11" t="s">
        <v>44</v>
      </c>
      <c r="S1499" s="9" t="s">
        <v>2096</v>
      </c>
      <c r="T1499" s="9" t="s">
        <v>44</v>
      </c>
    </row>
    <row r="1500" spans="1:20">
      <c r="A1500" s="10">
        <v>1493</v>
      </c>
      <c r="B1500" s="10" t="s">
        <v>1836</v>
      </c>
      <c r="C1500" s="10" t="s">
        <v>1828</v>
      </c>
      <c r="D1500" s="10" t="s">
        <v>1829</v>
      </c>
      <c r="E1500" s="10" t="s">
        <v>34</v>
      </c>
      <c r="F1500" s="10" t="s">
        <v>35</v>
      </c>
      <c r="G1500" s="8" t="s">
        <v>41</v>
      </c>
      <c r="H1500" s="12">
        <v>1</v>
      </c>
      <c r="I1500" s="12">
        <v>2</v>
      </c>
      <c r="J1500" s="15">
        <v>16000.0</v>
      </c>
      <c r="K1500" s="15"/>
      <c r="L1500" s="17">
        <f>IF(J1500&gt;0, K1500/J1500, 0)</f>
        <v>0</v>
      </c>
      <c r="M1500" s="15">
        <v>16000.0</v>
      </c>
      <c r="N1500" s="15"/>
      <c r="O1500" s="15">
        <f>M1500-N1500</f>
        <v>16000</v>
      </c>
      <c r="P1500" s="10" t="s">
        <v>42</v>
      </c>
      <c r="Q1500" s="10" t="s">
        <v>43</v>
      </c>
      <c r="R1500" s="10" t="s">
        <v>44</v>
      </c>
      <c r="S1500" s="8" t="s">
        <v>2093</v>
      </c>
      <c r="T1500" s="8" t="s">
        <v>44</v>
      </c>
    </row>
    <row r="1501" spans="1:20">
      <c r="A1501" s="11">
        <v>1494</v>
      </c>
      <c r="B1501" s="11" t="s">
        <v>1837</v>
      </c>
      <c r="C1501" s="11" t="s">
        <v>1828</v>
      </c>
      <c r="D1501" s="11" t="s">
        <v>1829</v>
      </c>
      <c r="E1501" s="11" t="s">
        <v>34</v>
      </c>
      <c r="F1501" s="11" t="s">
        <v>35</v>
      </c>
      <c r="G1501" s="9" t="s">
        <v>41</v>
      </c>
      <c r="H1501" s="13">
        <v>1</v>
      </c>
      <c r="I1501" s="13">
        <v>3</v>
      </c>
      <c r="J1501" s="16">
        <v>21000.0</v>
      </c>
      <c r="K1501" s="16"/>
      <c r="L1501" s="18">
        <f>IF(J1501&gt;0, K1501/J1501, 0)</f>
        <v>0</v>
      </c>
      <c r="M1501" s="16">
        <v>21000.0</v>
      </c>
      <c r="N1501" s="16"/>
      <c r="O1501" s="16">
        <f>M1501-N1501</f>
        <v>21000</v>
      </c>
      <c r="P1501" s="11" t="s">
        <v>42</v>
      </c>
      <c r="Q1501" s="11" t="s">
        <v>43</v>
      </c>
      <c r="R1501" s="11" t="s">
        <v>44</v>
      </c>
      <c r="S1501" s="9" t="s">
        <v>2205</v>
      </c>
      <c r="T1501" s="9" t="s">
        <v>44</v>
      </c>
    </row>
    <row r="1502" spans="1:20">
      <c r="A1502" s="10">
        <v>1495</v>
      </c>
      <c r="B1502" s="10" t="s">
        <v>1838</v>
      </c>
      <c r="C1502" s="10" t="s">
        <v>1828</v>
      </c>
      <c r="D1502" s="10" t="s">
        <v>1829</v>
      </c>
      <c r="E1502" s="10" t="s">
        <v>70</v>
      </c>
      <c r="F1502" s="10" t="s">
        <v>35</v>
      </c>
      <c r="G1502" s="8" t="s">
        <v>41</v>
      </c>
      <c r="H1502" s="12">
        <v>1</v>
      </c>
      <c r="I1502" s="12">
        <v>3</v>
      </c>
      <c r="J1502" s="15">
        <v>51000.0</v>
      </c>
      <c r="K1502" s="15"/>
      <c r="L1502" s="17">
        <f>IF(J1502&gt;0, K1502/J1502, 0)</f>
        <v>0</v>
      </c>
      <c r="M1502" s="15">
        <v>51000.0</v>
      </c>
      <c r="N1502" s="15"/>
      <c r="O1502" s="15">
        <f>M1502-N1502</f>
        <v>51000</v>
      </c>
      <c r="P1502" s="10" t="s">
        <v>42</v>
      </c>
      <c r="Q1502" s="10" t="s">
        <v>1238</v>
      </c>
      <c r="R1502" s="10" t="s">
        <v>44</v>
      </c>
      <c r="S1502" s="8" t="s">
        <v>2237</v>
      </c>
      <c r="T1502" s="8" t="s">
        <v>44</v>
      </c>
    </row>
    <row r="1503" spans="1:20">
      <c r="A1503" s="11">
        <v>1496</v>
      </c>
      <c r="B1503" s="11" t="s">
        <v>1840</v>
      </c>
      <c r="C1503" s="11" t="s">
        <v>1828</v>
      </c>
      <c r="D1503" s="11" t="s">
        <v>1829</v>
      </c>
      <c r="E1503" s="11" t="s">
        <v>70</v>
      </c>
      <c r="F1503" s="11" t="s">
        <v>35</v>
      </c>
      <c r="G1503" s="9" t="s">
        <v>41</v>
      </c>
      <c r="H1503" s="13">
        <v>1</v>
      </c>
      <c r="I1503" s="13">
        <v>1</v>
      </c>
      <c r="J1503" s="16">
        <v>17000.0</v>
      </c>
      <c r="K1503" s="16"/>
      <c r="L1503" s="18">
        <f>IF(J1503&gt;0, K1503/J1503, 0)</f>
        <v>0</v>
      </c>
      <c r="M1503" s="16">
        <v>17000.0</v>
      </c>
      <c r="N1503" s="16"/>
      <c r="O1503" s="16">
        <f>M1503-N1503</f>
        <v>17000</v>
      </c>
      <c r="P1503" s="11" t="s">
        <v>42</v>
      </c>
      <c r="Q1503" s="11" t="s">
        <v>1238</v>
      </c>
      <c r="R1503" s="11" t="s">
        <v>44</v>
      </c>
      <c r="S1503" s="9" t="s">
        <v>2090</v>
      </c>
      <c r="T1503" s="9" t="s">
        <v>44</v>
      </c>
    </row>
    <row r="1504" spans="1:20">
      <c r="A1504" s="10">
        <v>1497</v>
      </c>
      <c r="B1504" s="10" t="s">
        <v>1841</v>
      </c>
      <c r="C1504" s="10" t="s">
        <v>1842</v>
      </c>
      <c r="D1504" s="10" t="s">
        <v>1829</v>
      </c>
      <c r="E1504" s="10" t="s">
        <v>34</v>
      </c>
      <c r="F1504" s="10" t="s">
        <v>35</v>
      </c>
      <c r="G1504" s="8" t="s">
        <v>41</v>
      </c>
      <c r="H1504" s="12">
        <v>1</v>
      </c>
      <c r="I1504" s="12">
        <v>1</v>
      </c>
      <c r="J1504" s="15">
        <v>16500.0</v>
      </c>
      <c r="K1504" s="15"/>
      <c r="L1504" s="17">
        <f>IF(J1504&gt;0, K1504/J1504, 0)</f>
        <v>0</v>
      </c>
      <c r="M1504" s="15">
        <v>16500.0</v>
      </c>
      <c r="N1504" s="15"/>
      <c r="O1504" s="15">
        <f>M1504-N1504</f>
        <v>16500</v>
      </c>
      <c r="P1504" s="10" t="s">
        <v>42</v>
      </c>
      <c r="Q1504" s="10" t="s">
        <v>43</v>
      </c>
      <c r="R1504" s="10" t="s">
        <v>44</v>
      </c>
      <c r="S1504" s="8" t="s">
        <v>2039</v>
      </c>
      <c r="T1504" s="8" t="s">
        <v>44</v>
      </c>
    </row>
    <row r="1505" spans="1:20">
      <c r="A1505" s="11">
        <v>1498</v>
      </c>
      <c r="B1505" s="11" t="s">
        <v>1843</v>
      </c>
      <c r="C1505" s="11" t="s">
        <v>1842</v>
      </c>
      <c r="D1505" s="11" t="s">
        <v>1829</v>
      </c>
      <c r="E1505" s="11" t="s">
        <v>34</v>
      </c>
      <c r="F1505" s="11" t="s">
        <v>35</v>
      </c>
      <c r="G1505" s="9" t="s">
        <v>41</v>
      </c>
      <c r="H1505" s="13">
        <v>1</v>
      </c>
      <c r="I1505" s="13">
        <v>1</v>
      </c>
      <c r="J1505" s="16">
        <v>7500.0</v>
      </c>
      <c r="K1505" s="16"/>
      <c r="L1505" s="18">
        <f>IF(J1505&gt;0, K1505/J1505, 0)</f>
        <v>0</v>
      </c>
      <c r="M1505" s="16">
        <v>7500.0</v>
      </c>
      <c r="N1505" s="16"/>
      <c r="O1505" s="16">
        <f>M1505-N1505</f>
        <v>7500</v>
      </c>
      <c r="P1505" s="11" t="s">
        <v>42</v>
      </c>
      <c r="Q1505" s="11" t="s">
        <v>43</v>
      </c>
      <c r="R1505" s="11" t="s">
        <v>44</v>
      </c>
      <c r="S1505" s="9" t="s">
        <v>2100</v>
      </c>
      <c r="T1505" s="9" t="s">
        <v>44</v>
      </c>
    </row>
    <row r="1506" spans="1:20">
      <c r="A1506" s="10">
        <v>1499</v>
      </c>
      <c r="B1506" s="10" t="s">
        <v>1844</v>
      </c>
      <c r="C1506" s="10" t="s">
        <v>1842</v>
      </c>
      <c r="D1506" s="10" t="s">
        <v>1829</v>
      </c>
      <c r="E1506" s="10" t="s">
        <v>70</v>
      </c>
      <c r="F1506" s="10" t="s">
        <v>35</v>
      </c>
      <c r="G1506" s="8" t="s">
        <v>41</v>
      </c>
      <c r="H1506" s="12">
        <v>1</v>
      </c>
      <c r="I1506" s="12">
        <v>1</v>
      </c>
      <c r="J1506" s="15">
        <v>9000.0</v>
      </c>
      <c r="K1506" s="15"/>
      <c r="L1506" s="17">
        <f>IF(J1506&gt;0, K1506/J1506, 0)</f>
        <v>0</v>
      </c>
      <c r="M1506" s="15">
        <v>9000.0</v>
      </c>
      <c r="N1506" s="15"/>
      <c r="O1506" s="15">
        <f>M1506-N1506</f>
        <v>9000</v>
      </c>
      <c r="P1506" s="10" t="s">
        <v>42</v>
      </c>
      <c r="Q1506" s="10" t="s">
        <v>73</v>
      </c>
      <c r="R1506" s="10" t="s">
        <v>44</v>
      </c>
      <c r="S1506" s="8" t="s">
        <v>2129</v>
      </c>
      <c r="T1506" s="8" t="s">
        <v>44</v>
      </c>
    </row>
    <row r="1507" spans="1:20">
      <c r="A1507" s="11">
        <v>1500</v>
      </c>
      <c r="B1507" s="11" t="s">
        <v>1845</v>
      </c>
      <c r="C1507" s="11" t="s">
        <v>1842</v>
      </c>
      <c r="D1507" s="11" t="s">
        <v>1829</v>
      </c>
      <c r="E1507" s="11" t="s">
        <v>34</v>
      </c>
      <c r="F1507" s="11" t="s">
        <v>35</v>
      </c>
      <c r="G1507" s="9" t="s">
        <v>41</v>
      </c>
      <c r="H1507" s="13">
        <v>1</v>
      </c>
      <c r="I1507" s="13">
        <v>1</v>
      </c>
      <c r="J1507" s="16">
        <v>18000.0</v>
      </c>
      <c r="K1507" s="16"/>
      <c r="L1507" s="18">
        <f>IF(J1507&gt;0, K1507/J1507, 0)</f>
        <v>0</v>
      </c>
      <c r="M1507" s="16">
        <v>18000.0</v>
      </c>
      <c r="N1507" s="16"/>
      <c r="O1507" s="16">
        <f>M1507-N1507</f>
        <v>18000</v>
      </c>
      <c r="P1507" s="11" t="s">
        <v>42</v>
      </c>
      <c r="Q1507" s="11" t="s">
        <v>43</v>
      </c>
      <c r="R1507" s="11" t="s">
        <v>44</v>
      </c>
      <c r="S1507" s="9" t="s">
        <v>2117</v>
      </c>
      <c r="T1507" s="9" t="s">
        <v>44</v>
      </c>
    </row>
    <row r="1508" spans="1:20">
      <c r="A1508" s="10">
        <v>1501</v>
      </c>
      <c r="B1508" s="10" t="s">
        <v>1846</v>
      </c>
      <c r="C1508" s="10" t="s">
        <v>1842</v>
      </c>
      <c r="D1508" s="10" t="s">
        <v>1829</v>
      </c>
      <c r="E1508" s="10" t="s">
        <v>34</v>
      </c>
      <c r="F1508" s="10" t="s">
        <v>35</v>
      </c>
      <c r="G1508" s="8" t="s">
        <v>41</v>
      </c>
      <c r="H1508" s="12">
        <v>1</v>
      </c>
      <c r="I1508" s="12">
        <v>1</v>
      </c>
      <c r="J1508" s="15">
        <v>9500.0</v>
      </c>
      <c r="K1508" s="15"/>
      <c r="L1508" s="17">
        <f>IF(J1508&gt;0, K1508/J1508, 0)</f>
        <v>0</v>
      </c>
      <c r="M1508" s="15">
        <v>9500.0</v>
      </c>
      <c r="N1508" s="15"/>
      <c r="O1508" s="15">
        <f>M1508-N1508</f>
        <v>9500</v>
      </c>
      <c r="P1508" s="10" t="s">
        <v>42</v>
      </c>
      <c r="Q1508" s="10" t="s">
        <v>43</v>
      </c>
      <c r="R1508" s="10" t="s">
        <v>44</v>
      </c>
      <c r="S1508" s="8" t="s">
        <v>2075</v>
      </c>
      <c r="T1508" s="8" t="s">
        <v>44</v>
      </c>
    </row>
    <row r="1509" spans="1:20">
      <c r="A1509" s="11">
        <v>1502</v>
      </c>
      <c r="B1509" s="11" t="s">
        <v>1847</v>
      </c>
      <c r="C1509" s="11" t="s">
        <v>1842</v>
      </c>
      <c r="D1509" s="11" t="s">
        <v>1829</v>
      </c>
      <c r="E1509" s="11" t="s">
        <v>34</v>
      </c>
      <c r="F1509" s="11" t="s">
        <v>35</v>
      </c>
      <c r="G1509" s="9" t="s">
        <v>41</v>
      </c>
      <c r="H1509" s="13">
        <v>1</v>
      </c>
      <c r="I1509" s="13">
        <v>2</v>
      </c>
      <c r="J1509" s="16">
        <v>17000.0</v>
      </c>
      <c r="K1509" s="16"/>
      <c r="L1509" s="18">
        <f>IF(J1509&gt;0, K1509/J1509, 0)</f>
        <v>0</v>
      </c>
      <c r="M1509" s="16">
        <v>17000.0</v>
      </c>
      <c r="N1509" s="16"/>
      <c r="O1509" s="16">
        <f>M1509-N1509</f>
        <v>17000</v>
      </c>
      <c r="P1509" s="11" t="s">
        <v>42</v>
      </c>
      <c r="Q1509" s="11" t="s">
        <v>43</v>
      </c>
      <c r="R1509" s="11" t="s">
        <v>44</v>
      </c>
      <c r="S1509" s="9" t="s">
        <v>2174</v>
      </c>
      <c r="T1509" s="9" t="s">
        <v>44</v>
      </c>
    </row>
    <row r="1510" spans="1:20">
      <c r="A1510" s="10">
        <v>1503</v>
      </c>
      <c r="B1510" s="10" t="s">
        <v>1848</v>
      </c>
      <c r="C1510" s="10" t="s">
        <v>1842</v>
      </c>
      <c r="D1510" s="10" t="s">
        <v>1829</v>
      </c>
      <c r="E1510" s="10" t="s">
        <v>34</v>
      </c>
      <c r="F1510" s="10" t="s">
        <v>35</v>
      </c>
      <c r="G1510" s="8" t="s">
        <v>41</v>
      </c>
      <c r="H1510" s="12">
        <v>1</v>
      </c>
      <c r="I1510" s="12">
        <v>1</v>
      </c>
      <c r="J1510" s="15">
        <v>9000.0</v>
      </c>
      <c r="K1510" s="15"/>
      <c r="L1510" s="17">
        <f>IF(J1510&gt;0, K1510/J1510, 0)</f>
        <v>0</v>
      </c>
      <c r="M1510" s="15">
        <v>9000.0</v>
      </c>
      <c r="N1510" s="15"/>
      <c r="O1510" s="15">
        <f>M1510-N1510</f>
        <v>9000</v>
      </c>
      <c r="P1510" s="10" t="s">
        <v>42</v>
      </c>
      <c r="Q1510" s="10" t="s">
        <v>43</v>
      </c>
      <c r="R1510" s="10" t="s">
        <v>44</v>
      </c>
      <c r="S1510" s="8" t="s">
        <v>2027</v>
      </c>
      <c r="T1510" s="8" t="s">
        <v>44</v>
      </c>
    </row>
    <row r="1511" spans="1:20">
      <c r="A1511" s="11">
        <v>1504</v>
      </c>
      <c r="B1511" s="11" t="s">
        <v>1849</v>
      </c>
      <c r="C1511" s="11" t="s">
        <v>1842</v>
      </c>
      <c r="D1511" s="11" t="s">
        <v>1829</v>
      </c>
      <c r="E1511" s="11" t="s">
        <v>34</v>
      </c>
      <c r="F1511" s="11" t="s">
        <v>35</v>
      </c>
      <c r="G1511" s="9" t="s">
        <v>41</v>
      </c>
      <c r="H1511" s="13">
        <v>1</v>
      </c>
      <c r="I1511" s="13">
        <v>2</v>
      </c>
      <c r="J1511" s="16">
        <v>16000.0</v>
      </c>
      <c r="K1511" s="16"/>
      <c r="L1511" s="18">
        <f>IF(J1511&gt;0, K1511/J1511, 0)</f>
        <v>0</v>
      </c>
      <c r="M1511" s="16">
        <v>16000.0</v>
      </c>
      <c r="N1511" s="16"/>
      <c r="O1511" s="16">
        <f>M1511-N1511</f>
        <v>16000</v>
      </c>
      <c r="P1511" s="11" t="s">
        <v>42</v>
      </c>
      <c r="Q1511" s="11" t="s">
        <v>43</v>
      </c>
      <c r="R1511" s="11" t="s">
        <v>44</v>
      </c>
      <c r="S1511" s="9" t="s">
        <v>2116</v>
      </c>
      <c r="T1511" s="9" t="s">
        <v>44</v>
      </c>
    </row>
    <row r="1512" spans="1:20">
      <c r="A1512" s="10">
        <v>1505</v>
      </c>
      <c r="B1512" s="10" t="s">
        <v>1850</v>
      </c>
      <c r="C1512" s="10" t="s">
        <v>1842</v>
      </c>
      <c r="D1512" s="10" t="s">
        <v>1829</v>
      </c>
      <c r="E1512" s="10" t="s">
        <v>70</v>
      </c>
      <c r="F1512" s="10" t="s">
        <v>35</v>
      </c>
      <c r="G1512" s="8" t="s">
        <v>41</v>
      </c>
      <c r="H1512" s="12">
        <v>1</v>
      </c>
      <c r="I1512" s="12">
        <v>1</v>
      </c>
      <c r="J1512" s="15">
        <v>18000.0</v>
      </c>
      <c r="K1512" s="15"/>
      <c r="L1512" s="17">
        <f>IF(J1512&gt;0, K1512/J1512, 0)</f>
        <v>0</v>
      </c>
      <c r="M1512" s="15">
        <v>18000.0</v>
      </c>
      <c r="N1512" s="15"/>
      <c r="O1512" s="15">
        <f>M1512-N1512</f>
        <v>18000</v>
      </c>
      <c r="P1512" s="10" t="s">
        <v>42</v>
      </c>
      <c r="Q1512" s="10" t="s">
        <v>1238</v>
      </c>
      <c r="R1512" s="10" t="s">
        <v>44</v>
      </c>
      <c r="S1512" s="8" t="s">
        <v>2026</v>
      </c>
      <c r="T1512" s="8" t="s">
        <v>44</v>
      </c>
    </row>
    <row r="1513" spans="1:20">
      <c r="A1513" s="11">
        <v>1506</v>
      </c>
      <c r="B1513" s="11" t="s">
        <v>1851</v>
      </c>
      <c r="C1513" s="11" t="s">
        <v>1842</v>
      </c>
      <c r="D1513" s="11" t="s">
        <v>1829</v>
      </c>
      <c r="E1513" s="11" t="s">
        <v>34</v>
      </c>
      <c r="F1513" s="11" t="s">
        <v>35</v>
      </c>
      <c r="G1513" s="9" t="s">
        <v>41</v>
      </c>
      <c r="H1513" s="13">
        <v>1</v>
      </c>
      <c r="I1513" s="13">
        <v>1</v>
      </c>
      <c r="J1513" s="16">
        <v>7000.0</v>
      </c>
      <c r="K1513" s="16"/>
      <c r="L1513" s="18">
        <f>IF(J1513&gt;0, K1513/J1513, 0)</f>
        <v>0</v>
      </c>
      <c r="M1513" s="16">
        <v>7000.0</v>
      </c>
      <c r="N1513" s="16"/>
      <c r="O1513" s="16">
        <f>M1513-N1513</f>
        <v>7000</v>
      </c>
      <c r="P1513" s="11" t="s">
        <v>42</v>
      </c>
      <c r="Q1513" s="11" t="s">
        <v>43</v>
      </c>
      <c r="R1513" s="11" t="s">
        <v>44</v>
      </c>
      <c r="S1513" s="9" t="s">
        <v>2029</v>
      </c>
      <c r="T1513" s="9" t="s">
        <v>44</v>
      </c>
    </row>
    <row r="1514" spans="1:20">
      <c r="A1514" s="10">
        <v>1507</v>
      </c>
      <c r="B1514" s="10" t="s">
        <v>1852</v>
      </c>
      <c r="C1514" s="10" t="s">
        <v>1842</v>
      </c>
      <c r="D1514" s="10" t="s">
        <v>1829</v>
      </c>
      <c r="E1514" s="10" t="s">
        <v>34</v>
      </c>
      <c r="F1514" s="10" t="s">
        <v>35</v>
      </c>
      <c r="G1514" s="8" t="s">
        <v>41</v>
      </c>
      <c r="H1514" s="12">
        <v>1</v>
      </c>
      <c r="I1514" s="12">
        <v>1</v>
      </c>
      <c r="J1514" s="15">
        <v>8000.0</v>
      </c>
      <c r="K1514" s="15"/>
      <c r="L1514" s="17">
        <f>IF(J1514&gt;0, K1514/J1514, 0)</f>
        <v>0</v>
      </c>
      <c r="M1514" s="15">
        <v>8000.0</v>
      </c>
      <c r="N1514" s="15"/>
      <c r="O1514" s="15">
        <f>M1514-N1514</f>
        <v>8000</v>
      </c>
      <c r="P1514" s="10" t="s">
        <v>42</v>
      </c>
      <c r="Q1514" s="10" t="s">
        <v>43</v>
      </c>
      <c r="R1514" s="10" t="s">
        <v>44</v>
      </c>
      <c r="S1514" s="8" t="s">
        <v>2030</v>
      </c>
      <c r="T1514" s="8" t="s">
        <v>44</v>
      </c>
    </row>
    <row r="1515" spans="1:20">
      <c r="A1515" s="11">
        <v>1508</v>
      </c>
      <c r="B1515" s="11" t="s">
        <v>1853</v>
      </c>
      <c r="C1515" s="11" t="s">
        <v>1842</v>
      </c>
      <c r="D1515" s="11" t="s">
        <v>1829</v>
      </c>
      <c r="E1515" s="11" t="s">
        <v>34</v>
      </c>
      <c r="F1515" s="11" t="s">
        <v>35</v>
      </c>
      <c r="G1515" s="9" t="s">
        <v>41</v>
      </c>
      <c r="H1515" s="13">
        <v>1</v>
      </c>
      <c r="I1515" s="13">
        <v>2</v>
      </c>
      <c r="J1515" s="16">
        <v>14000.0</v>
      </c>
      <c r="K1515" s="16"/>
      <c r="L1515" s="18">
        <f>IF(J1515&gt;0, K1515/J1515, 0)</f>
        <v>0</v>
      </c>
      <c r="M1515" s="16">
        <v>14000.0</v>
      </c>
      <c r="N1515" s="16"/>
      <c r="O1515" s="16">
        <f>M1515-N1515</f>
        <v>14000</v>
      </c>
      <c r="P1515" s="11" t="s">
        <v>42</v>
      </c>
      <c r="Q1515" s="11" t="s">
        <v>43</v>
      </c>
      <c r="R1515" s="11" t="s">
        <v>44</v>
      </c>
      <c r="S1515" s="9" t="s">
        <v>2048</v>
      </c>
      <c r="T1515" s="9" t="s">
        <v>44</v>
      </c>
    </row>
    <row r="1516" spans="1:20">
      <c r="A1516" s="10">
        <v>1509</v>
      </c>
      <c r="B1516" s="10" t="s">
        <v>1854</v>
      </c>
      <c r="C1516" s="10" t="s">
        <v>1842</v>
      </c>
      <c r="D1516" s="10" t="s">
        <v>1829</v>
      </c>
      <c r="E1516" s="10" t="s">
        <v>34</v>
      </c>
      <c r="F1516" s="10" t="s">
        <v>35</v>
      </c>
      <c r="G1516" s="8" t="s">
        <v>41</v>
      </c>
      <c r="H1516" s="12">
        <v>1</v>
      </c>
      <c r="I1516" s="12">
        <v>1</v>
      </c>
      <c r="J1516" s="15">
        <v>16000.0</v>
      </c>
      <c r="K1516" s="15"/>
      <c r="L1516" s="17">
        <f>IF(J1516&gt;0, K1516/J1516, 0)</f>
        <v>0</v>
      </c>
      <c r="M1516" s="15">
        <v>16000.0</v>
      </c>
      <c r="N1516" s="15"/>
      <c r="O1516" s="15">
        <f>M1516-N1516</f>
        <v>16000</v>
      </c>
      <c r="P1516" s="10" t="s">
        <v>42</v>
      </c>
      <c r="Q1516" s="10" t="s">
        <v>43</v>
      </c>
      <c r="R1516" s="10" t="s">
        <v>44</v>
      </c>
      <c r="S1516" s="8" t="s">
        <v>2036</v>
      </c>
      <c r="T1516" s="8" t="s">
        <v>44</v>
      </c>
    </row>
    <row r="1517" spans="1:20">
      <c r="A1517" s="11">
        <v>1510</v>
      </c>
      <c r="B1517" s="11" t="s">
        <v>1855</v>
      </c>
      <c r="C1517" s="11" t="s">
        <v>1842</v>
      </c>
      <c r="D1517" s="11" t="s">
        <v>1829</v>
      </c>
      <c r="E1517" s="11" t="s">
        <v>34</v>
      </c>
      <c r="F1517" s="11" t="s">
        <v>35</v>
      </c>
      <c r="G1517" s="9" t="s">
        <v>41</v>
      </c>
      <c r="H1517" s="13">
        <v>1</v>
      </c>
      <c r="I1517" s="13">
        <v>1</v>
      </c>
      <c r="J1517" s="16">
        <v>8000.0</v>
      </c>
      <c r="K1517" s="16"/>
      <c r="L1517" s="18">
        <f>IF(J1517&gt;0, K1517/J1517, 0)</f>
        <v>0</v>
      </c>
      <c r="M1517" s="16">
        <v>8000.0</v>
      </c>
      <c r="N1517" s="16"/>
      <c r="O1517" s="16">
        <f>M1517-N1517</f>
        <v>8000</v>
      </c>
      <c r="P1517" s="11" t="s">
        <v>42</v>
      </c>
      <c r="Q1517" s="11" t="s">
        <v>43</v>
      </c>
      <c r="R1517" s="11" t="s">
        <v>44</v>
      </c>
      <c r="S1517" s="9" t="s">
        <v>2020</v>
      </c>
      <c r="T1517" s="9" t="s">
        <v>44</v>
      </c>
    </row>
    <row r="1518" spans="1:20">
      <c r="A1518" s="10">
        <v>1511</v>
      </c>
      <c r="B1518" s="10" t="s">
        <v>1856</v>
      </c>
      <c r="C1518" s="10" t="s">
        <v>1842</v>
      </c>
      <c r="D1518" s="10" t="s">
        <v>1829</v>
      </c>
      <c r="E1518" s="10" t="s">
        <v>34</v>
      </c>
      <c r="F1518" s="10" t="s">
        <v>35</v>
      </c>
      <c r="G1518" s="8" t="s">
        <v>41</v>
      </c>
      <c r="H1518" s="12">
        <v>1</v>
      </c>
      <c r="I1518" s="12">
        <v>1</v>
      </c>
      <c r="J1518" s="15">
        <v>9500.0</v>
      </c>
      <c r="K1518" s="15"/>
      <c r="L1518" s="17">
        <f>IF(J1518&gt;0, K1518/J1518, 0)</f>
        <v>0</v>
      </c>
      <c r="M1518" s="15">
        <v>9500.0</v>
      </c>
      <c r="N1518" s="15"/>
      <c r="O1518" s="15">
        <f>M1518-N1518</f>
        <v>9500</v>
      </c>
      <c r="P1518" s="10" t="s">
        <v>42</v>
      </c>
      <c r="Q1518" s="10" t="s">
        <v>43</v>
      </c>
      <c r="R1518" s="10" t="s">
        <v>44</v>
      </c>
      <c r="S1518" s="8" t="s">
        <v>2238</v>
      </c>
      <c r="T1518" s="8" t="s">
        <v>44</v>
      </c>
    </row>
    <row r="1519" spans="1:20">
      <c r="A1519" s="11">
        <v>1512</v>
      </c>
      <c r="B1519" s="11" t="s">
        <v>1860</v>
      </c>
      <c r="C1519" s="11" t="s">
        <v>1842</v>
      </c>
      <c r="D1519" s="11" t="s">
        <v>1829</v>
      </c>
      <c r="E1519" s="11" t="s">
        <v>34</v>
      </c>
      <c r="F1519" s="11" t="s">
        <v>35</v>
      </c>
      <c r="G1519" s="9" t="s">
        <v>41</v>
      </c>
      <c r="H1519" s="13">
        <v>1</v>
      </c>
      <c r="I1519" s="13">
        <v>1</v>
      </c>
      <c r="J1519" s="16">
        <v>8500.0</v>
      </c>
      <c r="K1519" s="16"/>
      <c r="L1519" s="18">
        <f>IF(J1519&gt;0, K1519/J1519, 0)</f>
        <v>0</v>
      </c>
      <c r="M1519" s="16">
        <v>8500.0</v>
      </c>
      <c r="N1519" s="16"/>
      <c r="O1519" s="16">
        <f>M1519-N1519</f>
        <v>8500</v>
      </c>
      <c r="P1519" s="11" t="s">
        <v>42</v>
      </c>
      <c r="Q1519" s="11" t="s">
        <v>43</v>
      </c>
      <c r="R1519" s="11" t="s">
        <v>44</v>
      </c>
      <c r="S1519" s="9" t="s">
        <v>2045</v>
      </c>
      <c r="T1519" s="9" t="s">
        <v>44</v>
      </c>
    </row>
    <row r="1520" spans="1:20">
      <c r="A1520" s="10">
        <v>1513</v>
      </c>
      <c r="B1520" s="10" t="s">
        <v>1861</v>
      </c>
      <c r="C1520" s="10" t="s">
        <v>1842</v>
      </c>
      <c r="D1520" s="10" t="s">
        <v>1829</v>
      </c>
      <c r="E1520" s="10" t="s">
        <v>34</v>
      </c>
      <c r="F1520" s="10" t="s">
        <v>35</v>
      </c>
      <c r="G1520" s="8" t="s">
        <v>41</v>
      </c>
      <c r="H1520" s="12">
        <v>1</v>
      </c>
      <c r="I1520" s="12">
        <v>1</v>
      </c>
      <c r="J1520" s="15">
        <v>7500.0</v>
      </c>
      <c r="K1520" s="15"/>
      <c r="L1520" s="17">
        <f>IF(J1520&gt;0, K1520/J1520, 0)</f>
        <v>0</v>
      </c>
      <c r="M1520" s="15">
        <v>7500.0</v>
      </c>
      <c r="N1520" s="15"/>
      <c r="O1520" s="15">
        <f>M1520-N1520</f>
        <v>7500</v>
      </c>
      <c r="P1520" s="10" t="s">
        <v>42</v>
      </c>
      <c r="Q1520" s="10" t="s">
        <v>43</v>
      </c>
      <c r="R1520" s="10" t="s">
        <v>44</v>
      </c>
      <c r="S1520" s="8" t="s">
        <v>2239</v>
      </c>
      <c r="T1520" s="8" t="s">
        <v>44</v>
      </c>
    </row>
    <row r="1521" spans="1:20">
      <c r="A1521" s="11">
        <v>1514</v>
      </c>
      <c r="B1521" s="11" t="s">
        <v>1864</v>
      </c>
      <c r="C1521" s="11" t="s">
        <v>1842</v>
      </c>
      <c r="D1521" s="11" t="s">
        <v>1829</v>
      </c>
      <c r="E1521" s="11" t="s">
        <v>34</v>
      </c>
      <c r="F1521" s="11" t="s">
        <v>35</v>
      </c>
      <c r="G1521" s="9" t="s">
        <v>41</v>
      </c>
      <c r="H1521" s="13">
        <v>1</v>
      </c>
      <c r="I1521" s="13">
        <v>1</v>
      </c>
      <c r="J1521" s="16">
        <v>18000.0</v>
      </c>
      <c r="K1521" s="16"/>
      <c r="L1521" s="18">
        <f>IF(J1521&gt;0, K1521/J1521, 0)</f>
        <v>0</v>
      </c>
      <c r="M1521" s="16">
        <v>18000.0</v>
      </c>
      <c r="N1521" s="16"/>
      <c r="O1521" s="16">
        <f>M1521-N1521</f>
        <v>18000</v>
      </c>
      <c r="P1521" s="11" t="s">
        <v>42</v>
      </c>
      <c r="Q1521" s="11" t="s">
        <v>43</v>
      </c>
      <c r="R1521" s="11" t="s">
        <v>44</v>
      </c>
      <c r="S1521" s="9" t="s">
        <v>2117</v>
      </c>
      <c r="T1521" s="9" t="s">
        <v>44</v>
      </c>
    </row>
    <row r="1522" spans="1:20">
      <c r="A1522" s="10">
        <v>1515</v>
      </c>
      <c r="B1522" s="10" t="s">
        <v>1865</v>
      </c>
      <c r="C1522" s="10" t="s">
        <v>1842</v>
      </c>
      <c r="D1522" s="10" t="s">
        <v>1829</v>
      </c>
      <c r="E1522" s="10" t="s">
        <v>34</v>
      </c>
      <c r="F1522" s="10" t="s">
        <v>35</v>
      </c>
      <c r="G1522" s="8" t="s">
        <v>41</v>
      </c>
      <c r="H1522" s="12">
        <v>1</v>
      </c>
      <c r="I1522" s="12">
        <v>1</v>
      </c>
      <c r="J1522" s="15">
        <v>8500.0</v>
      </c>
      <c r="K1522" s="15"/>
      <c r="L1522" s="17">
        <f>IF(J1522&gt;0, K1522/J1522, 0)</f>
        <v>0</v>
      </c>
      <c r="M1522" s="15">
        <v>8500.0</v>
      </c>
      <c r="N1522" s="15"/>
      <c r="O1522" s="15">
        <f>M1522-N1522</f>
        <v>8500</v>
      </c>
      <c r="P1522" s="10" t="s">
        <v>42</v>
      </c>
      <c r="Q1522" s="10" t="s">
        <v>43</v>
      </c>
      <c r="R1522" s="10" t="s">
        <v>44</v>
      </c>
      <c r="S1522" s="8" t="s">
        <v>2022</v>
      </c>
      <c r="T1522" s="8" t="s">
        <v>44</v>
      </c>
    </row>
    <row r="1523" spans="1:20">
      <c r="A1523" s="11">
        <v>1516</v>
      </c>
      <c r="B1523" s="11" t="s">
        <v>1866</v>
      </c>
      <c r="C1523" s="11" t="s">
        <v>1842</v>
      </c>
      <c r="D1523" s="11" t="s">
        <v>1829</v>
      </c>
      <c r="E1523" s="11" t="s">
        <v>34</v>
      </c>
      <c r="F1523" s="11" t="s">
        <v>35</v>
      </c>
      <c r="G1523" s="9" t="s">
        <v>41</v>
      </c>
      <c r="H1523" s="13">
        <v>1</v>
      </c>
      <c r="I1523" s="13">
        <v>1</v>
      </c>
      <c r="J1523" s="16">
        <v>7500.0</v>
      </c>
      <c r="K1523" s="16"/>
      <c r="L1523" s="18">
        <f>IF(J1523&gt;0, K1523/J1523, 0)</f>
        <v>0</v>
      </c>
      <c r="M1523" s="16">
        <v>7500.0</v>
      </c>
      <c r="N1523" s="16"/>
      <c r="O1523" s="16">
        <f>M1523-N1523</f>
        <v>7500</v>
      </c>
      <c r="P1523" s="11" t="s">
        <v>42</v>
      </c>
      <c r="Q1523" s="11" t="s">
        <v>43</v>
      </c>
      <c r="R1523" s="11" t="s">
        <v>44</v>
      </c>
      <c r="S1523" s="9" t="s">
        <v>2046</v>
      </c>
      <c r="T1523" s="9" t="s">
        <v>44</v>
      </c>
    </row>
    <row r="1524" spans="1:20">
      <c r="A1524" s="10">
        <v>1517</v>
      </c>
      <c r="B1524" s="10" t="s">
        <v>1867</v>
      </c>
      <c r="C1524" s="10" t="s">
        <v>1842</v>
      </c>
      <c r="D1524" s="10" t="s">
        <v>1829</v>
      </c>
      <c r="E1524" s="10" t="s">
        <v>34</v>
      </c>
      <c r="F1524" s="10" t="s">
        <v>35</v>
      </c>
      <c r="G1524" s="8" t="s">
        <v>41</v>
      </c>
      <c r="H1524" s="12">
        <v>1</v>
      </c>
      <c r="I1524" s="12">
        <v>1</v>
      </c>
      <c r="J1524" s="15">
        <v>8000.0</v>
      </c>
      <c r="K1524" s="15"/>
      <c r="L1524" s="17">
        <f>IF(J1524&gt;0, K1524/J1524, 0)</f>
        <v>0</v>
      </c>
      <c r="M1524" s="15">
        <v>8000.0</v>
      </c>
      <c r="N1524" s="15"/>
      <c r="O1524" s="15">
        <f>M1524-N1524</f>
        <v>8000</v>
      </c>
      <c r="P1524" s="10" t="s">
        <v>42</v>
      </c>
      <c r="Q1524" s="10" t="s">
        <v>43</v>
      </c>
      <c r="R1524" s="10" t="s">
        <v>44</v>
      </c>
      <c r="S1524" s="8" t="s">
        <v>2028</v>
      </c>
      <c r="T1524" s="8" t="s">
        <v>44</v>
      </c>
    </row>
    <row r="1525" spans="1:20">
      <c r="A1525" s="11">
        <v>1518</v>
      </c>
      <c r="B1525" s="11" t="s">
        <v>1868</v>
      </c>
      <c r="C1525" s="11" t="s">
        <v>1842</v>
      </c>
      <c r="D1525" s="11" t="s">
        <v>1829</v>
      </c>
      <c r="E1525" s="11" t="s">
        <v>34</v>
      </c>
      <c r="F1525" s="11" t="s">
        <v>35</v>
      </c>
      <c r="G1525" s="9" t="s">
        <v>41</v>
      </c>
      <c r="H1525" s="13">
        <v>1</v>
      </c>
      <c r="I1525" s="13">
        <v>1</v>
      </c>
      <c r="J1525" s="16">
        <v>8000.0</v>
      </c>
      <c r="K1525" s="16"/>
      <c r="L1525" s="18">
        <f>IF(J1525&gt;0, K1525/J1525, 0)</f>
        <v>0</v>
      </c>
      <c r="M1525" s="16">
        <v>8000.0</v>
      </c>
      <c r="N1525" s="16"/>
      <c r="O1525" s="16">
        <f>M1525-N1525</f>
        <v>8000</v>
      </c>
      <c r="P1525" s="11" t="s">
        <v>42</v>
      </c>
      <c r="Q1525" s="11" t="s">
        <v>43</v>
      </c>
      <c r="R1525" s="11" t="s">
        <v>44</v>
      </c>
      <c r="S1525" s="9" t="s">
        <v>2028</v>
      </c>
      <c r="T1525" s="9" t="s">
        <v>44</v>
      </c>
    </row>
    <row r="1526" spans="1:20">
      <c r="A1526" s="10">
        <v>1519</v>
      </c>
      <c r="B1526" s="10" t="s">
        <v>1869</v>
      </c>
      <c r="C1526" s="10" t="s">
        <v>1842</v>
      </c>
      <c r="D1526" s="10" t="s">
        <v>1829</v>
      </c>
      <c r="E1526" s="10" t="s">
        <v>34</v>
      </c>
      <c r="F1526" s="10" t="s">
        <v>35</v>
      </c>
      <c r="G1526" s="8" t="s">
        <v>41</v>
      </c>
      <c r="H1526" s="12">
        <v>1</v>
      </c>
      <c r="I1526" s="12">
        <v>1</v>
      </c>
      <c r="J1526" s="15">
        <v>16500.0</v>
      </c>
      <c r="K1526" s="15"/>
      <c r="L1526" s="17">
        <f>IF(J1526&gt;0, K1526/J1526, 0)</f>
        <v>0</v>
      </c>
      <c r="M1526" s="15">
        <v>16500.0</v>
      </c>
      <c r="N1526" s="15"/>
      <c r="O1526" s="15">
        <f>M1526-N1526</f>
        <v>16500</v>
      </c>
      <c r="P1526" s="10" t="s">
        <v>42</v>
      </c>
      <c r="Q1526" s="10" t="s">
        <v>43</v>
      </c>
      <c r="R1526" s="10" t="s">
        <v>44</v>
      </c>
      <c r="S1526" s="8" t="s">
        <v>2064</v>
      </c>
      <c r="T1526" s="8" t="s">
        <v>44</v>
      </c>
    </row>
    <row r="1527" spans="1:20">
      <c r="A1527" s="11">
        <v>1520</v>
      </c>
      <c r="B1527" s="11" t="s">
        <v>1870</v>
      </c>
      <c r="C1527" s="11" t="s">
        <v>1842</v>
      </c>
      <c r="D1527" s="11" t="s">
        <v>1829</v>
      </c>
      <c r="E1527" s="11" t="s">
        <v>70</v>
      </c>
      <c r="F1527" s="11" t="s">
        <v>35</v>
      </c>
      <c r="G1527" s="9" t="s">
        <v>41</v>
      </c>
      <c r="H1527" s="13">
        <v>1</v>
      </c>
      <c r="I1527" s="13">
        <v>1</v>
      </c>
      <c r="J1527" s="16">
        <v>10000.0</v>
      </c>
      <c r="K1527" s="16"/>
      <c r="L1527" s="18">
        <f>IF(J1527&gt;0, K1527/J1527, 0)</f>
        <v>0</v>
      </c>
      <c r="M1527" s="16">
        <v>10000.0</v>
      </c>
      <c r="N1527" s="16"/>
      <c r="O1527" s="16">
        <f>M1527-N1527</f>
        <v>10000</v>
      </c>
      <c r="P1527" s="11" t="s">
        <v>42</v>
      </c>
      <c r="Q1527" s="11" t="s">
        <v>73</v>
      </c>
      <c r="R1527" s="11" t="s">
        <v>44</v>
      </c>
      <c r="S1527" s="9" t="s">
        <v>2240</v>
      </c>
      <c r="T1527" s="9" t="s">
        <v>44</v>
      </c>
    </row>
    <row r="1528" spans="1:20">
      <c r="A1528" s="10">
        <v>1521</v>
      </c>
      <c r="B1528" s="10" t="s">
        <v>1872</v>
      </c>
      <c r="C1528" s="10" t="s">
        <v>1842</v>
      </c>
      <c r="D1528" s="10" t="s">
        <v>1829</v>
      </c>
      <c r="E1528" s="10" t="s">
        <v>34</v>
      </c>
      <c r="F1528" s="10" t="s">
        <v>35</v>
      </c>
      <c r="G1528" s="8" t="s">
        <v>41</v>
      </c>
      <c r="H1528" s="12">
        <v>1</v>
      </c>
      <c r="I1528" s="12">
        <v>1</v>
      </c>
      <c r="J1528" s="15">
        <v>18000.0</v>
      </c>
      <c r="K1528" s="15"/>
      <c r="L1528" s="17">
        <f>IF(J1528&gt;0, K1528/J1528, 0)</f>
        <v>0</v>
      </c>
      <c r="M1528" s="15">
        <v>18000.0</v>
      </c>
      <c r="N1528" s="15"/>
      <c r="O1528" s="15">
        <f>M1528-N1528</f>
        <v>18000</v>
      </c>
      <c r="P1528" s="10" t="s">
        <v>42</v>
      </c>
      <c r="Q1528" s="10" t="s">
        <v>43</v>
      </c>
      <c r="R1528" s="10" t="s">
        <v>44</v>
      </c>
      <c r="S1528" s="8" t="s">
        <v>2066</v>
      </c>
      <c r="T1528" s="8" t="s">
        <v>44</v>
      </c>
    </row>
    <row r="1529" spans="1:20">
      <c r="A1529" s="11">
        <v>1522</v>
      </c>
      <c r="B1529" s="11" t="s">
        <v>1873</v>
      </c>
      <c r="C1529" s="11" t="s">
        <v>1842</v>
      </c>
      <c r="D1529" s="11" t="s">
        <v>1829</v>
      </c>
      <c r="E1529" s="11" t="s">
        <v>34</v>
      </c>
      <c r="F1529" s="11" t="s">
        <v>35</v>
      </c>
      <c r="G1529" s="9" t="s">
        <v>41</v>
      </c>
      <c r="H1529" s="13">
        <v>1</v>
      </c>
      <c r="I1529" s="13">
        <v>1</v>
      </c>
      <c r="J1529" s="16">
        <v>8000.0</v>
      </c>
      <c r="K1529" s="16"/>
      <c r="L1529" s="18">
        <f>IF(J1529&gt;0, K1529/J1529, 0)</f>
        <v>0</v>
      </c>
      <c r="M1529" s="16">
        <v>8000.0</v>
      </c>
      <c r="N1529" s="16"/>
      <c r="O1529" s="16">
        <f>M1529-N1529</f>
        <v>8000</v>
      </c>
      <c r="P1529" s="11" t="s">
        <v>42</v>
      </c>
      <c r="Q1529" s="11" t="s">
        <v>43</v>
      </c>
      <c r="R1529" s="11" t="s">
        <v>44</v>
      </c>
      <c r="S1529" s="9" t="s">
        <v>2115</v>
      </c>
      <c r="T1529" s="9" t="s">
        <v>44</v>
      </c>
    </row>
    <row r="1530" spans="1:20">
      <c r="A1530" s="10">
        <v>1523</v>
      </c>
      <c r="B1530" s="10" t="s">
        <v>1874</v>
      </c>
      <c r="C1530" s="10" t="s">
        <v>1842</v>
      </c>
      <c r="D1530" s="10" t="s">
        <v>1829</v>
      </c>
      <c r="E1530" s="10" t="s">
        <v>34</v>
      </c>
      <c r="F1530" s="10" t="s">
        <v>35</v>
      </c>
      <c r="G1530" s="8" t="s">
        <v>41</v>
      </c>
      <c r="H1530" s="12">
        <v>1</v>
      </c>
      <c r="I1530" s="12">
        <v>1</v>
      </c>
      <c r="J1530" s="15">
        <v>8000.0</v>
      </c>
      <c r="K1530" s="15"/>
      <c r="L1530" s="17">
        <f>IF(J1530&gt;0, K1530/J1530, 0)</f>
        <v>0</v>
      </c>
      <c r="M1530" s="15">
        <v>8000.0</v>
      </c>
      <c r="N1530" s="15"/>
      <c r="O1530" s="15">
        <f>M1530-N1530</f>
        <v>8000</v>
      </c>
      <c r="P1530" s="10" t="s">
        <v>42</v>
      </c>
      <c r="Q1530" s="10" t="s">
        <v>43</v>
      </c>
      <c r="R1530" s="10" t="s">
        <v>44</v>
      </c>
      <c r="S1530" s="8" t="s">
        <v>2067</v>
      </c>
      <c r="T1530" s="8" t="s">
        <v>44</v>
      </c>
    </row>
    <row r="1531" spans="1:20">
      <c r="A1531" s="11">
        <v>1524</v>
      </c>
      <c r="B1531" s="11" t="s">
        <v>1875</v>
      </c>
      <c r="C1531" s="11" t="s">
        <v>1842</v>
      </c>
      <c r="D1531" s="11" t="s">
        <v>1829</v>
      </c>
      <c r="E1531" s="11" t="s">
        <v>34</v>
      </c>
      <c r="F1531" s="11" t="s">
        <v>35</v>
      </c>
      <c r="G1531" s="9" t="s">
        <v>41</v>
      </c>
      <c r="H1531" s="13">
        <v>1</v>
      </c>
      <c r="I1531" s="13">
        <v>2</v>
      </c>
      <c r="J1531" s="16">
        <v>14000.0</v>
      </c>
      <c r="K1531" s="16"/>
      <c r="L1531" s="18">
        <f>IF(J1531&gt;0, K1531/J1531, 0)</f>
        <v>0</v>
      </c>
      <c r="M1531" s="16">
        <v>14000.0</v>
      </c>
      <c r="N1531" s="16"/>
      <c r="O1531" s="16">
        <f>M1531-N1531</f>
        <v>14000</v>
      </c>
      <c r="P1531" s="11" t="s">
        <v>42</v>
      </c>
      <c r="Q1531" s="11" t="s">
        <v>43</v>
      </c>
      <c r="R1531" s="11" t="s">
        <v>44</v>
      </c>
      <c r="S1531" s="9" t="s">
        <v>2182</v>
      </c>
      <c r="T1531" s="9" t="s">
        <v>44</v>
      </c>
    </row>
    <row r="1532" spans="1:20">
      <c r="A1532" s="10">
        <v>1525</v>
      </c>
      <c r="B1532" s="10" t="s">
        <v>1876</v>
      </c>
      <c r="C1532" s="10" t="s">
        <v>1842</v>
      </c>
      <c r="D1532" s="10" t="s">
        <v>1829</v>
      </c>
      <c r="E1532" s="10" t="s">
        <v>70</v>
      </c>
      <c r="F1532" s="10" t="s">
        <v>35</v>
      </c>
      <c r="G1532" s="8" t="s">
        <v>41</v>
      </c>
      <c r="H1532" s="12">
        <v>1</v>
      </c>
      <c r="I1532" s="12">
        <v>1</v>
      </c>
      <c r="J1532" s="15">
        <v>8000.0</v>
      </c>
      <c r="K1532" s="15"/>
      <c r="L1532" s="17">
        <f>IF(J1532&gt;0, K1532/J1532, 0)</f>
        <v>0</v>
      </c>
      <c r="M1532" s="15">
        <v>8000.0</v>
      </c>
      <c r="N1532" s="15"/>
      <c r="O1532" s="15">
        <f>M1532-N1532</f>
        <v>8000</v>
      </c>
      <c r="P1532" s="10" t="s">
        <v>42</v>
      </c>
      <c r="Q1532" s="10" t="s">
        <v>73</v>
      </c>
      <c r="R1532" s="10" t="s">
        <v>44</v>
      </c>
      <c r="S1532" s="8" t="s">
        <v>2139</v>
      </c>
      <c r="T1532" s="8" t="s">
        <v>44</v>
      </c>
    </row>
    <row r="1533" spans="1:20">
      <c r="A1533" s="11">
        <v>1526</v>
      </c>
      <c r="B1533" s="11" t="s">
        <v>1877</v>
      </c>
      <c r="C1533" s="11" t="s">
        <v>1842</v>
      </c>
      <c r="D1533" s="11" t="s">
        <v>1829</v>
      </c>
      <c r="E1533" s="11" t="s">
        <v>34</v>
      </c>
      <c r="F1533" s="11" t="s">
        <v>35</v>
      </c>
      <c r="G1533" s="9" t="s">
        <v>41</v>
      </c>
      <c r="H1533" s="13">
        <v>1</v>
      </c>
      <c r="I1533" s="13">
        <v>1</v>
      </c>
      <c r="J1533" s="16">
        <v>8000.0</v>
      </c>
      <c r="K1533" s="16"/>
      <c r="L1533" s="18">
        <f>IF(J1533&gt;0, K1533/J1533, 0)</f>
        <v>0</v>
      </c>
      <c r="M1533" s="16">
        <v>8000.0</v>
      </c>
      <c r="N1533" s="16"/>
      <c r="O1533" s="16">
        <f>M1533-N1533</f>
        <v>8000</v>
      </c>
      <c r="P1533" s="11" t="s">
        <v>42</v>
      </c>
      <c r="Q1533" s="11" t="s">
        <v>43</v>
      </c>
      <c r="R1533" s="11" t="s">
        <v>44</v>
      </c>
      <c r="S1533" s="9" t="s">
        <v>2062</v>
      </c>
      <c r="T1533" s="9" t="s">
        <v>44</v>
      </c>
    </row>
    <row r="1534" spans="1:20">
      <c r="A1534" s="10">
        <v>1527</v>
      </c>
      <c r="B1534" s="10" t="s">
        <v>1878</v>
      </c>
      <c r="C1534" s="10" t="s">
        <v>1842</v>
      </c>
      <c r="D1534" s="10" t="s">
        <v>1829</v>
      </c>
      <c r="E1534" s="10" t="s">
        <v>34</v>
      </c>
      <c r="F1534" s="10" t="s">
        <v>35</v>
      </c>
      <c r="G1534" s="8" t="s">
        <v>41</v>
      </c>
      <c r="H1534" s="12">
        <v>1</v>
      </c>
      <c r="I1534" s="12">
        <v>1</v>
      </c>
      <c r="J1534" s="15">
        <v>18000.0</v>
      </c>
      <c r="K1534" s="15"/>
      <c r="L1534" s="17">
        <f>IF(J1534&gt;0, K1534/J1534, 0)</f>
        <v>0</v>
      </c>
      <c r="M1534" s="15">
        <v>18000.0</v>
      </c>
      <c r="N1534" s="15"/>
      <c r="O1534" s="15">
        <f>M1534-N1534</f>
        <v>18000</v>
      </c>
      <c r="P1534" s="10" t="s">
        <v>42</v>
      </c>
      <c r="Q1534" s="10" t="s">
        <v>43</v>
      </c>
      <c r="R1534" s="10" t="s">
        <v>44</v>
      </c>
      <c r="S1534" s="8" t="s">
        <v>2066</v>
      </c>
      <c r="T1534" s="8" t="s">
        <v>44</v>
      </c>
    </row>
    <row r="1535" spans="1:20">
      <c r="A1535" s="11">
        <v>1528</v>
      </c>
      <c r="B1535" s="11" t="s">
        <v>1879</v>
      </c>
      <c r="C1535" s="11" t="s">
        <v>1842</v>
      </c>
      <c r="D1535" s="11" t="s">
        <v>1829</v>
      </c>
      <c r="E1535" s="11" t="s">
        <v>34</v>
      </c>
      <c r="F1535" s="11" t="s">
        <v>35</v>
      </c>
      <c r="G1535" s="9" t="s">
        <v>41</v>
      </c>
      <c r="H1535" s="13">
        <v>1</v>
      </c>
      <c r="I1535" s="13">
        <v>1</v>
      </c>
      <c r="J1535" s="16">
        <v>7000.0</v>
      </c>
      <c r="K1535" s="16"/>
      <c r="L1535" s="18">
        <f>IF(J1535&gt;0, K1535/J1535, 0)</f>
        <v>0</v>
      </c>
      <c r="M1535" s="16">
        <v>7000.0</v>
      </c>
      <c r="N1535" s="16"/>
      <c r="O1535" s="16">
        <f>M1535-N1535</f>
        <v>7000</v>
      </c>
      <c r="P1535" s="11" t="s">
        <v>42</v>
      </c>
      <c r="Q1535" s="11" t="s">
        <v>43</v>
      </c>
      <c r="R1535" s="11" t="s">
        <v>44</v>
      </c>
      <c r="S1535" s="9" t="s">
        <v>2055</v>
      </c>
      <c r="T1535" s="9" t="s">
        <v>44</v>
      </c>
    </row>
    <row r="1536" spans="1:20">
      <c r="A1536" s="10">
        <v>1529</v>
      </c>
      <c r="B1536" s="10" t="s">
        <v>1880</v>
      </c>
      <c r="C1536" s="10" t="s">
        <v>1842</v>
      </c>
      <c r="D1536" s="10" t="s">
        <v>1829</v>
      </c>
      <c r="E1536" s="10" t="s">
        <v>34</v>
      </c>
      <c r="F1536" s="10" t="s">
        <v>35</v>
      </c>
      <c r="G1536" s="8" t="s">
        <v>41</v>
      </c>
      <c r="H1536" s="12">
        <v>1</v>
      </c>
      <c r="I1536" s="12">
        <v>1</v>
      </c>
      <c r="J1536" s="15">
        <v>7000.0</v>
      </c>
      <c r="K1536" s="15"/>
      <c r="L1536" s="17">
        <f>IF(J1536&gt;0, K1536/J1536, 0)</f>
        <v>0</v>
      </c>
      <c r="M1536" s="15">
        <v>7000.0</v>
      </c>
      <c r="N1536" s="15"/>
      <c r="O1536" s="15">
        <f>M1536-N1536</f>
        <v>7000</v>
      </c>
      <c r="P1536" s="10" t="s">
        <v>42</v>
      </c>
      <c r="Q1536" s="10" t="s">
        <v>43</v>
      </c>
      <c r="R1536" s="10" t="s">
        <v>44</v>
      </c>
      <c r="S1536" s="8" t="s">
        <v>2101</v>
      </c>
      <c r="T1536" s="8" t="s">
        <v>44</v>
      </c>
    </row>
    <row r="1537" spans="1:20">
      <c r="A1537" s="11">
        <v>1530</v>
      </c>
      <c r="B1537" s="11" t="s">
        <v>1881</v>
      </c>
      <c r="C1537" s="11" t="s">
        <v>1842</v>
      </c>
      <c r="D1537" s="11" t="s">
        <v>1829</v>
      </c>
      <c r="E1537" s="11" t="s">
        <v>34</v>
      </c>
      <c r="F1537" s="11" t="s">
        <v>35</v>
      </c>
      <c r="G1537" s="9" t="s">
        <v>41</v>
      </c>
      <c r="H1537" s="13">
        <v>1</v>
      </c>
      <c r="I1537" s="13">
        <v>2</v>
      </c>
      <c r="J1537" s="16">
        <v>16000.0</v>
      </c>
      <c r="K1537" s="16"/>
      <c r="L1537" s="18">
        <f>IF(J1537&gt;0, K1537/J1537, 0)</f>
        <v>0</v>
      </c>
      <c r="M1537" s="16">
        <v>16000.0</v>
      </c>
      <c r="N1537" s="16"/>
      <c r="O1537" s="16">
        <f>M1537-N1537</f>
        <v>16000</v>
      </c>
      <c r="P1537" s="11" t="s">
        <v>42</v>
      </c>
      <c r="Q1537" s="11" t="s">
        <v>43</v>
      </c>
      <c r="R1537" s="11" t="s">
        <v>44</v>
      </c>
      <c r="S1537" s="9" t="s">
        <v>2116</v>
      </c>
      <c r="T1537" s="9" t="s">
        <v>44</v>
      </c>
    </row>
    <row r="1538" spans="1:20">
      <c r="A1538" s="10">
        <v>1531</v>
      </c>
      <c r="B1538" s="10" t="s">
        <v>1882</v>
      </c>
      <c r="C1538" s="10" t="s">
        <v>1883</v>
      </c>
      <c r="D1538" s="10" t="s">
        <v>1829</v>
      </c>
      <c r="E1538" s="10" t="s">
        <v>34</v>
      </c>
      <c r="F1538" s="10" t="s">
        <v>35</v>
      </c>
      <c r="G1538" s="8" t="s">
        <v>41</v>
      </c>
      <c r="H1538" s="12">
        <v>1</v>
      </c>
      <c r="I1538" s="12">
        <v>1</v>
      </c>
      <c r="J1538" s="15">
        <v>8000.0</v>
      </c>
      <c r="K1538" s="15"/>
      <c r="L1538" s="17">
        <f>IF(J1538&gt;0, K1538/J1538, 0)</f>
        <v>0</v>
      </c>
      <c r="M1538" s="15">
        <v>8000.0</v>
      </c>
      <c r="N1538" s="15"/>
      <c r="O1538" s="15">
        <f>M1538-N1538</f>
        <v>8000</v>
      </c>
      <c r="P1538" s="10" t="s">
        <v>42</v>
      </c>
      <c r="Q1538" s="10" t="s">
        <v>43</v>
      </c>
      <c r="R1538" s="10" t="s">
        <v>44</v>
      </c>
      <c r="S1538" s="8" t="s">
        <v>2098</v>
      </c>
      <c r="T1538" s="8" t="s">
        <v>44</v>
      </c>
    </row>
    <row r="1539" spans="1:20">
      <c r="A1539" s="11">
        <v>1532</v>
      </c>
      <c r="B1539" s="11" t="s">
        <v>1884</v>
      </c>
      <c r="C1539" s="11" t="s">
        <v>1883</v>
      </c>
      <c r="D1539" s="11" t="s">
        <v>1829</v>
      </c>
      <c r="E1539" s="11" t="s">
        <v>34</v>
      </c>
      <c r="F1539" s="11" t="s">
        <v>35</v>
      </c>
      <c r="G1539" s="9" t="s">
        <v>41</v>
      </c>
      <c r="H1539" s="13">
        <v>1</v>
      </c>
      <c r="I1539" s="13">
        <v>1</v>
      </c>
      <c r="J1539" s="16">
        <v>18000.0</v>
      </c>
      <c r="K1539" s="16"/>
      <c r="L1539" s="18">
        <f>IF(J1539&gt;0, K1539/J1539, 0)</f>
        <v>0</v>
      </c>
      <c r="M1539" s="16">
        <v>18000.0</v>
      </c>
      <c r="N1539" s="16"/>
      <c r="O1539" s="16">
        <f>M1539-N1539</f>
        <v>18000</v>
      </c>
      <c r="P1539" s="11" t="s">
        <v>42</v>
      </c>
      <c r="Q1539" s="11" t="s">
        <v>43</v>
      </c>
      <c r="R1539" s="11" t="s">
        <v>44</v>
      </c>
      <c r="S1539" s="9" t="s">
        <v>2107</v>
      </c>
      <c r="T1539" s="9" t="s">
        <v>44</v>
      </c>
    </row>
    <row r="1540" spans="1:20">
      <c r="A1540" s="10">
        <v>1533</v>
      </c>
      <c r="B1540" s="10" t="s">
        <v>1885</v>
      </c>
      <c r="C1540" s="10" t="s">
        <v>1883</v>
      </c>
      <c r="D1540" s="10" t="s">
        <v>1829</v>
      </c>
      <c r="E1540" s="10" t="s">
        <v>34</v>
      </c>
      <c r="F1540" s="10" t="s">
        <v>35</v>
      </c>
      <c r="G1540" s="8" t="s">
        <v>41</v>
      </c>
      <c r="H1540" s="12">
        <v>1</v>
      </c>
      <c r="I1540" s="12">
        <v>8</v>
      </c>
      <c r="J1540" s="15">
        <v>56000.0</v>
      </c>
      <c r="K1540" s="15"/>
      <c r="L1540" s="17">
        <f>IF(J1540&gt;0, K1540/J1540, 0)</f>
        <v>0</v>
      </c>
      <c r="M1540" s="15">
        <v>56000.0</v>
      </c>
      <c r="N1540" s="15"/>
      <c r="O1540" s="15">
        <f>M1540-N1540</f>
        <v>56000</v>
      </c>
      <c r="P1540" s="10" t="s">
        <v>42</v>
      </c>
      <c r="Q1540" s="10" t="s">
        <v>43</v>
      </c>
      <c r="R1540" s="10" t="s">
        <v>44</v>
      </c>
      <c r="S1540" s="8" t="s">
        <v>2241</v>
      </c>
      <c r="T1540" s="8" t="s">
        <v>44</v>
      </c>
    </row>
    <row r="1541" spans="1:20">
      <c r="A1541" s="11">
        <v>1534</v>
      </c>
      <c r="B1541" s="11" t="s">
        <v>1886</v>
      </c>
      <c r="C1541" s="11" t="s">
        <v>1883</v>
      </c>
      <c r="D1541" s="11" t="s">
        <v>1829</v>
      </c>
      <c r="E1541" s="11" t="s">
        <v>34</v>
      </c>
      <c r="F1541" s="11" t="s">
        <v>35</v>
      </c>
      <c r="G1541" s="9" t="s">
        <v>41</v>
      </c>
      <c r="H1541" s="13">
        <v>1</v>
      </c>
      <c r="I1541" s="13">
        <v>8</v>
      </c>
      <c r="J1541" s="16">
        <v>56000.0</v>
      </c>
      <c r="K1541" s="16"/>
      <c r="L1541" s="18">
        <f>IF(J1541&gt;0, K1541/J1541, 0)</f>
        <v>0</v>
      </c>
      <c r="M1541" s="16">
        <v>56000.0</v>
      </c>
      <c r="N1541" s="16"/>
      <c r="O1541" s="16">
        <f>M1541-N1541</f>
        <v>56000</v>
      </c>
      <c r="P1541" s="11" t="s">
        <v>42</v>
      </c>
      <c r="Q1541" s="11" t="s">
        <v>43</v>
      </c>
      <c r="R1541" s="11" t="s">
        <v>44</v>
      </c>
      <c r="S1541" s="9" t="s">
        <v>2242</v>
      </c>
      <c r="T1541" s="9" t="s">
        <v>44</v>
      </c>
    </row>
    <row r="1542" spans="1:20">
      <c r="A1542" s="10">
        <v>1535</v>
      </c>
      <c r="B1542" s="10" t="s">
        <v>1887</v>
      </c>
      <c r="C1542" s="10" t="s">
        <v>1883</v>
      </c>
      <c r="D1542" s="10" t="s">
        <v>1829</v>
      </c>
      <c r="E1542" s="10" t="s">
        <v>34</v>
      </c>
      <c r="F1542" s="10" t="s">
        <v>35</v>
      </c>
      <c r="G1542" s="8" t="s">
        <v>41</v>
      </c>
      <c r="H1542" s="12">
        <v>1</v>
      </c>
      <c r="I1542" s="12">
        <v>1</v>
      </c>
      <c r="J1542" s="15">
        <v>16500.0</v>
      </c>
      <c r="K1542" s="15"/>
      <c r="L1542" s="17">
        <f>IF(J1542&gt;0, K1542/J1542, 0)</f>
        <v>0</v>
      </c>
      <c r="M1542" s="15">
        <v>16500.0</v>
      </c>
      <c r="N1542" s="15"/>
      <c r="O1542" s="15">
        <f>M1542-N1542</f>
        <v>16500</v>
      </c>
      <c r="P1542" s="10" t="s">
        <v>42</v>
      </c>
      <c r="Q1542" s="10" t="s">
        <v>43</v>
      </c>
      <c r="R1542" s="10" t="s">
        <v>44</v>
      </c>
      <c r="S1542" s="8" t="s">
        <v>2064</v>
      </c>
      <c r="T1542" s="8" t="s">
        <v>44</v>
      </c>
    </row>
    <row r="1543" spans="1:20">
      <c r="A1543" s="11">
        <v>1536</v>
      </c>
      <c r="B1543" s="11" t="s">
        <v>1888</v>
      </c>
      <c r="C1543" s="11" t="s">
        <v>1883</v>
      </c>
      <c r="D1543" s="11" t="s">
        <v>1829</v>
      </c>
      <c r="E1543" s="11" t="s">
        <v>34</v>
      </c>
      <c r="F1543" s="11" t="s">
        <v>35</v>
      </c>
      <c r="G1543" s="9" t="s">
        <v>41</v>
      </c>
      <c r="H1543" s="13">
        <v>1</v>
      </c>
      <c r="I1543" s="13">
        <v>1</v>
      </c>
      <c r="J1543" s="16">
        <v>7500.0</v>
      </c>
      <c r="K1543" s="16"/>
      <c r="L1543" s="18">
        <f>IF(J1543&gt;0, K1543/J1543, 0)</f>
        <v>0</v>
      </c>
      <c r="M1543" s="16">
        <v>7500.0</v>
      </c>
      <c r="N1543" s="16"/>
      <c r="O1543" s="16">
        <f>M1543-N1543</f>
        <v>7500</v>
      </c>
      <c r="P1543" s="11" t="s">
        <v>42</v>
      </c>
      <c r="Q1543" s="11" t="s">
        <v>43</v>
      </c>
      <c r="R1543" s="11" t="s">
        <v>44</v>
      </c>
      <c r="S1543" s="9" t="s">
        <v>2074</v>
      </c>
      <c r="T1543" s="9" t="s">
        <v>44</v>
      </c>
    </row>
    <row r="1544" spans="1:20">
      <c r="A1544" s="10">
        <v>1537</v>
      </c>
      <c r="B1544" s="10" t="s">
        <v>1889</v>
      </c>
      <c r="C1544" s="10" t="s">
        <v>1883</v>
      </c>
      <c r="D1544" s="10" t="s">
        <v>1829</v>
      </c>
      <c r="E1544" s="10" t="s">
        <v>34</v>
      </c>
      <c r="F1544" s="10" t="s">
        <v>35</v>
      </c>
      <c r="G1544" s="8" t="s">
        <v>41</v>
      </c>
      <c r="H1544" s="12">
        <v>1</v>
      </c>
      <c r="I1544" s="12">
        <v>1</v>
      </c>
      <c r="J1544" s="15">
        <v>18000.0</v>
      </c>
      <c r="K1544" s="15"/>
      <c r="L1544" s="17">
        <f>IF(J1544&gt;0, K1544/J1544, 0)</f>
        <v>0</v>
      </c>
      <c r="M1544" s="15">
        <v>18000.0</v>
      </c>
      <c r="N1544" s="15"/>
      <c r="O1544" s="15">
        <f>M1544-N1544</f>
        <v>18000</v>
      </c>
      <c r="P1544" s="10" t="s">
        <v>42</v>
      </c>
      <c r="Q1544" s="10" t="s">
        <v>43</v>
      </c>
      <c r="R1544" s="10" t="s">
        <v>44</v>
      </c>
      <c r="S1544" s="8" t="s">
        <v>2065</v>
      </c>
      <c r="T1544" s="8" t="s">
        <v>44</v>
      </c>
    </row>
    <row r="1545" spans="1:20">
      <c r="A1545" s="11">
        <v>1538</v>
      </c>
      <c r="B1545" s="11" t="s">
        <v>1890</v>
      </c>
      <c r="C1545" s="11" t="s">
        <v>1883</v>
      </c>
      <c r="D1545" s="11" t="s">
        <v>1829</v>
      </c>
      <c r="E1545" s="11" t="s">
        <v>34</v>
      </c>
      <c r="F1545" s="11" t="s">
        <v>35</v>
      </c>
      <c r="G1545" s="9" t="s">
        <v>41</v>
      </c>
      <c r="H1545" s="13">
        <v>1</v>
      </c>
      <c r="I1545" s="13">
        <v>1</v>
      </c>
      <c r="J1545" s="16">
        <v>8500.0</v>
      </c>
      <c r="K1545" s="16"/>
      <c r="L1545" s="18">
        <f>IF(J1545&gt;0, K1545/J1545, 0)</f>
        <v>0</v>
      </c>
      <c r="M1545" s="16">
        <v>8500.0</v>
      </c>
      <c r="N1545" s="16"/>
      <c r="O1545" s="16">
        <f>M1545-N1545</f>
        <v>8500</v>
      </c>
      <c r="P1545" s="11" t="s">
        <v>42</v>
      </c>
      <c r="Q1545" s="11" t="s">
        <v>43</v>
      </c>
      <c r="R1545" s="11" t="s">
        <v>44</v>
      </c>
      <c r="S1545" s="9" t="s">
        <v>2022</v>
      </c>
      <c r="T1545" s="9" t="s">
        <v>44</v>
      </c>
    </row>
    <row r="1546" spans="1:20">
      <c r="A1546" s="10">
        <v>1539</v>
      </c>
      <c r="B1546" s="10" t="s">
        <v>1891</v>
      </c>
      <c r="C1546" s="10" t="s">
        <v>1883</v>
      </c>
      <c r="D1546" s="10" t="s">
        <v>1829</v>
      </c>
      <c r="E1546" s="10" t="s">
        <v>34</v>
      </c>
      <c r="F1546" s="10" t="s">
        <v>35</v>
      </c>
      <c r="G1546" s="8" t="s">
        <v>41</v>
      </c>
      <c r="H1546" s="12">
        <v>1</v>
      </c>
      <c r="I1546" s="12">
        <v>2</v>
      </c>
      <c r="J1546" s="15">
        <v>16000.0</v>
      </c>
      <c r="K1546" s="15"/>
      <c r="L1546" s="17">
        <f>IF(J1546&gt;0, K1546/J1546, 0)</f>
        <v>0</v>
      </c>
      <c r="M1546" s="15">
        <v>16000.0</v>
      </c>
      <c r="N1546" s="15"/>
      <c r="O1546" s="15">
        <f>M1546-N1546</f>
        <v>16000</v>
      </c>
      <c r="P1546" s="10" t="s">
        <v>42</v>
      </c>
      <c r="Q1546" s="10" t="s">
        <v>43</v>
      </c>
      <c r="R1546" s="10" t="s">
        <v>44</v>
      </c>
      <c r="S1546" s="8" t="s">
        <v>2050</v>
      </c>
      <c r="T1546" s="8" t="s">
        <v>44</v>
      </c>
    </row>
    <row r="1547" spans="1:20">
      <c r="A1547" s="11">
        <v>1540</v>
      </c>
      <c r="B1547" s="11" t="s">
        <v>1892</v>
      </c>
      <c r="C1547" s="11" t="s">
        <v>1883</v>
      </c>
      <c r="D1547" s="11" t="s">
        <v>1829</v>
      </c>
      <c r="E1547" s="11" t="s">
        <v>34</v>
      </c>
      <c r="F1547" s="11" t="s">
        <v>35</v>
      </c>
      <c r="G1547" s="9" t="s">
        <v>41</v>
      </c>
      <c r="H1547" s="13">
        <v>1</v>
      </c>
      <c r="I1547" s="13">
        <v>2</v>
      </c>
      <c r="J1547" s="16">
        <v>17600.0</v>
      </c>
      <c r="K1547" s="16"/>
      <c r="L1547" s="18">
        <f>IF(J1547&gt;0, K1547/J1547, 0)</f>
        <v>0</v>
      </c>
      <c r="M1547" s="16">
        <v>17600.0</v>
      </c>
      <c r="N1547" s="16"/>
      <c r="O1547" s="16">
        <f>M1547-N1547</f>
        <v>17600</v>
      </c>
      <c r="P1547" s="11" t="s">
        <v>42</v>
      </c>
      <c r="Q1547" s="11" t="s">
        <v>43</v>
      </c>
      <c r="R1547" s="11" t="s">
        <v>44</v>
      </c>
      <c r="S1547" s="9" t="s">
        <v>2158</v>
      </c>
      <c r="T1547" s="9" t="s">
        <v>44</v>
      </c>
    </row>
    <row r="1548" spans="1:20">
      <c r="A1548" s="10">
        <v>1541</v>
      </c>
      <c r="B1548" s="10" t="s">
        <v>1893</v>
      </c>
      <c r="C1548" s="10" t="s">
        <v>1894</v>
      </c>
      <c r="D1548" s="10" t="s">
        <v>1895</v>
      </c>
      <c r="E1548" s="10" t="s">
        <v>34</v>
      </c>
      <c r="F1548" s="10" t="s">
        <v>35</v>
      </c>
      <c r="G1548" s="8" t="s">
        <v>41</v>
      </c>
      <c r="H1548" s="12">
        <v>1</v>
      </c>
      <c r="I1548" s="12">
        <v>1</v>
      </c>
      <c r="J1548" s="15">
        <v>9500.0</v>
      </c>
      <c r="K1548" s="15"/>
      <c r="L1548" s="17">
        <f>IF(J1548&gt;0, K1548/J1548, 0)</f>
        <v>0</v>
      </c>
      <c r="M1548" s="15">
        <v>9500.0</v>
      </c>
      <c r="N1548" s="15"/>
      <c r="O1548" s="15">
        <f>M1548-N1548</f>
        <v>9500</v>
      </c>
      <c r="P1548" s="10" t="s">
        <v>42</v>
      </c>
      <c r="Q1548" s="10" t="s">
        <v>43</v>
      </c>
      <c r="R1548" s="10" t="s">
        <v>44</v>
      </c>
      <c r="S1548" s="8" t="s">
        <v>2243</v>
      </c>
      <c r="T1548" s="8" t="s">
        <v>44</v>
      </c>
    </row>
    <row r="1549" spans="1:20">
      <c r="A1549" s="7" t="s">
        <v>2245</v>
      </c>
      <c r="B1549" s="7"/>
      <c r="C1549" s="7"/>
      <c r="D1549" s="7"/>
      <c r="E1549" s="7"/>
      <c r="F1549" s="7"/>
      <c r="G1549" s="7"/>
      <c r="H1549" s="14">
        <f>SUBTOTAL(109, H8:H1548)</f>
        <v>1541</v>
      </c>
      <c r="I1549" s="14">
        <f>SUBTOTAL(109, I8:I1548)</f>
        <v>1922</v>
      </c>
      <c r="J1549" s="20">
        <f>SUBTOTAL(109, J8:J1548)</f>
        <v>19179900</v>
      </c>
      <c r="K1549" s="20">
        <f>SUBTOTAL(109, K8:K1548)</f>
        <v>17700</v>
      </c>
      <c r="L1549" s="19">
        <f>IF(J1549&gt;0, K1549/J1549, 0)</f>
        <v>0.0009228410992758</v>
      </c>
      <c r="M1549" s="20">
        <f>SUBTOTAL(109, M8:M1548)</f>
        <v>19162200</v>
      </c>
      <c r="N1549" s="20">
        <f>SUBTOTAL(109, N8:N1548)</f>
        <v>0</v>
      </c>
      <c r="O1549" s="20">
        <f>SUBTOTAL(109, O8:O1548)</f>
        <v>19162200</v>
      </c>
      <c r="P1549" s="7" t="str">
        <f>SUBTOTAL(103, A8:A1548) &amp; " чеков оформлено"</f>
        <v>1541 чеков оформлено</v>
      </c>
      <c r="Q1549" s="7"/>
      <c r="R1549" s="7"/>
      <c r="S1549" s="7"/>
      <c r="T1549" s="7"/>
    </row>
  </sheetData>
  <autoFilter ref="A7:T1548"/>
  <mergeCells>
    <mergeCell ref="A5:G5"/>
    <mergeCell ref="P5:T5"/>
    <mergeCell ref="A1549:G1549"/>
    <mergeCell ref="P1549:T154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0"/>
  <sheetViews>
    <sheetView tabSelected="0" workbookViewId="0" showGridLines="true" showRowColHeaders="1">
      <pane ySplit="7" activePane="bottomLeft" state="frozen" topLeftCell="A8"/>
      <selection pane="bottomLeft" activeCell="K8" sqref="K8:L10"/>
    </sheetView>
  </sheetViews>
  <sheetFormatPr defaultRowHeight="14.4" outlineLevelRow="0" outlineLevelCol="0"/>
  <cols>
    <col min="1" max="1" width="187.807" bestFit="true" customWidth="true" style="0"/>
    <col min="2" max="2" width="25.663" bestFit="true" customWidth="true" style="0"/>
    <col min="3" max="3" width="23.497" bestFit="true" customWidth="true" style="0"/>
    <col min="4" max="4" width="25.663" bestFit="true" customWidth="true" style="0"/>
    <col min="5" max="5" width="24.497" bestFit="true" customWidth="true" style="0"/>
    <col min="6" max="6" width="26.663" bestFit="true" customWidth="true" style="0"/>
    <col min="7" max="7" width="26.663" bestFit="true" customWidth="true" style="0"/>
    <col min="8" max="8" width="23.497" bestFit="true" customWidth="true" style="0"/>
    <col min="9" max="9" width="26.163" bestFit="true" customWidth="true" style="0"/>
    <col min="10" max="10" width="31.162" bestFit="true" customWidth="true" style="0"/>
    <col min="11" max="11" width="23.497" bestFit="true" customWidth="true" style="0"/>
    <col min="12" max="12" width="34.662" bestFit="true" customWidth="true" style="0"/>
  </cols>
  <sheetData>
    <row r="2" spans="1:12">
      <c r="A2" s="1" t="s">
        <v>2246</v>
      </c>
    </row>
    <row r="3" spans="1:12">
      <c r="A3" s="2" t="s">
        <v>2247</v>
      </c>
    </row>
    <row r="5" spans="1:12" customHeight="1" ht="24">
      <c r="A5" s="4" t="s">
        <v>2256</v>
      </c>
      <c r="B5" s="5"/>
      <c r="C5" s="5">
        <f>SUBTOTAL(109, C8:C9)</f>
        <v>1541</v>
      </c>
      <c r="D5" s="5">
        <f>SUBTOTAL(109, D8:D9)</f>
        <v>1922</v>
      </c>
      <c r="E5" s="5">
        <f>SUBTOTAL(109, E8:E9)</f>
        <v>1339</v>
      </c>
      <c r="F5" s="5">
        <f>SUBTOTAL(109, F8:F9)</f>
        <v>202</v>
      </c>
      <c r="G5" s="5">
        <f>SUBTOTAL(109, G8:G9)</f>
        <v>50</v>
      </c>
      <c r="H5" s="5">
        <f>SUBTOTAL(109, H8:H9)</f>
        <v>19162200</v>
      </c>
      <c r="I5" s="5">
        <f>IF(C5&gt;0, H5/C5, 0)</f>
        <v>12434.91239454899369</v>
      </c>
      <c r="J5" s="5">
        <f>SUBTOTAL(109, J8:J9)</f>
        <v>17700</v>
      </c>
      <c r="K5" s="5">
        <f>IF(H5&gt;0, J5/(H5+J5), 0)</f>
        <v>0.0009228410992758</v>
      </c>
      <c r="L5" s="6" t="s">
        <v>1921</v>
      </c>
    </row>
    <row r="7" spans="1:12" customHeight="1" ht="28">
      <c r="A7" s="3" t="s">
        <v>2</v>
      </c>
      <c r="B7" s="3" t="s">
        <v>2248</v>
      </c>
      <c r="C7" s="3" t="s">
        <v>2249</v>
      </c>
      <c r="D7" s="3" t="s">
        <v>1937</v>
      </c>
      <c r="E7" s="3" t="s">
        <v>2250</v>
      </c>
      <c r="F7" s="3" t="s">
        <v>2251</v>
      </c>
      <c r="G7" s="3" t="s">
        <v>2252</v>
      </c>
      <c r="H7" s="3" t="s">
        <v>21</v>
      </c>
      <c r="I7" s="3" t="s">
        <v>1941</v>
      </c>
      <c r="J7" s="3" t="s">
        <v>2253</v>
      </c>
      <c r="K7" s="3" t="s">
        <v>2254</v>
      </c>
      <c r="L7" s="3" t="s">
        <v>2255</v>
      </c>
    </row>
    <row r="8" spans="1:12">
      <c r="A8" s="10">
        <v>1</v>
      </c>
      <c r="B8" s="8" t="s">
        <v>41</v>
      </c>
      <c r="C8" s="12">
        <v>1378</v>
      </c>
      <c r="D8" s="12">
        <v>1737</v>
      </c>
      <c r="E8" s="12">
        <v>1190</v>
      </c>
      <c r="F8" s="12">
        <v>188</v>
      </c>
      <c r="G8" s="12">
        <v>2</v>
      </c>
      <c r="H8" s="15">
        <v>17208400.0</v>
      </c>
      <c r="I8" s="15">
        <f>IF(C8&gt;0, H8/C8, 0)</f>
        <v>12487.95355587808444</v>
      </c>
      <c r="J8" s="15">
        <v>16500.0</v>
      </c>
      <c r="K8" s="17">
        <f>IF(H8&gt;0, J8/(H8+J8), 0)</f>
        <v>0.00095791557570726</v>
      </c>
      <c r="L8" s="17">
        <v>0.89803884731398</v>
      </c>
    </row>
    <row r="9" spans="1:12">
      <c r="A9" s="11">
        <v>2</v>
      </c>
      <c r="B9" s="9" t="s">
        <v>60</v>
      </c>
      <c r="C9" s="13">
        <v>163</v>
      </c>
      <c r="D9" s="13">
        <v>185</v>
      </c>
      <c r="E9" s="13">
        <v>149</v>
      </c>
      <c r="F9" s="13">
        <v>14</v>
      </c>
      <c r="G9" s="13">
        <v>48</v>
      </c>
      <c r="H9" s="16">
        <v>1953800.0</v>
      </c>
      <c r="I9" s="16">
        <f>IF(C9&gt;0, H9/C9, 0)</f>
        <v>11986.5030674846621</v>
      </c>
      <c r="J9" s="16">
        <v>1200.0</v>
      </c>
      <c r="K9" s="18">
        <f>IF(H9&gt;0, J9/(H9+J9), 0)</f>
        <v>0.00061381074168798</v>
      </c>
      <c r="L9" s="18">
        <v>0.10196115268602</v>
      </c>
    </row>
    <row r="10" spans="1:12">
      <c r="A10" s="7" t="s">
        <v>2257</v>
      </c>
      <c r="B10" s="7"/>
      <c r="C10" s="14">
        <f>SUBTOTAL(109, C8:C9)</f>
        <v>1541</v>
      </c>
      <c r="D10" s="14">
        <f>SUBTOTAL(109, D8:D9)</f>
        <v>1922</v>
      </c>
      <c r="E10" s="14">
        <f>SUBTOTAL(109, E8:E9)</f>
        <v>1339</v>
      </c>
      <c r="F10" s="14">
        <f>SUBTOTAL(109, F8:F9)</f>
        <v>202</v>
      </c>
      <c r="G10" s="14">
        <f>SUBTOTAL(109, G8:G9)</f>
        <v>50</v>
      </c>
      <c r="H10" s="20">
        <f>SUBTOTAL(109, H8:H9)</f>
        <v>19162200</v>
      </c>
      <c r="I10" s="20">
        <f>IF(C10&gt;0, H10/C10, 0)</f>
        <v>12434.91239454899369</v>
      </c>
      <c r="J10" s="20">
        <f>SUBTOTAL(109, J8:J9)</f>
        <v>17700</v>
      </c>
      <c r="K10" s="19">
        <f>IF(H10&gt;0, J10/(H10+J10), 0)</f>
        <v>0.0009228410992758</v>
      </c>
      <c r="L10" s="19" t="s">
        <v>1921</v>
      </c>
    </row>
  </sheetData>
  <autoFilter ref="A7:L9"/>
  <mergeCells>
    <mergeCell ref="A5:B5"/>
    <mergeCell ref="A10:B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0" workbookViewId="0" showGridLines="true" showRowColHeaders="1">
      <selection activeCell="A5" sqref="A5:B13"/>
    </sheetView>
  </sheetViews>
  <sheetFormatPr defaultRowHeight="14.4" outlineLevelRow="0" outlineLevelCol="0"/>
  <cols>
    <col min="1" max="1" width="30" customWidth="true" style="0"/>
    <col min="2" max="2" width="90" customWidth="true" style="0"/>
  </cols>
  <sheetData>
    <row r="2" spans="1:2">
      <c r="A2" s="1" t="s">
        <v>2258</v>
      </c>
    </row>
    <row r="3" spans="1:2">
      <c r="A3" s="2" t="s">
        <v>2259</v>
      </c>
    </row>
    <row r="5" spans="1:2" customHeight="1" ht="24">
      <c r="A5" s="22" t="s">
        <v>2260</v>
      </c>
      <c r="B5" s="24" t="s">
        <v>2261</v>
      </c>
    </row>
    <row r="6" spans="1:2" customHeight="1" ht="24">
      <c r="A6" s="23" t="s">
        <v>2262</v>
      </c>
      <c r="B6" s="25" t="s">
        <v>2263</v>
      </c>
    </row>
    <row r="7" spans="1:2" customHeight="1" ht="24">
      <c r="A7" s="22" t="s">
        <v>2264</v>
      </c>
      <c r="B7" s="24" t="s">
        <v>2265</v>
      </c>
    </row>
    <row r="8" spans="1:2" customHeight="1" ht="24">
      <c r="A8" s="23" t="s">
        <v>2266</v>
      </c>
      <c r="B8" s="25" t="s">
        <v>2267</v>
      </c>
    </row>
    <row r="9" spans="1:2" customHeight="1" ht="24">
      <c r="A9" s="22" t="s">
        <v>2268</v>
      </c>
      <c r="B9" s="24" t="s">
        <v>2269</v>
      </c>
    </row>
    <row r="10" spans="1:2" customHeight="1" ht="24">
      <c r="A10" s="23" t="s">
        <v>2270</v>
      </c>
      <c r="B10" s="25" t="s">
        <v>2271</v>
      </c>
    </row>
    <row r="11" spans="1:2" customHeight="1" ht="24">
      <c r="A11" s="22" t="s">
        <v>2272</v>
      </c>
      <c r="B11" s="24" t="s">
        <v>2273</v>
      </c>
    </row>
    <row r="12" spans="1:2" customHeight="1" ht="24">
      <c r="A12" s="23" t="s">
        <v>2274</v>
      </c>
      <c r="B12" s="25" t="s">
        <v>2275</v>
      </c>
    </row>
    <row r="13" spans="1:2" customHeight="1" ht="24">
      <c r="A13" s="22" t="s">
        <v>2276</v>
      </c>
      <c r="B13" s="24" t="s">
        <v>2277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Реестр продаж</vt:lpstr>
      <vt:lpstr>📦 Новый завоз</vt:lpstr>
      <vt:lpstr>По номенклатуре</vt:lpstr>
      <vt:lpstr>По категориям</vt:lpstr>
      <vt:lpstr>Динамика по дням</vt:lpstr>
      <vt:lpstr>Журнал чеков</vt:lpstr>
      <vt:lpstr>Кассиры</vt:lpstr>
      <vt:lpstr>Справка об учете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2026-10-31T03:40:20+05:00</dcterms:created>
  <dcterms:modified xsi:type="dcterms:W3CDTF">2026-10-31T03:40:20+05:00</dcterms:modified>
  <dc:title>Untitled Spreadsheet</dc:title>
  <dc:description/>
  <dc:subject/>
  <cp:keywords/>
  <cp:category/>
</cp:coreProperties>
</file>